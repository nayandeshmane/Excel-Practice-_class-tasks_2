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hm\OneDrive\Desktop\Excel\class tasks\"/>
    </mc:Choice>
  </mc:AlternateContent>
  <xr:revisionPtr revIDLastSave="0" documentId="13_ncr:1_{91C81229-5A6F-4AEB-8F3A-4CB6DECAC200}" xr6:coauthVersionLast="47" xr6:coauthVersionMax="47" xr10:uidLastSave="{00000000-0000-0000-0000-000000000000}"/>
  <bookViews>
    <workbookView xWindow="-120" yWindow="-120" windowWidth="20730" windowHeight="11040" firstSheet="5" activeTab="9" xr2:uid="{00000000-000D-0000-FFFF-FFFF00000000}"/>
  </bookViews>
  <sheets>
    <sheet name="LOGICAL FUNCTIONS" sheetId="1" r:id="rId1"/>
    <sheet name="NETWORKDAYS" sheetId="2" r:id="rId2"/>
    <sheet name="CELL REFERENCE &amp; DATE FORMAT" sheetId="3" r:id="rId3"/>
    <sheet name="Cell Reference  Case Study" sheetId="4" r:id="rId4"/>
    <sheet name="Summary Sheet " sheetId="5" r:id="rId5"/>
    <sheet name="Offset, Indirect" sheetId="6" r:id="rId6"/>
    <sheet name="RANGES" sheetId="7" r:id="rId7"/>
    <sheet name="INDEX,MATCH" sheetId="8" r:id="rId8"/>
    <sheet name="LOOKUPs" sheetId="9" r:id="rId9"/>
    <sheet name="Lookup Table" sheetId="10" r:id="rId10"/>
    <sheet name="PIVOT DATASET" sheetId="11" r:id="rId11"/>
    <sheet name="MACRO - RECORD" sheetId="12" r:id="rId12"/>
  </sheets>
  <definedNames>
    <definedName name="Data">RANGES!$A$1:$B$13</definedName>
    <definedName name="SpendsData">RANGES!$B$1:$B$13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" roundtripDataChecksum="815C4Q1UFaGQFb645+0PY7XvXU/PAhttLhHfhOq5PVk="/>
    </ext>
  </extLst>
</workbook>
</file>

<file path=xl/calcChain.xml><?xml version="1.0" encoding="utf-8"?>
<calcChain xmlns="http://schemas.openxmlformats.org/spreadsheetml/2006/main">
  <c r="F2" i="3" l="1"/>
  <c r="F17" i="2"/>
  <c r="F15" i="2"/>
  <c r="F13" i="2"/>
  <c r="I3" i="1"/>
  <c r="I4" i="1"/>
  <c r="I5" i="1"/>
  <c r="I6" i="1"/>
  <c r="J6" i="1" s="1"/>
  <c r="I7" i="1"/>
  <c r="I8" i="1"/>
  <c r="I9" i="1"/>
  <c r="L9" i="1" s="1"/>
  <c r="I10" i="1"/>
  <c r="J10" i="1" s="1"/>
  <c r="I11" i="1"/>
  <c r="I12" i="1"/>
  <c r="I13" i="1"/>
  <c r="I14" i="1"/>
  <c r="J14" i="1" s="1"/>
  <c r="I15" i="1"/>
  <c r="I16" i="1"/>
  <c r="I17" i="1"/>
  <c r="L17" i="1" s="1"/>
  <c r="I18" i="1"/>
  <c r="L18" i="1" s="1"/>
  <c r="I19" i="1"/>
  <c r="L19" i="1" s="1"/>
  <c r="I20" i="1"/>
  <c r="I21" i="1"/>
  <c r="L21" i="1" s="1"/>
  <c r="I22" i="1"/>
  <c r="L22" i="1" s="1"/>
  <c r="I23" i="1"/>
  <c r="L23" i="1" s="1"/>
  <c r="I24" i="1"/>
  <c r="I25" i="1"/>
  <c r="L25" i="1" s="1"/>
  <c r="I26" i="1"/>
  <c r="L26" i="1" s="1"/>
  <c r="I27" i="1"/>
  <c r="L27" i="1" s="1"/>
  <c r="I28" i="1"/>
  <c r="I29" i="1"/>
  <c r="L29" i="1" s="1"/>
  <c r="I30" i="1"/>
  <c r="L30" i="1" s="1"/>
  <c r="I31" i="1"/>
  <c r="L31" i="1" s="1"/>
  <c r="I32" i="1"/>
  <c r="I33" i="1"/>
  <c r="L33" i="1" s="1"/>
  <c r="I34" i="1"/>
  <c r="L34" i="1" s="1"/>
  <c r="I35" i="1"/>
  <c r="L35" i="1" s="1"/>
  <c r="I36" i="1"/>
  <c r="I37" i="1"/>
  <c r="L37" i="1" s="1"/>
  <c r="I38" i="1"/>
  <c r="L38" i="1" s="1"/>
  <c r="I39" i="1"/>
  <c r="L39" i="1" s="1"/>
  <c r="I40" i="1"/>
  <c r="I41" i="1"/>
  <c r="L41" i="1" s="1"/>
  <c r="I42" i="1"/>
  <c r="L42" i="1" s="1"/>
  <c r="I43" i="1"/>
  <c r="L43" i="1" s="1"/>
  <c r="I44" i="1"/>
  <c r="I45" i="1"/>
  <c r="L45" i="1" s="1"/>
  <c r="I46" i="1"/>
  <c r="L46" i="1" s="1"/>
  <c r="I47" i="1"/>
  <c r="L47" i="1" s="1"/>
  <c r="I48" i="1"/>
  <c r="I49" i="1"/>
  <c r="L49" i="1" s="1"/>
  <c r="I50" i="1"/>
  <c r="L50" i="1" s="1"/>
  <c r="I51" i="1"/>
  <c r="L51" i="1" s="1"/>
  <c r="I52" i="1"/>
  <c r="I53" i="1"/>
  <c r="L53" i="1" s="1"/>
  <c r="I54" i="1"/>
  <c r="L54" i="1" s="1"/>
  <c r="I55" i="1"/>
  <c r="L55" i="1" s="1"/>
  <c r="I56" i="1"/>
  <c r="I57" i="1"/>
  <c r="L57" i="1" s="1"/>
  <c r="I58" i="1"/>
  <c r="L58" i="1" s="1"/>
  <c r="I59" i="1"/>
  <c r="L59" i="1" s="1"/>
  <c r="I60" i="1"/>
  <c r="I61" i="1"/>
  <c r="L61" i="1" s="1"/>
  <c r="I62" i="1"/>
  <c r="L62" i="1" s="1"/>
  <c r="I63" i="1"/>
  <c r="L63" i="1" s="1"/>
  <c r="I64" i="1"/>
  <c r="I65" i="1"/>
  <c r="L65" i="1" s="1"/>
  <c r="I66" i="1"/>
  <c r="L66" i="1" s="1"/>
  <c r="I67" i="1"/>
  <c r="L67" i="1" s="1"/>
  <c r="I68" i="1"/>
  <c r="I69" i="1"/>
  <c r="L69" i="1" s="1"/>
  <c r="I70" i="1"/>
  <c r="L70" i="1" s="1"/>
  <c r="I71" i="1"/>
  <c r="L71" i="1" s="1"/>
  <c r="I72" i="1"/>
  <c r="I73" i="1"/>
  <c r="L73" i="1" s="1"/>
  <c r="I74" i="1"/>
  <c r="L74" i="1" s="1"/>
  <c r="I75" i="1"/>
  <c r="L75" i="1" s="1"/>
  <c r="I76" i="1"/>
  <c r="I77" i="1"/>
  <c r="L77" i="1" s="1"/>
  <c r="I78" i="1"/>
  <c r="L78" i="1" s="1"/>
  <c r="I79" i="1"/>
  <c r="L79" i="1" s="1"/>
  <c r="I80" i="1"/>
  <c r="I81" i="1"/>
  <c r="L81" i="1" s="1"/>
  <c r="I82" i="1"/>
  <c r="L82" i="1" s="1"/>
  <c r="I83" i="1"/>
  <c r="L83" i="1" s="1"/>
  <c r="I84" i="1"/>
  <c r="I85" i="1"/>
  <c r="L85" i="1" s="1"/>
  <c r="I86" i="1"/>
  <c r="L86" i="1" s="1"/>
  <c r="I87" i="1"/>
  <c r="L87" i="1" s="1"/>
  <c r="I88" i="1"/>
  <c r="I89" i="1"/>
  <c r="L89" i="1" s="1"/>
  <c r="I90" i="1"/>
  <c r="L90" i="1" s="1"/>
  <c r="I91" i="1"/>
  <c r="L91" i="1" s="1"/>
  <c r="I92" i="1"/>
  <c r="I93" i="1"/>
  <c r="L93" i="1" s="1"/>
  <c r="I94" i="1"/>
  <c r="L94" i="1" s="1"/>
  <c r="I95" i="1"/>
  <c r="L95" i="1" s="1"/>
  <c r="I96" i="1"/>
  <c r="I97" i="1"/>
  <c r="L97" i="1" s="1"/>
  <c r="I98" i="1"/>
  <c r="L98" i="1" s="1"/>
  <c r="I99" i="1"/>
  <c r="L99" i="1" s="1"/>
  <c r="I100" i="1"/>
  <c r="I101" i="1"/>
  <c r="L101" i="1" s="1"/>
  <c r="I102" i="1"/>
  <c r="L102" i="1" s="1"/>
  <c r="I103" i="1"/>
  <c r="L103" i="1" s="1"/>
  <c r="I104" i="1"/>
  <c r="I105" i="1"/>
  <c r="L105" i="1" s="1"/>
  <c r="I106" i="1"/>
  <c r="L106" i="1" s="1"/>
  <c r="I107" i="1"/>
  <c r="L107" i="1" s="1"/>
  <c r="I108" i="1"/>
  <c r="I109" i="1"/>
  <c r="L109" i="1" s="1"/>
  <c r="I110" i="1"/>
  <c r="L110" i="1" s="1"/>
  <c r="I111" i="1"/>
  <c r="L111" i="1" s="1"/>
  <c r="I112" i="1"/>
  <c r="I113" i="1"/>
  <c r="L113" i="1" s="1"/>
  <c r="I114" i="1"/>
  <c r="L114" i="1" s="1"/>
  <c r="I115" i="1"/>
  <c r="L115" i="1" s="1"/>
  <c r="I116" i="1"/>
  <c r="I117" i="1"/>
  <c r="L117" i="1" s="1"/>
  <c r="I118" i="1"/>
  <c r="L118" i="1" s="1"/>
  <c r="I119" i="1"/>
  <c r="L119" i="1" s="1"/>
  <c r="I120" i="1"/>
  <c r="I121" i="1"/>
  <c r="L121" i="1" s="1"/>
  <c r="I122" i="1"/>
  <c r="L122" i="1" s="1"/>
  <c r="I123" i="1"/>
  <c r="L123" i="1" s="1"/>
  <c r="I124" i="1"/>
  <c r="I125" i="1"/>
  <c r="L125" i="1" s="1"/>
  <c r="I126" i="1"/>
  <c r="L126" i="1" s="1"/>
  <c r="I127" i="1"/>
  <c r="L127" i="1" s="1"/>
  <c r="I128" i="1"/>
  <c r="I129" i="1"/>
  <c r="L129" i="1" s="1"/>
  <c r="I130" i="1"/>
  <c r="L130" i="1" s="1"/>
  <c r="I131" i="1"/>
  <c r="L131" i="1" s="1"/>
  <c r="I132" i="1"/>
  <c r="L132" i="1" s="1"/>
  <c r="I133" i="1"/>
  <c r="L133" i="1" s="1"/>
  <c r="I134" i="1"/>
  <c r="L134" i="1" s="1"/>
  <c r="I135" i="1"/>
  <c r="L135" i="1" s="1"/>
  <c r="I136" i="1"/>
  <c r="L136" i="1" s="1"/>
  <c r="I137" i="1"/>
  <c r="L137" i="1" s="1"/>
  <c r="I138" i="1"/>
  <c r="I139" i="1"/>
  <c r="L139" i="1" s="1"/>
  <c r="I140" i="1"/>
  <c r="I141" i="1"/>
  <c r="L141" i="1" s="1"/>
  <c r="I142" i="1"/>
  <c r="I143" i="1"/>
  <c r="L143" i="1" s="1"/>
  <c r="I144" i="1"/>
  <c r="L144" i="1" s="1"/>
  <c r="I145" i="1"/>
  <c r="L145" i="1" s="1"/>
  <c r="I146" i="1"/>
  <c r="I147" i="1"/>
  <c r="L147" i="1" s="1"/>
  <c r="I148" i="1"/>
  <c r="I149" i="1"/>
  <c r="L149" i="1" s="1"/>
  <c r="I150" i="1"/>
  <c r="I151" i="1"/>
  <c r="L151" i="1" s="1"/>
  <c r="I152" i="1"/>
  <c r="L152" i="1" s="1"/>
  <c r="I153" i="1"/>
  <c r="L153" i="1" s="1"/>
  <c r="I154" i="1"/>
  <c r="L154" i="1" s="1"/>
  <c r="I155" i="1"/>
  <c r="L155" i="1" s="1"/>
  <c r="I156" i="1"/>
  <c r="I157" i="1"/>
  <c r="L157" i="1" s="1"/>
  <c r="I158" i="1"/>
  <c r="L158" i="1" s="1"/>
  <c r="I159" i="1"/>
  <c r="L159" i="1" s="1"/>
  <c r="I160" i="1"/>
  <c r="L160" i="1" s="1"/>
  <c r="I161" i="1"/>
  <c r="L161" i="1" s="1"/>
  <c r="I162" i="1"/>
  <c r="L162" i="1" s="1"/>
  <c r="I163" i="1"/>
  <c r="L163" i="1" s="1"/>
  <c r="I164" i="1"/>
  <c r="I165" i="1"/>
  <c r="L165" i="1" s="1"/>
  <c r="I166" i="1"/>
  <c r="L166" i="1" s="1"/>
  <c r="I167" i="1"/>
  <c r="L167" i="1" s="1"/>
  <c r="I168" i="1"/>
  <c r="L168" i="1" s="1"/>
  <c r="I169" i="1"/>
  <c r="L169" i="1" s="1"/>
  <c r="I170" i="1"/>
  <c r="L170" i="1" s="1"/>
  <c r="I171" i="1"/>
  <c r="L171" i="1" s="1"/>
  <c r="I172" i="1"/>
  <c r="I173" i="1"/>
  <c r="L173" i="1" s="1"/>
  <c r="I174" i="1"/>
  <c r="L174" i="1" s="1"/>
  <c r="I175" i="1"/>
  <c r="L175" i="1" s="1"/>
  <c r="I176" i="1"/>
  <c r="L176" i="1" s="1"/>
  <c r="I177" i="1"/>
  <c r="L177" i="1" s="1"/>
  <c r="I178" i="1"/>
  <c r="L178" i="1" s="1"/>
  <c r="I179" i="1"/>
  <c r="L179" i="1" s="1"/>
  <c r="I180" i="1"/>
  <c r="I181" i="1"/>
  <c r="L181" i="1" s="1"/>
  <c r="I182" i="1"/>
  <c r="L182" i="1" s="1"/>
  <c r="I183" i="1"/>
  <c r="L183" i="1" s="1"/>
  <c r="I184" i="1"/>
  <c r="L184" i="1" s="1"/>
  <c r="I185" i="1"/>
  <c r="L185" i="1" s="1"/>
  <c r="I186" i="1"/>
  <c r="L186" i="1" s="1"/>
  <c r="I187" i="1"/>
  <c r="L187" i="1" s="1"/>
  <c r="I188" i="1"/>
  <c r="I189" i="1"/>
  <c r="L189" i="1" s="1"/>
  <c r="I190" i="1"/>
  <c r="L190" i="1" s="1"/>
  <c r="I191" i="1"/>
  <c r="L191" i="1" s="1"/>
  <c r="I192" i="1"/>
  <c r="L192" i="1" s="1"/>
  <c r="I193" i="1"/>
  <c r="L193" i="1" s="1"/>
  <c r="I194" i="1"/>
  <c r="L194" i="1" s="1"/>
  <c r="I195" i="1"/>
  <c r="L195" i="1" s="1"/>
  <c r="I196" i="1"/>
  <c r="I197" i="1"/>
  <c r="L197" i="1" s="1"/>
  <c r="I198" i="1"/>
  <c r="L198" i="1" s="1"/>
  <c r="I199" i="1"/>
  <c r="L199" i="1" s="1"/>
  <c r="I200" i="1"/>
  <c r="L200" i="1" s="1"/>
  <c r="I201" i="1"/>
  <c r="L201" i="1" s="1"/>
  <c r="I202" i="1"/>
  <c r="L202" i="1" s="1"/>
  <c r="I203" i="1"/>
  <c r="L203" i="1" s="1"/>
  <c r="I204" i="1"/>
  <c r="I205" i="1"/>
  <c r="L205" i="1" s="1"/>
  <c r="I206" i="1"/>
  <c r="L206" i="1" s="1"/>
  <c r="I207" i="1"/>
  <c r="L207" i="1" s="1"/>
  <c r="I208" i="1"/>
  <c r="L208" i="1" s="1"/>
  <c r="I209" i="1"/>
  <c r="L209" i="1" s="1"/>
  <c r="I210" i="1"/>
  <c r="L210" i="1" s="1"/>
  <c r="I211" i="1"/>
  <c r="L211" i="1" s="1"/>
  <c r="I212" i="1"/>
  <c r="I213" i="1"/>
  <c r="L213" i="1" s="1"/>
  <c r="I214" i="1"/>
  <c r="L214" i="1" s="1"/>
  <c r="I215" i="1"/>
  <c r="L215" i="1" s="1"/>
  <c r="I216" i="1"/>
  <c r="L216" i="1" s="1"/>
  <c r="I217" i="1"/>
  <c r="L217" i="1" s="1"/>
  <c r="I218" i="1"/>
  <c r="L218" i="1" s="1"/>
  <c r="I219" i="1"/>
  <c r="L219" i="1" s="1"/>
  <c r="I220" i="1"/>
  <c r="I221" i="1"/>
  <c r="L221" i="1" s="1"/>
  <c r="I222" i="1"/>
  <c r="L222" i="1" s="1"/>
  <c r="I223" i="1"/>
  <c r="L223" i="1" s="1"/>
  <c r="I224" i="1"/>
  <c r="L224" i="1" s="1"/>
  <c r="I225" i="1"/>
  <c r="L225" i="1" s="1"/>
  <c r="I226" i="1"/>
  <c r="L226" i="1" s="1"/>
  <c r="I227" i="1"/>
  <c r="L227" i="1" s="1"/>
  <c r="I228" i="1"/>
  <c r="I229" i="1"/>
  <c r="L229" i="1" s="1"/>
  <c r="I230" i="1"/>
  <c r="L230" i="1" s="1"/>
  <c r="I231" i="1"/>
  <c r="L231" i="1" s="1"/>
  <c r="I232" i="1"/>
  <c r="L232" i="1" s="1"/>
  <c r="I233" i="1"/>
  <c r="L233" i="1" s="1"/>
  <c r="I234" i="1"/>
  <c r="L234" i="1" s="1"/>
  <c r="I235" i="1"/>
  <c r="L235" i="1" s="1"/>
  <c r="I236" i="1"/>
  <c r="I237" i="1"/>
  <c r="L237" i="1" s="1"/>
  <c r="I238" i="1"/>
  <c r="L238" i="1" s="1"/>
  <c r="I239" i="1"/>
  <c r="L239" i="1" s="1"/>
  <c r="I240" i="1"/>
  <c r="L240" i="1" s="1"/>
  <c r="I241" i="1"/>
  <c r="L241" i="1" s="1"/>
  <c r="I242" i="1"/>
  <c r="L242" i="1" s="1"/>
  <c r="I243" i="1"/>
  <c r="L243" i="1" s="1"/>
  <c r="I244" i="1"/>
  <c r="I245" i="1"/>
  <c r="L245" i="1" s="1"/>
  <c r="I246" i="1"/>
  <c r="L246" i="1" s="1"/>
  <c r="I247" i="1"/>
  <c r="L247" i="1" s="1"/>
  <c r="I248" i="1"/>
  <c r="L248" i="1" s="1"/>
  <c r="I249" i="1"/>
  <c r="L249" i="1" s="1"/>
  <c r="I250" i="1"/>
  <c r="L250" i="1" s="1"/>
  <c r="I251" i="1"/>
  <c r="L251" i="1" s="1"/>
  <c r="I252" i="1"/>
  <c r="I253" i="1"/>
  <c r="L253" i="1" s="1"/>
  <c r="I254" i="1"/>
  <c r="L254" i="1" s="1"/>
  <c r="I255" i="1"/>
  <c r="L255" i="1" s="1"/>
  <c r="I256" i="1"/>
  <c r="L256" i="1" s="1"/>
  <c r="I257" i="1"/>
  <c r="L257" i="1" s="1"/>
  <c r="I258" i="1"/>
  <c r="L258" i="1" s="1"/>
  <c r="I259" i="1"/>
  <c r="L259" i="1" s="1"/>
  <c r="I260" i="1"/>
  <c r="I261" i="1"/>
  <c r="L261" i="1" s="1"/>
  <c r="I262" i="1"/>
  <c r="L262" i="1" s="1"/>
  <c r="I263" i="1"/>
  <c r="L263" i="1" s="1"/>
  <c r="I264" i="1"/>
  <c r="L264" i="1" s="1"/>
  <c r="I265" i="1"/>
  <c r="L265" i="1" s="1"/>
  <c r="I266" i="1"/>
  <c r="L266" i="1" s="1"/>
  <c r="I267" i="1"/>
  <c r="L267" i="1" s="1"/>
  <c r="I268" i="1"/>
  <c r="I269" i="1"/>
  <c r="L269" i="1" s="1"/>
  <c r="I270" i="1"/>
  <c r="L270" i="1" s="1"/>
  <c r="I271" i="1"/>
  <c r="L271" i="1" s="1"/>
  <c r="I272" i="1"/>
  <c r="L272" i="1" s="1"/>
  <c r="I273" i="1"/>
  <c r="L273" i="1" s="1"/>
  <c r="I274" i="1"/>
  <c r="L274" i="1" s="1"/>
  <c r="I275" i="1"/>
  <c r="L275" i="1" s="1"/>
  <c r="I276" i="1"/>
  <c r="I277" i="1"/>
  <c r="L277" i="1" s="1"/>
  <c r="I278" i="1"/>
  <c r="L278" i="1" s="1"/>
  <c r="I279" i="1"/>
  <c r="L279" i="1" s="1"/>
  <c r="I280" i="1"/>
  <c r="L280" i="1" s="1"/>
  <c r="I281" i="1"/>
  <c r="L281" i="1" s="1"/>
  <c r="I282" i="1"/>
  <c r="L282" i="1" s="1"/>
  <c r="I283" i="1"/>
  <c r="L283" i="1" s="1"/>
  <c r="I284" i="1"/>
  <c r="I285" i="1"/>
  <c r="L285" i="1" s="1"/>
  <c r="I286" i="1"/>
  <c r="L286" i="1" s="1"/>
  <c r="I287" i="1"/>
  <c r="L287" i="1" s="1"/>
  <c r="I288" i="1"/>
  <c r="L288" i="1" s="1"/>
  <c r="I289" i="1"/>
  <c r="L289" i="1" s="1"/>
  <c r="I290" i="1"/>
  <c r="L290" i="1" s="1"/>
  <c r="I291" i="1"/>
  <c r="L291" i="1" s="1"/>
  <c r="I292" i="1"/>
  <c r="I293" i="1"/>
  <c r="L293" i="1" s="1"/>
  <c r="I294" i="1"/>
  <c r="L294" i="1" s="1"/>
  <c r="I295" i="1"/>
  <c r="L295" i="1" s="1"/>
  <c r="I296" i="1"/>
  <c r="L296" i="1" s="1"/>
  <c r="I297" i="1"/>
  <c r="L297" i="1" s="1"/>
  <c r="I298" i="1"/>
  <c r="L298" i="1" s="1"/>
  <c r="I299" i="1"/>
  <c r="L299" i="1" s="1"/>
  <c r="I300" i="1"/>
  <c r="I301" i="1"/>
  <c r="L301" i="1" s="1"/>
  <c r="I302" i="1"/>
  <c r="L302" i="1" s="1"/>
  <c r="I303" i="1"/>
  <c r="L303" i="1" s="1"/>
  <c r="I304" i="1"/>
  <c r="L304" i="1" s="1"/>
  <c r="I305" i="1"/>
  <c r="L305" i="1" s="1"/>
  <c r="I306" i="1"/>
  <c r="L306" i="1" s="1"/>
  <c r="I307" i="1"/>
  <c r="L307" i="1" s="1"/>
  <c r="I308" i="1"/>
  <c r="I309" i="1"/>
  <c r="L309" i="1" s="1"/>
  <c r="I310" i="1"/>
  <c r="L310" i="1" s="1"/>
  <c r="I311" i="1"/>
  <c r="L311" i="1" s="1"/>
  <c r="I312" i="1"/>
  <c r="L312" i="1" s="1"/>
  <c r="I313" i="1"/>
  <c r="L313" i="1" s="1"/>
  <c r="I314" i="1"/>
  <c r="L314" i="1" s="1"/>
  <c r="I315" i="1"/>
  <c r="L315" i="1" s="1"/>
  <c r="I316" i="1"/>
  <c r="I317" i="1"/>
  <c r="L317" i="1" s="1"/>
  <c r="I318" i="1"/>
  <c r="L318" i="1" s="1"/>
  <c r="I319" i="1"/>
  <c r="L319" i="1" s="1"/>
  <c r="I320" i="1"/>
  <c r="L320" i="1" s="1"/>
  <c r="I321" i="1"/>
  <c r="L321" i="1" s="1"/>
  <c r="I322" i="1"/>
  <c r="L322" i="1" s="1"/>
  <c r="I323" i="1"/>
  <c r="L323" i="1" s="1"/>
  <c r="I324" i="1"/>
  <c r="I325" i="1"/>
  <c r="L325" i="1" s="1"/>
  <c r="I326" i="1"/>
  <c r="L326" i="1" s="1"/>
  <c r="I327" i="1"/>
  <c r="L327" i="1" s="1"/>
  <c r="I328" i="1"/>
  <c r="L328" i="1" s="1"/>
  <c r="I329" i="1"/>
  <c r="L329" i="1" s="1"/>
  <c r="I330" i="1"/>
  <c r="L330" i="1" s="1"/>
  <c r="I331" i="1"/>
  <c r="L331" i="1" s="1"/>
  <c r="I332" i="1"/>
  <c r="I333" i="1"/>
  <c r="L333" i="1" s="1"/>
  <c r="I334" i="1"/>
  <c r="L334" i="1" s="1"/>
  <c r="I335" i="1"/>
  <c r="L335" i="1" s="1"/>
  <c r="I336" i="1"/>
  <c r="L336" i="1" s="1"/>
  <c r="I337" i="1"/>
  <c r="L337" i="1" s="1"/>
  <c r="I338" i="1"/>
  <c r="L338" i="1" s="1"/>
  <c r="I339" i="1"/>
  <c r="L339" i="1" s="1"/>
  <c r="I340" i="1"/>
  <c r="I341" i="1"/>
  <c r="L341" i="1" s="1"/>
  <c r="I342" i="1"/>
  <c r="L342" i="1" s="1"/>
  <c r="I343" i="1"/>
  <c r="L343" i="1" s="1"/>
  <c r="I344" i="1"/>
  <c r="L344" i="1" s="1"/>
  <c r="I345" i="1"/>
  <c r="L345" i="1" s="1"/>
  <c r="I346" i="1"/>
  <c r="L346" i="1" s="1"/>
  <c r="I347" i="1"/>
  <c r="L347" i="1" s="1"/>
  <c r="I348" i="1"/>
  <c r="I349" i="1"/>
  <c r="L349" i="1" s="1"/>
  <c r="I350" i="1"/>
  <c r="L350" i="1" s="1"/>
  <c r="I351" i="1"/>
  <c r="L351" i="1" s="1"/>
  <c r="I352" i="1"/>
  <c r="L352" i="1" s="1"/>
  <c r="I353" i="1"/>
  <c r="L353" i="1" s="1"/>
  <c r="I354" i="1"/>
  <c r="L354" i="1" s="1"/>
  <c r="I355" i="1"/>
  <c r="L355" i="1" s="1"/>
  <c r="I356" i="1"/>
  <c r="I357" i="1"/>
  <c r="L357" i="1" s="1"/>
  <c r="I358" i="1"/>
  <c r="L358" i="1" s="1"/>
  <c r="I359" i="1"/>
  <c r="L359" i="1" s="1"/>
  <c r="I360" i="1"/>
  <c r="I361" i="1"/>
  <c r="L361" i="1" s="1"/>
  <c r="I362" i="1"/>
  <c r="L362" i="1" s="1"/>
  <c r="I363" i="1"/>
  <c r="L363" i="1" s="1"/>
  <c r="I364" i="1"/>
  <c r="I365" i="1"/>
  <c r="L365" i="1" s="1"/>
  <c r="I366" i="1"/>
  <c r="L366" i="1" s="1"/>
  <c r="I367" i="1"/>
  <c r="L367" i="1" s="1"/>
  <c r="I368" i="1"/>
  <c r="I369" i="1"/>
  <c r="L369" i="1" s="1"/>
  <c r="I370" i="1"/>
  <c r="L370" i="1" s="1"/>
  <c r="I371" i="1"/>
  <c r="L371" i="1" s="1"/>
  <c r="I372" i="1"/>
  <c r="I373" i="1"/>
  <c r="L373" i="1" s="1"/>
  <c r="I374" i="1"/>
  <c r="L374" i="1" s="1"/>
  <c r="I375" i="1"/>
  <c r="L375" i="1" s="1"/>
  <c r="I376" i="1"/>
  <c r="I377" i="1"/>
  <c r="L377" i="1" s="1"/>
  <c r="I378" i="1"/>
  <c r="L378" i="1" s="1"/>
  <c r="I379" i="1"/>
  <c r="L379" i="1" s="1"/>
  <c r="I380" i="1"/>
  <c r="I381" i="1"/>
  <c r="L381" i="1" s="1"/>
  <c r="I382" i="1"/>
  <c r="L382" i="1" s="1"/>
  <c r="I383" i="1"/>
  <c r="L383" i="1" s="1"/>
  <c r="I384" i="1"/>
  <c r="I385" i="1"/>
  <c r="L385" i="1" s="1"/>
  <c r="I386" i="1"/>
  <c r="L386" i="1" s="1"/>
  <c r="I387" i="1"/>
  <c r="L387" i="1" s="1"/>
  <c r="I388" i="1"/>
  <c r="I389" i="1"/>
  <c r="L389" i="1" s="1"/>
  <c r="I390" i="1"/>
  <c r="L390" i="1" s="1"/>
  <c r="I391" i="1"/>
  <c r="L391" i="1" s="1"/>
  <c r="I392" i="1"/>
  <c r="I393" i="1"/>
  <c r="L393" i="1" s="1"/>
  <c r="I394" i="1"/>
  <c r="L394" i="1" s="1"/>
  <c r="I395" i="1"/>
  <c r="L395" i="1" s="1"/>
  <c r="I396" i="1"/>
  <c r="I397" i="1"/>
  <c r="L397" i="1" s="1"/>
  <c r="I398" i="1"/>
  <c r="L398" i="1" s="1"/>
  <c r="I399" i="1"/>
  <c r="L399" i="1" s="1"/>
  <c r="I400" i="1"/>
  <c r="I401" i="1"/>
  <c r="L401" i="1" s="1"/>
  <c r="I402" i="1"/>
  <c r="L402" i="1" s="1"/>
  <c r="I403" i="1"/>
  <c r="L403" i="1" s="1"/>
  <c r="I404" i="1"/>
  <c r="I405" i="1"/>
  <c r="L405" i="1" s="1"/>
  <c r="I406" i="1"/>
  <c r="L406" i="1" s="1"/>
  <c r="I407" i="1"/>
  <c r="L407" i="1" s="1"/>
  <c r="I408" i="1"/>
  <c r="I409" i="1"/>
  <c r="L409" i="1" s="1"/>
  <c r="I410" i="1"/>
  <c r="L410" i="1" s="1"/>
  <c r="I411" i="1"/>
  <c r="L411" i="1" s="1"/>
  <c r="I412" i="1"/>
  <c r="I413" i="1"/>
  <c r="L413" i="1" s="1"/>
  <c r="I414" i="1"/>
  <c r="L414" i="1" s="1"/>
  <c r="I415" i="1"/>
  <c r="L415" i="1" s="1"/>
  <c r="I416" i="1"/>
  <c r="I417" i="1"/>
  <c r="L417" i="1" s="1"/>
  <c r="I418" i="1"/>
  <c r="L418" i="1" s="1"/>
  <c r="I419" i="1"/>
  <c r="L419" i="1" s="1"/>
  <c r="I420" i="1"/>
  <c r="I421" i="1"/>
  <c r="L421" i="1" s="1"/>
  <c r="I422" i="1"/>
  <c r="L422" i="1" s="1"/>
  <c r="I423" i="1"/>
  <c r="L423" i="1" s="1"/>
  <c r="I424" i="1"/>
  <c r="I425" i="1"/>
  <c r="L425" i="1" s="1"/>
  <c r="I426" i="1"/>
  <c r="L426" i="1" s="1"/>
  <c r="I427" i="1"/>
  <c r="L427" i="1" s="1"/>
  <c r="I428" i="1"/>
  <c r="I429" i="1"/>
  <c r="L429" i="1" s="1"/>
  <c r="I430" i="1"/>
  <c r="L430" i="1" s="1"/>
  <c r="I431" i="1"/>
  <c r="L431" i="1" s="1"/>
  <c r="I432" i="1"/>
  <c r="I433" i="1"/>
  <c r="L433" i="1" s="1"/>
  <c r="I434" i="1"/>
  <c r="L434" i="1" s="1"/>
  <c r="I435" i="1"/>
  <c r="L435" i="1" s="1"/>
  <c r="I436" i="1"/>
  <c r="I437" i="1"/>
  <c r="L437" i="1" s="1"/>
  <c r="I438" i="1"/>
  <c r="L438" i="1" s="1"/>
  <c r="I439" i="1"/>
  <c r="L439" i="1" s="1"/>
  <c r="I440" i="1"/>
  <c r="I441" i="1"/>
  <c r="L441" i="1" s="1"/>
  <c r="I442" i="1"/>
  <c r="L442" i="1" s="1"/>
  <c r="I443" i="1"/>
  <c r="L443" i="1" s="1"/>
  <c r="I444" i="1"/>
  <c r="I445" i="1"/>
  <c r="L445" i="1" s="1"/>
  <c r="I446" i="1"/>
  <c r="L446" i="1" s="1"/>
  <c r="I447" i="1"/>
  <c r="L447" i="1" s="1"/>
  <c r="I448" i="1"/>
  <c r="I449" i="1"/>
  <c r="L449" i="1" s="1"/>
  <c r="I450" i="1"/>
  <c r="L450" i="1" s="1"/>
  <c r="I451" i="1"/>
  <c r="L451" i="1" s="1"/>
  <c r="I452" i="1"/>
  <c r="I453" i="1"/>
  <c r="L453" i="1" s="1"/>
  <c r="I454" i="1"/>
  <c r="L454" i="1" s="1"/>
  <c r="I455" i="1"/>
  <c r="L455" i="1" s="1"/>
  <c r="I456" i="1"/>
  <c r="I457" i="1"/>
  <c r="L457" i="1" s="1"/>
  <c r="I458" i="1"/>
  <c r="L458" i="1" s="1"/>
  <c r="I459" i="1"/>
  <c r="L459" i="1" s="1"/>
  <c r="I460" i="1"/>
  <c r="I461" i="1"/>
  <c r="L461" i="1" s="1"/>
  <c r="I462" i="1"/>
  <c r="L462" i="1" s="1"/>
  <c r="I463" i="1"/>
  <c r="L463" i="1" s="1"/>
  <c r="I464" i="1"/>
  <c r="I465" i="1"/>
  <c r="L465" i="1" s="1"/>
  <c r="I466" i="1"/>
  <c r="L466" i="1" s="1"/>
  <c r="I467" i="1"/>
  <c r="L467" i="1" s="1"/>
  <c r="I468" i="1"/>
  <c r="I469" i="1"/>
  <c r="L469" i="1" s="1"/>
  <c r="I470" i="1"/>
  <c r="L470" i="1" s="1"/>
  <c r="I471" i="1"/>
  <c r="L471" i="1" s="1"/>
  <c r="I472" i="1"/>
  <c r="I473" i="1"/>
  <c r="L473" i="1" s="1"/>
  <c r="I474" i="1"/>
  <c r="L474" i="1" s="1"/>
  <c r="I475" i="1"/>
  <c r="L475" i="1" s="1"/>
  <c r="I476" i="1"/>
  <c r="I477" i="1"/>
  <c r="L477" i="1" s="1"/>
  <c r="I478" i="1"/>
  <c r="L478" i="1" s="1"/>
  <c r="I479" i="1"/>
  <c r="L479" i="1" s="1"/>
  <c r="I480" i="1"/>
  <c r="I481" i="1"/>
  <c r="L481" i="1" s="1"/>
  <c r="I482" i="1"/>
  <c r="L482" i="1" s="1"/>
  <c r="I483" i="1"/>
  <c r="L483" i="1" s="1"/>
  <c r="I484" i="1"/>
  <c r="I485" i="1"/>
  <c r="L485" i="1" s="1"/>
  <c r="I486" i="1"/>
  <c r="L486" i="1" s="1"/>
  <c r="I487" i="1"/>
  <c r="L487" i="1" s="1"/>
  <c r="I488" i="1"/>
  <c r="I489" i="1"/>
  <c r="L489" i="1" s="1"/>
  <c r="I490" i="1"/>
  <c r="L490" i="1" s="1"/>
  <c r="I491" i="1"/>
  <c r="L491" i="1" s="1"/>
  <c r="I492" i="1"/>
  <c r="I493" i="1"/>
  <c r="L493" i="1" s="1"/>
  <c r="I494" i="1"/>
  <c r="L494" i="1" s="1"/>
  <c r="I495" i="1"/>
  <c r="L495" i="1" s="1"/>
  <c r="I496" i="1"/>
  <c r="I497" i="1"/>
  <c r="L497" i="1" s="1"/>
  <c r="I498" i="1"/>
  <c r="L498" i="1" s="1"/>
  <c r="I499" i="1"/>
  <c r="L499" i="1" s="1"/>
  <c r="I500" i="1"/>
  <c r="I501" i="1"/>
  <c r="I2" i="1"/>
  <c r="J2" i="1" s="1"/>
  <c r="J7" i="8"/>
  <c r="I4" i="8"/>
  <c r="J150" i="1" l="1"/>
  <c r="L150" i="1"/>
  <c r="J146" i="1"/>
  <c r="L146" i="1"/>
  <c r="J142" i="1"/>
  <c r="L142" i="1"/>
  <c r="J138" i="1"/>
  <c r="L138" i="1"/>
  <c r="J501" i="1"/>
  <c r="L501" i="1"/>
  <c r="J500" i="1"/>
  <c r="L500" i="1"/>
  <c r="J496" i="1"/>
  <c r="L496" i="1"/>
  <c r="J492" i="1"/>
  <c r="L492" i="1"/>
  <c r="J488" i="1"/>
  <c r="L488" i="1"/>
  <c r="J484" i="1"/>
  <c r="L484" i="1"/>
  <c r="J480" i="1"/>
  <c r="L480" i="1"/>
  <c r="J476" i="1"/>
  <c r="L476" i="1"/>
  <c r="J472" i="1"/>
  <c r="L472" i="1"/>
  <c r="J468" i="1"/>
  <c r="L468" i="1"/>
  <c r="J464" i="1"/>
  <c r="L464" i="1"/>
  <c r="J460" i="1"/>
  <c r="L460" i="1"/>
  <c r="J456" i="1"/>
  <c r="L456" i="1"/>
  <c r="J452" i="1"/>
  <c r="L452" i="1"/>
  <c r="J448" i="1"/>
  <c r="L448" i="1"/>
  <c r="J444" i="1"/>
  <c r="L444" i="1"/>
  <c r="J440" i="1"/>
  <c r="L440" i="1"/>
  <c r="J436" i="1"/>
  <c r="L436" i="1"/>
  <c r="J432" i="1"/>
  <c r="L432" i="1"/>
  <c r="J428" i="1"/>
  <c r="L428" i="1"/>
  <c r="J424" i="1"/>
  <c r="L424" i="1"/>
  <c r="J420" i="1"/>
  <c r="L420" i="1"/>
  <c r="J416" i="1"/>
  <c r="L416" i="1"/>
  <c r="J412" i="1"/>
  <c r="L412" i="1"/>
  <c r="J408" i="1"/>
  <c r="L408" i="1"/>
  <c r="J404" i="1"/>
  <c r="L404" i="1"/>
  <c r="J400" i="1"/>
  <c r="L400" i="1"/>
  <c r="J396" i="1"/>
  <c r="L396" i="1"/>
  <c r="J392" i="1"/>
  <c r="L392" i="1"/>
  <c r="J388" i="1"/>
  <c r="L388" i="1"/>
  <c r="J384" i="1"/>
  <c r="L384" i="1"/>
  <c r="J380" i="1"/>
  <c r="L380" i="1"/>
  <c r="J376" i="1"/>
  <c r="L376" i="1"/>
  <c r="J372" i="1"/>
  <c r="L372" i="1"/>
  <c r="J368" i="1"/>
  <c r="L368" i="1"/>
  <c r="J364" i="1"/>
  <c r="L364" i="1"/>
  <c r="J360" i="1"/>
  <c r="L360" i="1"/>
  <c r="J356" i="1"/>
  <c r="L356" i="1"/>
  <c r="J348" i="1"/>
  <c r="L348" i="1"/>
  <c r="J340" i="1"/>
  <c r="L340" i="1"/>
  <c r="J332" i="1"/>
  <c r="L332" i="1"/>
  <c r="J324" i="1"/>
  <c r="L324" i="1"/>
  <c r="J316" i="1"/>
  <c r="L316" i="1"/>
  <c r="J308" i="1"/>
  <c r="L308" i="1"/>
  <c r="J300" i="1"/>
  <c r="L300" i="1"/>
  <c r="J292" i="1"/>
  <c r="L292" i="1"/>
  <c r="J284" i="1"/>
  <c r="L284" i="1"/>
  <c r="J276" i="1"/>
  <c r="L276" i="1"/>
  <c r="J268" i="1"/>
  <c r="L268" i="1"/>
  <c r="J260" i="1"/>
  <c r="L260" i="1"/>
  <c r="J252" i="1"/>
  <c r="L252" i="1"/>
  <c r="J244" i="1"/>
  <c r="L244" i="1"/>
  <c r="J236" i="1"/>
  <c r="L236" i="1"/>
  <c r="J228" i="1"/>
  <c r="L228" i="1"/>
  <c r="J220" i="1"/>
  <c r="L220" i="1"/>
  <c r="J212" i="1"/>
  <c r="L212" i="1"/>
  <c r="J204" i="1"/>
  <c r="L204" i="1"/>
  <c r="J196" i="1"/>
  <c r="L196" i="1"/>
  <c r="J188" i="1"/>
  <c r="L188" i="1"/>
  <c r="J180" i="1"/>
  <c r="L180" i="1"/>
  <c r="J172" i="1"/>
  <c r="L172" i="1"/>
  <c r="J164" i="1"/>
  <c r="L164" i="1"/>
  <c r="J156" i="1"/>
  <c r="L156" i="1"/>
  <c r="J148" i="1"/>
  <c r="L148" i="1"/>
  <c r="J140" i="1"/>
  <c r="L140" i="1"/>
  <c r="J128" i="1"/>
  <c r="L128" i="1"/>
  <c r="J124" i="1"/>
  <c r="L124" i="1"/>
  <c r="J120" i="1"/>
  <c r="L120" i="1"/>
  <c r="J116" i="1"/>
  <c r="L116" i="1"/>
  <c r="J112" i="1"/>
  <c r="L112" i="1"/>
  <c r="J108" i="1"/>
  <c r="L108" i="1"/>
  <c r="J104" i="1"/>
  <c r="L104" i="1"/>
  <c r="J100" i="1"/>
  <c r="L100" i="1"/>
  <c r="J96" i="1"/>
  <c r="L96" i="1"/>
  <c r="J92" i="1"/>
  <c r="L92" i="1"/>
  <c r="J88" i="1"/>
  <c r="L88" i="1"/>
  <c r="J84" i="1"/>
  <c r="L84" i="1"/>
  <c r="J80" i="1"/>
  <c r="L80" i="1"/>
  <c r="J76" i="1"/>
  <c r="L76" i="1"/>
  <c r="J72" i="1"/>
  <c r="L72" i="1"/>
  <c r="J15" i="1"/>
  <c r="L15" i="1"/>
  <c r="J11" i="1"/>
  <c r="L11" i="1"/>
  <c r="J7" i="1"/>
  <c r="L7" i="1"/>
  <c r="J3" i="1"/>
  <c r="L3" i="1"/>
  <c r="L14" i="1"/>
  <c r="J13" i="1"/>
  <c r="L13" i="1"/>
  <c r="J5" i="1"/>
  <c r="L5" i="1"/>
  <c r="L10" i="1"/>
  <c r="J68" i="1"/>
  <c r="L68" i="1"/>
  <c r="J64" i="1"/>
  <c r="L64" i="1"/>
  <c r="J60" i="1"/>
  <c r="L60" i="1"/>
  <c r="J56" i="1"/>
  <c r="L56" i="1"/>
  <c r="J52" i="1"/>
  <c r="L52" i="1"/>
  <c r="J48" i="1"/>
  <c r="L48" i="1"/>
  <c r="J44" i="1"/>
  <c r="L44" i="1"/>
  <c r="J40" i="1"/>
  <c r="L40" i="1"/>
  <c r="J36" i="1"/>
  <c r="L36" i="1"/>
  <c r="J32" i="1"/>
  <c r="L32" i="1"/>
  <c r="J28" i="1"/>
  <c r="L28" i="1"/>
  <c r="J24" i="1"/>
  <c r="L24" i="1"/>
  <c r="J20" i="1"/>
  <c r="L20" i="1"/>
  <c r="J16" i="1"/>
  <c r="L16" i="1"/>
  <c r="J12" i="1"/>
  <c r="L12" i="1"/>
  <c r="J8" i="1"/>
  <c r="L8" i="1"/>
  <c r="J4" i="1"/>
  <c r="L4" i="1"/>
  <c r="L6" i="1"/>
  <c r="L2" i="1"/>
  <c r="K236" i="1"/>
  <c r="K360" i="1"/>
  <c r="K488" i="1"/>
  <c r="K112" i="1"/>
  <c r="K424" i="1"/>
  <c r="K48" i="1"/>
  <c r="K472" i="1"/>
  <c r="K408" i="1"/>
  <c r="K332" i="1"/>
  <c r="K204" i="1"/>
  <c r="K96" i="1"/>
  <c r="K32" i="1"/>
  <c r="K456" i="1"/>
  <c r="K392" i="1"/>
  <c r="K300" i="1"/>
  <c r="K172" i="1"/>
  <c r="K80" i="1"/>
  <c r="K501" i="1"/>
  <c r="K13" i="1"/>
  <c r="K440" i="1"/>
  <c r="K376" i="1"/>
  <c r="K268" i="1"/>
  <c r="K140" i="1"/>
  <c r="K64" i="1"/>
  <c r="K500" i="1"/>
  <c r="J498" i="1"/>
  <c r="K498" i="1"/>
  <c r="J486" i="1"/>
  <c r="K486" i="1"/>
  <c r="J474" i="1"/>
  <c r="K474" i="1"/>
  <c r="J466" i="1"/>
  <c r="K466" i="1"/>
  <c r="J454" i="1"/>
  <c r="K454" i="1"/>
  <c r="J442" i="1"/>
  <c r="K442" i="1"/>
  <c r="J430" i="1"/>
  <c r="K430" i="1"/>
  <c r="J418" i="1"/>
  <c r="K418" i="1"/>
  <c r="J402" i="1"/>
  <c r="K402" i="1"/>
  <c r="J394" i="1"/>
  <c r="K394" i="1"/>
  <c r="J382" i="1"/>
  <c r="K382" i="1"/>
  <c r="J366" i="1"/>
  <c r="K366" i="1"/>
  <c r="J354" i="1"/>
  <c r="K354" i="1"/>
  <c r="J338" i="1"/>
  <c r="K338" i="1"/>
  <c r="J326" i="1"/>
  <c r="K326" i="1"/>
  <c r="J314" i="1"/>
  <c r="K314" i="1"/>
  <c r="J302" i="1"/>
  <c r="K302" i="1"/>
  <c r="J290" i="1"/>
  <c r="K290" i="1"/>
  <c r="J278" i="1"/>
  <c r="K278" i="1"/>
  <c r="J262" i="1"/>
  <c r="K262" i="1"/>
  <c r="J250" i="1"/>
  <c r="K250" i="1"/>
  <c r="J238" i="1"/>
  <c r="K238" i="1"/>
  <c r="J226" i="1"/>
  <c r="K226" i="1"/>
  <c r="J214" i="1"/>
  <c r="K214" i="1"/>
  <c r="J202" i="1"/>
  <c r="K202" i="1"/>
  <c r="J190" i="1"/>
  <c r="K190" i="1"/>
  <c r="J178" i="1"/>
  <c r="K178" i="1"/>
  <c r="J166" i="1"/>
  <c r="K166" i="1"/>
  <c r="J158" i="1"/>
  <c r="K158" i="1"/>
  <c r="J489" i="1"/>
  <c r="K489" i="1"/>
  <c r="J477" i="1"/>
  <c r="K477" i="1"/>
  <c r="J465" i="1"/>
  <c r="K465" i="1"/>
  <c r="J457" i="1"/>
  <c r="K457" i="1"/>
  <c r="J445" i="1"/>
  <c r="K445" i="1"/>
  <c r="J437" i="1"/>
  <c r="K437" i="1"/>
  <c r="J433" i="1"/>
  <c r="K433" i="1"/>
  <c r="J429" i="1"/>
  <c r="K429" i="1"/>
  <c r="J425" i="1"/>
  <c r="K425" i="1"/>
  <c r="J421" i="1"/>
  <c r="K421" i="1"/>
  <c r="J417" i="1"/>
  <c r="K417" i="1"/>
  <c r="J413" i="1"/>
  <c r="K413" i="1"/>
  <c r="J409" i="1"/>
  <c r="K409" i="1"/>
  <c r="J405" i="1"/>
  <c r="K405" i="1"/>
  <c r="J401" i="1"/>
  <c r="K401" i="1"/>
  <c r="J397" i="1"/>
  <c r="K397" i="1"/>
  <c r="J393" i="1"/>
  <c r="K393" i="1"/>
  <c r="J389" i="1"/>
  <c r="K389" i="1"/>
  <c r="J385" i="1"/>
  <c r="K385" i="1"/>
  <c r="J381" i="1"/>
  <c r="K381" i="1"/>
  <c r="J377" i="1"/>
  <c r="K377" i="1"/>
  <c r="J373" i="1"/>
  <c r="K373" i="1"/>
  <c r="J369" i="1"/>
  <c r="K369" i="1"/>
  <c r="J365" i="1"/>
  <c r="K365" i="1"/>
  <c r="J361" i="1"/>
  <c r="K361" i="1"/>
  <c r="J357" i="1"/>
  <c r="K357" i="1"/>
  <c r="J353" i="1"/>
  <c r="K353" i="1"/>
  <c r="J349" i="1"/>
  <c r="K349" i="1"/>
  <c r="J345" i="1"/>
  <c r="K345" i="1"/>
  <c r="J341" i="1"/>
  <c r="K341" i="1"/>
  <c r="J337" i="1"/>
  <c r="K337" i="1"/>
  <c r="J333" i="1"/>
  <c r="K333" i="1"/>
  <c r="J329" i="1"/>
  <c r="K329" i="1"/>
  <c r="J325" i="1"/>
  <c r="K325" i="1"/>
  <c r="J321" i="1"/>
  <c r="K321" i="1"/>
  <c r="J317" i="1"/>
  <c r="K317" i="1"/>
  <c r="J313" i="1"/>
  <c r="K313" i="1"/>
  <c r="J309" i="1"/>
  <c r="K309" i="1"/>
  <c r="J305" i="1"/>
  <c r="K305" i="1"/>
  <c r="J301" i="1"/>
  <c r="K301" i="1"/>
  <c r="J297" i="1"/>
  <c r="K297" i="1"/>
  <c r="J293" i="1"/>
  <c r="K293" i="1"/>
  <c r="J289" i="1"/>
  <c r="K289" i="1"/>
  <c r="J285" i="1"/>
  <c r="K285" i="1"/>
  <c r="J281" i="1"/>
  <c r="K281" i="1"/>
  <c r="J277" i="1"/>
  <c r="K277" i="1"/>
  <c r="J273" i="1"/>
  <c r="K273" i="1"/>
  <c r="J269" i="1"/>
  <c r="K269" i="1"/>
  <c r="J265" i="1"/>
  <c r="K265" i="1"/>
  <c r="J261" i="1"/>
  <c r="K261" i="1"/>
  <c r="J257" i="1"/>
  <c r="K257" i="1"/>
  <c r="J253" i="1"/>
  <c r="K253" i="1"/>
  <c r="J249" i="1"/>
  <c r="K249" i="1"/>
  <c r="J245" i="1"/>
  <c r="K245" i="1"/>
  <c r="J241" i="1"/>
  <c r="K241" i="1"/>
  <c r="J237" i="1"/>
  <c r="K237" i="1"/>
  <c r="J233" i="1"/>
  <c r="K233" i="1"/>
  <c r="J229" i="1"/>
  <c r="K229" i="1"/>
  <c r="J225" i="1"/>
  <c r="K225" i="1"/>
  <c r="J221" i="1"/>
  <c r="K221" i="1"/>
  <c r="J217" i="1"/>
  <c r="K217" i="1"/>
  <c r="J213" i="1"/>
  <c r="K213" i="1"/>
  <c r="J209" i="1"/>
  <c r="K209" i="1"/>
  <c r="J205" i="1"/>
  <c r="K205" i="1"/>
  <c r="J201" i="1"/>
  <c r="K201" i="1"/>
  <c r="J197" i="1"/>
  <c r="K197" i="1"/>
  <c r="J193" i="1"/>
  <c r="K193" i="1"/>
  <c r="J189" i="1"/>
  <c r="K189" i="1"/>
  <c r="J185" i="1"/>
  <c r="K185" i="1"/>
  <c r="J181" i="1"/>
  <c r="K181" i="1"/>
  <c r="J177" i="1"/>
  <c r="K177" i="1"/>
  <c r="J173" i="1"/>
  <c r="K173" i="1"/>
  <c r="J169" i="1"/>
  <c r="K169" i="1"/>
  <c r="J165" i="1"/>
  <c r="K165" i="1"/>
  <c r="J161" i="1"/>
  <c r="K161" i="1"/>
  <c r="J157" i="1"/>
  <c r="K157" i="1"/>
  <c r="J153" i="1"/>
  <c r="K153" i="1"/>
  <c r="J149" i="1"/>
  <c r="K149" i="1"/>
  <c r="J145" i="1"/>
  <c r="K145" i="1"/>
  <c r="J141" i="1"/>
  <c r="K141" i="1"/>
  <c r="J137" i="1"/>
  <c r="K137" i="1"/>
  <c r="J133" i="1"/>
  <c r="K133" i="1"/>
  <c r="J129" i="1"/>
  <c r="K129" i="1"/>
  <c r="J125" i="1"/>
  <c r="K125" i="1"/>
  <c r="J121" i="1"/>
  <c r="K121" i="1"/>
  <c r="J117" i="1"/>
  <c r="K117" i="1"/>
  <c r="J113" i="1"/>
  <c r="K113" i="1"/>
  <c r="J109" i="1"/>
  <c r="K109" i="1"/>
  <c r="J105" i="1"/>
  <c r="K105" i="1"/>
  <c r="J101" i="1"/>
  <c r="K101" i="1"/>
  <c r="J97" i="1"/>
  <c r="K97" i="1"/>
  <c r="J93" i="1"/>
  <c r="K93" i="1"/>
  <c r="J89" i="1"/>
  <c r="K89" i="1"/>
  <c r="J85" i="1"/>
  <c r="K85" i="1"/>
  <c r="J81" i="1"/>
  <c r="K81" i="1"/>
  <c r="J77" i="1"/>
  <c r="K77" i="1"/>
  <c r="J73" i="1"/>
  <c r="K73" i="1"/>
  <c r="J69" i="1"/>
  <c r="K69" i="1"/>
  <c r="J65" i="1"/>
  <c r="K65" i="1"/>
  <c r="J61" i="1"/>
  <c r="K61" i="1"/>
  <c r="J57" i="1"/>
  <c r="K57" i="1"/>
  <c r="J53" i="1"/>
  <c r="K53" i="1"/>
  <c r="J49" i="1"/>
  <c r="K49" i="1"/>
  <c r="J45" i="1"/>
  <c r="K45" i="1"/>
  <c r="J41" i="1"/>
  <c r="K41" i="1"/>
  <c r="J37" i="1"/>
  <c r="K37" i="1"/>
  <c r="J33" i="1"/>
  <c r="K33" i="1"/>
  <c r="J29" i="1"/>
  <c r="K29" i="1"/>
  <c r="J25" i="1"/>
  <c r="K25" i="1"/>
  <c r="J21" i="1"/>
  <c r="K21" i="1"/>
  <c r="J17" i="1"/>
  <c r="K17" i="1"/>
  <c r="J9" i="1"/>
  <c r="K9" i="1"/>
  <c r="K5" i="1"/>
  <c r="K484" i="1"/>
  <c r="K468" i="1"/>
  <c r="K452" i="1"/>
  <c r="K436" i="1"/>
  <c r="K420" i="1"/>
  <c r="K404" i="1"/>
  <c r="K388" i="1"/>
  <c r="K372" i="1"/>
  <c r="K356" i="1"/>
  <c r="K324" i="1"/>
  <c r="K292" i="1"/>
  <c r="K260" i="1"/>
  <c r="K228" i="1"/>
  <c r="K196" i="1"/>
  <c r="K164" i="1"/>
  <c r="K128" i="1"/>
  <c r="J490" i="1"/>
  <c r="K490" i="1"/>
  <c r="J478" i="1"/>
  <c r="K478" i="1"/>
  <c r="J462" i="1"/>
  <c r="K462" i="1"/>
  <c r="J450" i="1"/>
  <c r="K450" i="1"/>
  <c r="J438" i="1"/>
  <c r="K438" i="1"/>
  <c r="J426" i="1"/>
  <c r="K426" i="1"/>
  <c r="J414" i="1"/>
  <c r="K414" i="1"/>
  <c r="J406" i="1"/>
  <c r="K406" i="1"/>
  <c r="J390" i="1"/>
  <c r="K390" i="1"/>
  <c r="J378" i="1"/>
  <c r="K378" i="1"/>
  <c r="J370" i="1"/>
  <c r="K370" i="1"/>
  <c r="J358" i="1"/>
  <c r="K358" i="1"/>
  <c r="J346" i="1"/>
  <c r="K346" i="1"/>
  <c r="J334" i="1"/>
  <c r="K334" i="1"/>
  <c r="J318" i="1"/>
  <c r="K318" i="1"/>
  <c r="J306" i="1"/>
  <c r="K306" i="1"/>
  <c r="J294" i="1"/>
  <c r="K294" i="1"/>
  <c r="J282" i="1"/>
  <c r="K282" i="1"/>
  <c r="J266" i="1"/>
  <c r="K266" i="1"/>
  <c r="J254" i="1"/>
  <c r="K254" i="1"/>
  <c r="J242" i="1"/>
  <c r="K242" i="1"/>
  <c r="J230" i="1"/>
  <c r="K230" i="1"/>
  <c r="J218" i="1"/>
  <c r="K218" i="1"/>
  <c r="J206" i="1"/>
  <c r="K206" i="1"/>
  <c r="J194" i="1"/>
  <c r="K194" i="1"/>
  <c r="J182" i="1"/>
  <c r="K182" i="1"/>
  <c r="J170" i="1"/>
  <c r="K170" i="1"/>
  <c r="J154" i="1"/>
  <c r="K154" i="1"/>
  <c r="J493" i="1"/>
  <c r="K493" i="1"/>
  <c r="J481" i="1"/>
  <c r="K481" i="1"/>
  <c r="J469" i="1"/>
  <c r="K469" i="1"/>
  <c r="J453" i="1"/>
  <c r="K453" i="1"/>
  <c r="J352" i="1"/>
  <c r="K352" i="1"/>
  <c r="J344" i="1"/>
  <c r="K344" i="1"/>
  <c r="J336" i="1"/>
  <c r="K336" i="1"/>
  <c r="J328" i="1"/>
  <c r="K328" i="1"/>
  <c r="J320" i="1"/>
  <c r="K320" i="1"/>
  <c r="J312" i="1"/>
  <c r="K312" i="1"/>
  <c r="J304" i="1"/>
  <c r="K304" i="1"/>
  <c r="J296" i="1"/>
  <c r="K296" i="1"/>
  <c r="J288" i="1"/>
  <c r="K288" i="1"/>
  <c r="J280" i="1"/>
  <c r="K280" i="1"/>
  <c r="J272" i="1"/>
  <c r="K272" i="1"/>
  <c r="J264" i="1"/>
  <c r="K264" i="1"/>
  <c r="J256" i="1"/>
  <c r="K256" i="1"/>
  <c r="J248" i="1"/>
  <c r="K248" i="1"/>
  <c r="J240" i="1"/>
  <c r="K240" i="1"/>
  <c r="J232" i="1"/>
  <c r="K232" i="1"/>
  <c r="J224" i="1"/>
  <c r="K224" i="1"/>
  <c r="J216" i="1"/>
  <c r="K216" i="1"/>
  <c r="J208" i="1"/>
  <c r="K208" i="1"/>
  <c r="J200" i="1"/>
  <c r="K200" i="1"/>
  <c r="J192" i="1"/>
  <c r="K192" i="1"/>
  <c r="J184" i="1"/>
  <c r="K184" i="1"/>
  <c r="J176" i="1"/>
  <c r="K176" i="1"/>
  <c r="J168" i="1"/>
  <c r="K168" i="1"/>
  <c r="J160" i="1"/>
  <c r="K160" i="1"/>
  <c r="J152" i="1"/>
  <c r="K152" i="1"/>
  <c r="J144" i="1"/>
  <c r="K144" i="1"/>
  <c r="J136" i="1"/>
  <c r="K136" i="1"/>
  <c r="J132" i="1"/>
  <c r="K132" i="1"/>
  <c r="K496" i="1"/>
  <c r="K480" i="1"/>
  <c r="K464" i="1"/>
  <c r="K448" i="1"/>
  <c r="K432" i="1"/>
  <c r="K416" i="1"/>
  <c r="K400" i="1"/>
  <c r="K384" i="1"/>
  <c r="K368" i="1"/>
  <c r="K348" i="1"/>
  <c r="K316" i="1"/>
  <c r="K284" i="1"/>
  <c r="K252" i="1"/>
  <c r="K220" i="1"/>
  <c r="K188" i="1"/>
  <c r="K156" i="1"/>
  <c r="J494" i="1"/>
  <c r="K494" i="1"/>
  <c r="J482" i="1"/>
  <c r="K482" i="1"/>
  <c r="J470" i="1"/>
  <c r="K470" i="1"/>
  <c r="J458" i="1"/>
  <c r="K458" i="1"/>
  <c r="J446" i="1"/>
  <c r="K446" i="1"/>
  <c r="J434" i="1"/>
  <c r="K434" i="1"/>
  <c r="J422" i="1"/>
  <c r="K422" i="1"/>
  <c r="J410" i="1"/>
  <c r="K410" i="1"/>
  <c r="J398" i="1"/>
  <c r="K398" i="1"/>
  <c r="J386" i="1"/>
  <c r="K386" i="1"/>
  <c r="J374" i="1"/>
  <c r="K374" i="1"/>
  <c r="J362" i="1"/>
  <c r="K362" i="1"/>
  <c r="J350" i="1"/>
  <c r="K350" i="1"/>
  <c r="J342" i="1"/>
  <c r="K342" i="1"/>
  <c r="J330" i="1"/>
  <c r="K330" i="1"/>
  <c r="J322" i="1"/>
  <c r="K322" i="1"/>
  <c r="J310" i="1"/>
  <c r="K310" i="1"/>
  <c r="J298" i="1"/>
  <c r="K298" i="1"/>
  <c r="J286" i="1"/>
  <c r="K286" i="1"/>
  <c r="J274" i="1"/>
  <c r="K274" i="1"/>
  <c r="J270" i="1"/>
  <c r="K270" i="1"/>
  <c r="J258" i="1"/>
  <c r="K258" i="1"/>
  <c r="J246" i="1"/>
  <c r="K246" i="1"/>
  <c r="J234" i="1"/>
  <c r="K234" i="1"/>
  <c r="J222" i="1"/>
  <c r="K222" i="1"/>
  <c r="J210" i="1"/>
  <c r="K210" i="1"/>
  <c r="J198" i="1"/>
  <c r="K198" i="1"/>
  <c r="J186" i="1"/>
  <c r="K186" i="1"/>
  <c r="J174" i="1"/>
  <c r="K174" i="1"/>
  <c r="J162" i="1"/>
  <c r="K162" i="1"/>
  <c r="J497" i="1"/>
  <c r="K497" i="1"/>
  <c r="J485" i="1"/>
  <c r="K485" i="1"/>
  <c r="J473" i="1"/>
  <c r="K473" i="1"/>
  <c r="J461" i="1"/>
  <c r="K461" i="1"/>
  <c r="J449" i="1"/>
  <c r="K449" i="1"/>
  <c r="J441" i="1"/>
  <c r="K441" i="1"/>
  <c r="J499" i="1"/>
  <c r="K499" i="1"/>
  <c r="J495" i="1"/>
  <c r="K495" i="1"/>
  <c r="J491" i="1"/>
  <c r="K491" i="1"/>
  <c r="J487" i="1"/>
  <c r="K487" i="1"/>
  <c r="J483" i="1"/>
  <c r="K483" i="1"/>
  <c r="J479" i="1"/>
  <c r="K479" i="1"/>
  <c r="J475" i="1"/>
  <c r="K475" i="1"/>
  <c r="J471" i="1"/>
  <c r="K471" i="1"/>
  <c r="J467" i="1"/>
  <c r="K467" i="1"/>
  <c r="J463" i="1"/>
  <c r="K463" i="1"/>
  <c r="J459" i="1"/>
  <c r="K459" i="1"/>
  <c r="J455" i="1"/>
  <c r="K455" i="1"/>
  <c r="J451" i="1"/>
  <c r="K451" i="1"/>
  <c r="J447" i="1"/>
  <c r="K447" i="1"/>
  <c r="J443" i="1"/>
  <c r="K443" i="1"/>
  <c r="J439" i="1"/>
  <c r="K439" i="1"/>
  <c r="J435" i="1"/>
  <c r="K435" i="1"/>
  <c r="J431" i="1"/>
  <c r="K431" i="1"/>
  <c r="J427" i="1"/>
  <c r="K427" i="1"/>
  <c r="J423" i="1"/>
  <c r="K423" i="1"/>
  <c r="J419" i="1"/>
  <c r="K419" i="1"/>
  <c r="J415" i="1"/>
  <c r="K415" i="1"/>
  <c r="J411" i="1"/>
  <c r="K411" i="1"/>
  <c r="J407" i="1"/>
  <c r="K407" i="1"/>
  <c r="J403" i="1"/>
  <c r="K403" i="1"/>
  <c r="J399" i="1"/>
  <c r="K399" i="1"/>
  <c r="J395" i="1"/>
  <c r="K395" i="1"/>
  <c r="J391" i="1"/>
  <c r="K391" i="1"/>
  <c r="J387" i="1"/>
  <c r="K387" i="1"/>
  <c r="J383" i="1"/>
  <c r="K383" i="1"/>
  <c r="J379" i="1"/>
  <c r="K379" i="1"/>
  <c r="J375" i="1"/>
  <c r="K375" i="1"/>
  <c r="J371" i="1"/>
  <c r="K371" i="1"/>
  <c r="J367" i="1"/>
  <c r="K367" i="1"/>
  <c r="J363" i="1"/>
  <c r="K363" i="1"/>
  <c r="J359" i="1"/>
  <c r="K359" i="1"/>
  <c r="J355" i="1"/>
  <c r="K355" i="1"/>
  <c r="J351" i="1"/>
  <c r="K351" i="1"/>
  <c r="J347" i="1"/>
  <c r="K347" i="1"/>
  <c r="J343" i="1"/>
  <c r="K343" i="1"/>
  <c r="J339" i="1"/>
  <c r="K339" i="1"/>
  <c r="J335" i="1"/>
  <c r="K335" i="1"/>
  <c r="J331" i="1"/>
  <c r="K331" i="1"/>
  <c r="J327" i="1"/>
  <c r="K327" i="1"/>
  <c r="J323" i="1"/>
  <c r="K323" i="1"/>
  <c r="J319" i="1"/>
  <c r="K319" i="1"/>
  <c r="J315" i="1"/>
  <c r="K315" i="1"/>
  <c r="J311" i="1"/>
  <c r="K311" i="1"/>
  <c r="J307" i="1"/>
  <c r="K307" i="1"/>
  <c r="J303" i="1"/>
  <c r="K303" i="1"/>
  <c r="J299" i="1"/>
  <c r="K299" i="1"/>
  <c r="J295" i="1"/>
  <c r="K295" i="1"/>
  <c r="J291" i="1"/>
  <c r="K291" i="1"/>
  <c r="J287" i="1"/>
  <c r="K287" i="1"/>
  <c r="J283" i="1"/>
  <c r="K283" i="1"/>
  <c r="J279" i="1"/>
  <c r="K279" i="1"/>
  <c r="J275" i="1"/>
  <c r="K275" i="1"/>
  <c r="J271" i="1"/>
  <c r="K271" i="1"/>
  <c r="J267" i="1"/>
  <c r="K267" i="1"/>
  <c r="J263" i="1"/>
  <c r="K263" i="1"/>
  <c r="J259" i="1"/>
  <c r="K259" i="1"/>
  <c r="J255" i="1"/>
  <c r="K255" i="1"/>
  <c r="J251" i="1"/>
  <c r="K251" i="1"/>
  <c r="J247" i="1"/>
  <c r="K247" i="1"/>
  <c r="J243" i="1"/>
  <c r="K243" i="1"/>
  <c r="J239" i="1"/>
  <c r="K239" i="1"/>
  <c r="J235" i="1"/>
  <c r="K235" i="1"/>
  <c r="J231" i="1"/>
  <c r="K231" i="1"/>
  <c r="J227" i="1"/>
  <c r="K227" i="1"/>
  <c r="J223" i="1"/>
  <c r="K223" i="1"/>
  <c r="J219" i="1"/>
  <c r="K219" i="1"/>
  <c r="J215" i="1"/>
  <c r="K215" i="1"/>
  <c r="J211" i="1"/>
  <c r="K211" i="1"/>
  <c r="J207" i="1"/>
  <c r="K207" i="1"/>
  <c r="J203" i="1"/>
  <c r="K203" i="1"/>
  <c r="J199" i="1"/>
  <c r="K199" i="1"/>
  <c r="J195" i="1"/>
  <c r="K195" i="1"/>
  <c r="J191" i="1"/>
  <c r="K191" i="1"/>
  <c r="J187" i="1"/>
  <c r="K187" i="1"/>
  <c r="J183" i="1"/>
  <c r="K183" i="1"/>
  <c r="J179" i="1"/>
  <c r="K179" i="1"/>
  <c r="J175" i="1"/>
  <c r="K175" i="1"/>
  <c r="J171" i="1"/>
  <c r="K171" i="1"/>
  <c r="K492" i="1"/>
  <c r="K476" i="1"/>
  <c r="K460" i="1"/>
  <c r="K444" i="1"/>
  <c r="K428" i="1"/>
  <c r="K412" i="1"/>
  <c r="K396" i="1"/>
  <c r="K380" i="1"/>
  <c r="K364" i="1"/>
  <c r="K340" i="1"/>
  <c r="K308" i="1"/>
  <c r="K276" i="1"/>
  <c r="K244" i="1"/>
  <c r="K212" i="1"/>
  <c r="K180" i="1"/>
  <c r="K148" i="1"/>
  <c r="K10" i="1"/>
  <c r="K146" i="1"/>
  <c r="K138" i="1"/>
  <c r="K124" i="1"/>
  <c r="K108" i="1"/>
  <c r="K92" i="1"/>
  <c r="K76" i="1"/>
  <c r="K60" i="1"/>
  <c r="K44" i="1"/>
  <c r="K28" i="1"/>
  <c r="J167" i="1"/>
  <c r="K167" i="1"/>
  <c r="J163" i="1"/>
  <c r="K163" i="1"/>
  <c r="J159" i="1"/>
  <c r="K159" i="1"/>
  <c r="J155" i="1"/>
  <c r="K155" i="1"/>
  <c r="J151" i="1"/>
  <c r="K151" i="1"/>
  <c r="J147" i="1"/>
  <c r="K147" i="1"/>
  <c r="J143" i="1"/>
  <c r="K143" i="1"/>
  <c r="J139" i="1"/>
  <c r="K139" i="1"/>
  <c r="J135" i="1"/>
  <c r="K135" i="1"/>
  <c r="J131" i="1"/>
  <c r="K131" i="1"/>
  <c r="J127" i="1"/>
  <c r="K127" i="1"/>
  <c r="J123" i="1"/>
  <c r="K123" i="1"/>
  <c r="J119" i="1"/>
  <c r="K119" i="1"/>
  <c r="J115" i="1"/>
  <c r="K115" i="1"/>
  <c r="J111" i="1"/>
  <c r="K111" i="1"/>
  <c r="J107" i="1"/>
  <c r="K107" i="1"/>
  <c r="J103" i="1"/>
  <c r="K103" i="1"/>
  <c r="J99" i="1"/>
  <c r="K99" i="1"/>
  <c r="J95" i="1"/>
  <c r="K95" i="1"/>
  <c r="J91" i="1"/>
  <c r="K91" i="1"/>
  <c r="J87" i="1"/>
  <c r="K87" i="1"/>
  <c r="J83" i="1"/>
  <c r="K83" i="1"/>
  <c r="J79" i="1"/>
  <c r="K79" i="1"/>
  <c r="J75" i="1"/>
  <c r="K75" i="1"/>
  <c r="J71" i="1"/>
  <c r="K71" i="1"/>
  <c r="J67" i="1"/>
  <c r="K67" i="1"/>
  <c r="J63" i="1"/>
  <c r="K63" i="1"/>
  <c r="J59" i="1"/>
  <c r="K59" i="1"/>
  <c r="J55" i="1"/>
  <c r="K55" i="1"/>
  <c r="J51" i="1"/>
  <c r="K51" i="1"/>
  <c r="J47" i="1"/>
  <c r="K47" i="1"/>
  <c r="J43" i="1"/>
  <c r="K43" i="1"/>
  <c r="J39" i="1"/>
  <c r="K39" i="1"/>
  <c r="J35" i="1"/>
  <c r="K35" i="1"/>
  <c r="J31" i="1"/>
  <c r="K31" i="1"/>
  <c r="J27" i="1"/>
  <c r="K27" i="1"/>
  <c r="J23" i="1"/>
  <c r="K23" i="1"/>
  <c r="J19" i="1"/>
  <c r="K19" i="1"/>
  <c r="K120" i="1"/>
  <c r="K104" i="1"/>
  <c r="K88" i="1"/>
  <c r="K72" i="1"/>
  <c r="K56" i="1"/>
  <c r="K40" i="1"/>
  <c r="K24" i="1"/>
  <c r="J134" i="1"/>
  <c r="K134" i="1"/>
  <c r="J130" i="1"/>
  <c r="K130" i="1"/>
  <c r="J126" i="1"/>
  <c r="K126" i="1"/>
  <c r="J122" i="1"/>
  <c r="K122" i="1"/>
  <c r="J118" i="1"/>
  <c r="K118" i="1"/>
  <c r="J114" i="1"/>
  <c r="K114" i="1"/>
  <c r="J110" i="1"/>
  <c r="K110" i="1"/>
  <c r="J106" i="1"/>
  <c r="K106" i="1"/>
  <c r="J102" i="1"/>
  <c r="K102" i="1"/>
  <c r="J98" i="1"/>
  <c r="K98" i="1"/>
  <c r="J94" i="1"/>
  <c r="K94" i="1"/>
  <c r="J90" i="1"/>
  <c r="K90" i="1"/>
  <c r="J86" i="1"/>
  <c r="K86" i="1"/>
  <c r="J82" i="1"/>
  <c r="K82" i="1"/>
  <c r="J78" i="1"/>
  <c r="K78" i="1"/>
  <c r="J74" i="1"/>
  <c r="K74" i="1"/>
  <c r="J70" i="1"/>
  <c r="K70" i="1"/>
  <c r="J66" i="1"/>
  <c r="K66" i="1"/>
  <c r="J62" i="1"/>
  <c r="K62" i="1"/>
  <c r="J58" i="1"/>
  <c r="K58" i="1"/>
  <c r="J54" i="1"/>
  <c r="K54" i="1"/>
  <c r="J50" i="1"/>
  <c r="K50" i="1"/>
  <c r="J46" i="1"/>
  <c r="K46" i="1"/>
  <c r="J42" i="1"/>
  <c r="K42" i="1"/>
  <c r="J38" i="1"/>
  <c r="K38" i="1"/>
  <c r="J34" i="1"/>
  <c r="K34" i="1"/>
  <c r="J30" i="1"/>
  <c r="K30" i="1"/>
  <c r="J26" i="1"/>
  <c r="K26" i="1"/>
  <c r="J22" i="1"/>
  <c r="K22" i="1"/>
  <c r="J18" i="1"/>
  <c r="K18" i="1"/>
  <c r="K14" i="1"/>
  <c r="K6" i="1"/>
  <c r="K150" i="1"/>
  <c r="K142" i="1"/>
  <c r="K116" i="1"/>
  <c r="K100" i="1"/>
  <c r="K84" i="1"/>
  <c r="K68" i="1"/>
  <c r="K52" i="1"/>
  <c r="K36" i="1"/>
  <c r="K20" i="1"/>
  <c r="K16" i="1"/>
  <c r="K12" i="1"/>
  <c r="K8" i="1"/>
  <c r="K4" i="1"/>
  <c r="K15" i="1"/>
  <c r="K11" i="1"/>
  <c r="K7" i="1"/>
  <c r="K3" i="1"/>
  <c r="K2" i="1"/>
  <c r="D3" i="8"/>
  <c r="D4" i="8"/>
  <c r="D5" i="8"/>
  <c r="D6" i="8"/>
  <c r="D7" i="8"/>
  <c r="D8" i="8"/>
  <c r="D9" i="8"/>
  <c r="D10" i="8"/>
  <c r="D11" i="8"/>
  <c r="D2" i="8"/>
  <c r="P3" i="7"/>
  <c r="H8" i="6"/>
  <c r="H7" i="6"/>
  <c r="H6" i="6"/>
  <c r="G9" i="6"/>
  <c r="G8" i="6"/>
  <c r="G7" i="6"/>
  <c r="G6" i="6"/>
  <c r="B27" i="3" l="1"/>
  <c r="B5" i="5"/>
  <c r="B3" i="5"/>
  <c r="D40" i="4"/>
  <c r="D39" i="4"/>
  <c r="D38" i="4"/>
  <c r="D37" i="4"/>
  <c r="F3" i="3" l="1"/>
  <c r="F4" i="3"/>
  <c r="F5" i="3"/>
  <c r="F6" i="3"/>
  <c r="B11" i="4"/>
  <c r="B13" i="4" s="1"/>
  <c r="E37" i="4"/>
  <c r="F37" i="4" s="1"/>
  <c r="B4" i="5" s="1"/>
  <c r="E38" i="4"/>
  <c r="F38" i="4" s="1"/>
  <c r="E39" i="4"/>
  <c r="F39" i="4" s="1"/>
  <c r="E40" i="4"/>
  <c r="F40" i="4" s="1"/>
  <c r="D36" i="4"/>
  <c r="B1" i="5" s="1"/>
  <c r="R3" i="3"/>
  <c r="S3" i="3" s="1"/>
  <c r="R4" i="3"/>
  <c r="S4" i="3" s="1"/>
  <c r="R5" i="3"/>
  <c r="S5" i="3" s="1"/>
  <c r="R6" i="3"/>
  <c r="S6" i="3" s="1"/>
  <c r="R7" i="3"/>
  <c r="S7" i="3" s="1"/>
  <c r="R8" i="3"/>
  <c r="S8" i="3" s="1"/>
  <c r="R9" i="3"/>
  <c r="S9" i="3" s="1"/>
  <c r="R10" i="3"/>
  <c r="S10" i="3" s="1"/>
  <c r="R11" i="3"/>
  <c r="S11" i="3" s="1"/>
  <c r="R12" i="3"/>
  <c r="S12" i="3" s="1"/>
  <c r="R13" i="3"/>
  <c r="S13" i="3" s="1"/>
  <c r="R14" i="3"/>
  <c r="S14" i="3" s="1"/>
  <c r="R15" i="3"/>
  <c r="S15" i="3" s="1"/>
  <c r="R16" i="3"/>
  <c r="S16" i="3" s="1"/>
  <c r="R17" i="3"/>
  <c r="S17" i="3" s="1"/>
  <c r="R18" i="3"/>
  <c r="S18" i="3" s="1"/>
  <c r="R19" i="3"/>
  <c r="S19" i="3" s="1"/>
  <c r="R20" i="3"/>
  <c r="S20" i="3" s="1"/>
  <c r="R21" i="3"/>
  <c r="S21" i="3" s="1"/>
  <c r="R2" i="3"/>
  <c r="S2" i="3" s="1"/>
  <c r="E3" i="3"/>
  <c r="E4" i="3"/>
  <c r="E5" i="3"/>
  <c r="E6" i="3"/>
  <c r="E2" i="3"/>
  <c r="D3" i="3"/>
  <c r="D4" i="3"/>
  <c r="D5" i="3"/>
  <c r="D6" i="3"/>
  <c r="D2" i="3"/>
  <c r="C3" i="3"/>
  <c r="C4" i="3"/>
  <c r="C5" i="3"/>
  <c r="C6" i="3"/>
  <c r="C2" i="3"/>
  <c r="N2" i="9" a="1"/>
  <c r="N2" i="9" s="1"/>
  <c r="M2" i="9" a="1"/>
  <c r="M2" i="9" s="1"/>
  <c r="L2" i="9" a="1"/>
  <c r="L2" i="9" s="1"/>
  <c r="I14" i="8"/>
  <c r="Z6" i="8" a="1"/>
  <c r="Z11" i="8" s="1"/>
  <c r="W6" i="8" a="1"/>
  <c r="W16" i="8" s="1"/>
  <c r="E7" i="7"/>
  <c r="E4" i="7"/>
  <c r="E3" i="7"/>
  <c r="E2" i="7"/>
  <c r="C9" i="6"/>
  <c r="C8" i="6"/>
  <c r="C7" i="6"/>
  <c r="C6" i="6"/>
  <c r="B16" i="4"/>
  <c r="C7" i="4" s="1"/>
  <c r="D7" i="4" s="1"/>
  <c r="E7" i="4" s="1"/>
  <c r="F7" i="4" s="1"/>
  <c r="G7" i="4" s="1"/>
  <c r="H7" i="4" s="1"/>
  <c r="I7" i="4" s="1"/>
  <c r="J7" i="4" s="1"/>
  <c r="K7" i="4" s="1"/>
  <c r="L7" i="4" s="1"/>
  <c r="M7" i="4" s="1"/>
  <c r="F20" i="2"/>
  <c r="W7" i="1"/>
  <c r="C22" i="6"/>
  <c r="C21" i="6"/>
  <c r="C20" i="6"/>
  <c r="C19" i="6"/>
  <c r="C6" i="4" l="1"/>
  <c r="D6" i="4" s="1"/>
  <c r="E6" i="4" s="1"/>
  <c r="F6" i="4" s="1"/>
  <c r="G6" i="4" s="1"/>
  <c r="H6" i="4" s="1"/>
  <c r="I6" i="4" s="1"/>
  <c r="J6" i="4" s="1"/>
  <c r="K6" i="4" s="1"/>
  <c r="L6" i="4" s="1"/>
  <c r="M6" i="4" s="1"/>
  <c r="C9" i="4"/>
  <c r="D9" i="4" s="1"/>
  <c r="E9" i="4" s="1"/>
  <c r="F9" i="4" s="1"/>
  <c r="G9" i="4" s="1"/>
  <c r="H9" i="4" s="1"/>
  <c r="I9" i="4" s="1"/>
  <c r="J9" i="4" s="1"/>
  <c r="K9" i="4" s="1"/>
  <c r="L9" i="4" s="1"/>
  <c r="M9" i="4" s="1"/>
  <c r="C5" i="4"/>
  <c r="C8" i="4"/>
  <c r="D8" i="4" s="1"/>
  <c r="E8" i="4" s="1"/>
  <c r="F8" i="4" s="1"/>
  <c r="G8" i="4" s="1"/>
  <c r="H8" i="4" s="1"/>
  <c r="I8" i="4" s="1"/>
  <c r="J8" i="4" s="1"/>
  <c r="K8" i="4" s="1"/>
  <c r="L8" i="4" s="1"/>
  <c r="M8" i="4" s="1"/>
  <c r="E36" i="4"/>
  <c r="F36" i="4" s="1"/>
  <c r="B2" i="5" s="1"/>
  <c r="AA9" i="8"/>
  <c r="AB10" i="8"/>
  <c r="AB6" i="8"/>
  <c r="Z8" i="8"/>
  <c r="Y6" i="8"/>
  <c r="X9" i="8"/>
  <c r="W12" i="8"/>
  <c r="Y14" i="8"/>
  <c r="AA7" i="8"/>
  <c r="AB8" i="8"/>
  <c r="Z10" i="8"/>
  <c r="AA11" i="8"/>
  <c r="W6" i="8"/>
  <c r="W7" i="8"/>
  <c r="X8" i="8"/>
  <c r="Y9" i="8"/>
  <c r="W11" i="8"/>
  <c r="X12" i="8"/>
  <c r="Y13" i="8"/>
  <c r="W15" i="8"/>
  <c r="X16" i="8"/>
  <c r="AA6" i="8"/>
  <c r="AB7" i="8"/>
  <c r="Z9" i="8"/>
  <c r="AA10" i="8"/>
  <c r="AB11" i="8"/>
  <c r="X7" i="8"/>
  <c r="Y8" i="8"/>
  <c r="W10" i="8"/>
  <c r="X11" i="8"/>
  <c r="Y12" i="8"/>
  <c r="W14" i="8"/>
  <c r="X15" i="8"/>
  <c r="Y16" i="8"/>
  <c r="X6" i="8"/>
  <c r="Y7" i="8"/>
  <c r="W9" i="8"/>
  <c r="X10" i="8"/>
  <c r="Y11" i="8"/>
  <c r="W13" i="8"/>
  <c r="X14" i="8"/>
  <c r="Y15" i="8"/>
  <c r="Z6" i="8"/>
  <c r="Z7" i="8"/>
  <c r="AA8" i="8"/>
  <c r="AB9" i="8"/>
  <c r="W8" i="8"/>
  <c r="Y10" i="8"/>
  <c r="X13" i="8"/>
  <c r="D5" i="4" l="1"/>
  <c r="C11" i="4"/>
  <c r="C13" i="4" s="1"/>
  <c r="D11" i="4" l="1"/>
  <c r="D13" i="4" s="1"/>
  <c r="E5" i="4"/>
  <c r="E11" i="4" l="1"/>
  <c r="E13" i="4" s="1"/>
  <c r="F5" i="4"/>
  <c r="F11" i="4" l="1"/>
  <c r="F13" i="4" s="1"/>
  <c r="G5" i="4"/>
  <c r="H5" i="4" l="1"/>
  <c r="G11" i="4"/>
  <c r="G13" i="4" s="1"/>
  <c r="I5" i="4" l="1"/>
  <c r="H11" i="4"/>
  <c r="H13" i="4" s="1"/>
  <c r="J5" i="4" l="1"/>
  <c r="I11" i="4"/>
  <c r="I13" i="4" s="1"/>
  <c r="J11" i="4" l="1"/>
  <c r="J13" i="4" s="1"/>
  <c r="K5" i="4"/>
  <c r="L5" i="4" l="1"/>
  <c r="K11" i="4"/>
  <c r="K13" i="4" s="1"/>
  <c r="M5" i="4" l="1"/>
  <c r="M11" i="4" s="1"/>
  <c r="M13" i="4" s="1"/>
  <c r="L11" i="4"/>
  <c r="L13" i="4" s="1"/>
</calcChain>
</file>

<file path=xl/sharedStrings.xml><?xml version="1.0" encoding="utf-8"?>
<sst xmlns="http://schemas.openxmlformats.org/spreadsheetml/2006/main" count="11642" uniqueCount="1007">
  <si>
    <t>Customer Code</t>
  </si>
  <si>
    <t>Gender</t>
  </si>
  <si>
    <t>Date of Birth</t>
  </si>
  <si>
    <t>City</t>
  </si>
  <si>
    <t>State</t>
  </si>
  <si>
    <t>Region</t>
  </si>
  <si>
    <t>Accrued Points</t>
  </si>
  <si>
    <t>Spends</t>
  </si>
  <si>
    <t>Age</t>
  </si>
  <si>
    <r>
      <rPr>
        <b/>
        <sz val="14"/>
        <color theme="1"/>
        <rFont val="Calibri"/>
        <family val="2"/>
      </rPr>
      <t xml:space="preserve">Male </t>
    </r>
    <r>
      <rPr>
        <b/>
        <sz val="14"/>
        <color rgb="FFC55A11"/>
        <rFont val="Calibri"/>
        <family val="2"/>
      </rPr>
      <t>'AND'</t>
    </r>
    <r>
      <rPr>
        <b/>
        <sz val="14"/>
        <color theme="1"/>
        <rFont val="Calibri"/>
        <family val="2"/>
      </rPr>
      <t xml:space="preserve"> Less than 40 years</t>
    </r>
  </si>
  <si>
    <r>
      <rPr>
        <b/>
        <sz val="14"/>
        <color theme="1"/>
        <rFont val="Calibri"/>
        <family val="2"/>
      </rPr>
      <t xml:space="preserve">Female </t>
    </r>
    <r>
      <rPr>
        <b/>
        <sz val="14"/>
        <color rgb="FFC55A11"/>
        <rFont val="Calibri"/>
        <family val="2"/>
      </rPr>
      <t>'OR'</t>
    </r>
    <r>
      <rPr>
        <b/>
        <sz val="14"/>
        <color theme="1"/>
        <rFont val="Calibri"/>
        <family val="2"/>
      </rPr>
      <t xml:space="preserve"> Greater than 50 years</t>
    </r>
  </si>
  <si>
    <t>10K Bonus Points : Females Less than 25 yrs 
or Greater than 50 yrs</t>
  </si>
  <si>
    <t>Male</t>
  </si>
  <si>
    <t>Chennai</t>
  </si>
  <si>
    <t>Tamilnadu</t>
  </si>
  <si>
    <t>South</t>
  </si>
  <si>
    <t>Katihar</t>
  </si>
  <si>
    <t>Bihar</t>
  </si>
  <si>
    <t>East</t>
  </si>
  <si>
    <t>Polavaram</t>
  </si>
  <si>
    <t>Andhra Pradesh</t>
  </si>
  <si>
    <t>Ajmer</t>
  </si>
  <si>
    <t>Rajasthan</t>
  </si>
  <si>
    <t>West</t>
  </si>
  <si>
    <t>Female</t>
  </si>
  <si>
    <t>Solapur</t>
  </si>
  <si>
    <t>Maharashtra</t>
  </si>
  <si>
    <t>Nadiad</t>
  </si>
  <si>
    <t>Gujarat</t>
  </si>
  <si>
    <t>Coimbatore</t>
  </si>
  <si>
    <t>Bobbili</t>
  </si>
  <si>
    <t>Badvel</t>
  </si>
  <si>
    <t>Chodavaram</t>
  </si>
  <si>
    <t>Gannavaram</t>
  </si>
  <si>
    <t>Gulbarga</t>
  </si>
  <si>
    <t>Karnataka</t>
  </si>
  <si>
    <t>Sibsagar</t>
  </si>
  <si>
    <t>Assam</t>
  </si>
  <si>
    <t>Kanpur</t>
  </si>
  <si>
    <t>Uttar Pradesh</t>
  </si>
  <si>
    <t>North</t>
  </si>
  <si>
    <t>Nellore</t>
  </si>
  <si>
    <t>Motihari</t>
  </si>
  <si>
    <t>Mangalore</t>
  </si>
  <si>
    <t>Hassan</t>
  </si>
  <si>
    <t>Porbandar</t>
  </si>
  <si>
    <t>Belgaum</t>
  </si>
  <si>
    <t>Pollachi</t>
  </si>
  <si>
    <t>Visakhapatnam</t>
  </si>
  <si>
    <t>Samalkot</t>
  </si>
  <si>
    <t>Vijayawada</t>
  </si>
  <si>
    <t>Kottayam</t>
  </si>
  <si>
    <t>Kerala</t>
  </si>
  <si>
    <t>Dhubri</t>
  </si>
  <si>
    <t>Kolkata</t>
  </si>
  <si>
    <t>West Bengal</t>
  </si>
  <si>
    <t>Polur</t>
  </si>
  <si>
    <t>Bangalore</t>
  </si>
  <si>
    <t>Thanjavur</t>
  </si>
  <si>
    <t>Petlad</t>
  </si>
  <si>
    <t>Hyderabad</t>
  </si>
  <si>
    <t>Mumbai</t>
  </si>
  <si>
    <t>Pudukottai</t>
  </si>
  <si>
    <t>Namakkal</t>
  </si>
  <si>
    <t>Tezpur</t>
  </si>
  <si>
    <t>Aurangabad</t>
  </si>
  <si>
    <t>Nagpur</t>
  </si>
  <si>
    <t>Goa</t>
  </si>
  <si>
    <t>Bhavnagar</t>
  </si>
  <si>
    <t>Varanasi</t>
  </si>
  <si>
    <t>Siliguri</t>
  </si>
  <si>
    <t>Imphal</t>
  </si>
  <si>
    <t>Manipur</t>
  </si>
  <si>
    <t>Baroda</t>
  </si>
  <si>
    <t>Madhya Pradesh</t>
  </si>
  <si>
    <t>Podili</t>
  </si>
  <si>
    <t>Purulia</t>
  </si>
  <si>
    <t>Lonavala</t>
  </si>
  <si>
    <t>Rewa</t>
  </si>
  <si>
    <t>Centr</t>
  </si>
  <si>
    <t>Niphad</t>
  </si>
  <si>
    <t>Lucknow</t>
  </si>
  <si>
    <t>Alwar</t>
  </si>
  <si>
    <t>Chandigarh</t>
  </si>
  <si>
    <t>Punjab</t>
  </si>
  <si>
    <t>Palampur</t>
  </si>
  <si>
    <t>Himachal Pradesh</t>
  </si>
  <si>
    <t>Mehsana</t>
  </si>
  <si>
    <t>Kannur</t>
  </si>
  <si>
    <t>Sadabad</t>
  </si>
  <si>
    <t>Aruppukottai</t>
  </si>
  <si>
    <t>Bikaner</t>
  </si>
  <si>
    <t>Dharwad</t>
  </si>
  <si>
    <t>Vaniyambadi</t>
  </si>
  <si>
    <t>Bharuch</t>
  </si>
  <si>
    <t>Junagadh</t>
  </si>
  <si>
    <t>Calicut</t>
  </si>
  <si>
    <t>Satara</t>
  </si>
  <si>
    <t>Surat</t>
  </si>
  <si>
    <t>Jabalpur</t>
  </si>
  <si>
    <t>Salem</t>
  </si>
  <si>
    <t>Mariahu</t>
  </si>
  <si>
    <t>Amritsar</t>
  </si>
  <si>
    <t>Muzaffarnagar</t>
  </si>
  <si>
    <t>Suri</t>
  </si>
  <si>
    <t>Nandurbar</t>
  </si>
  <si>
    <t>Bankura</t>
  </si>
  <si>
    <t>Tribeni</t>
  </si>
  <si>
    <t>Bhopal</t>
  </si>
  <si>
    <t>Ahmednagar</t>
  </si>
  <si>
    <t>Kohima</t>
  </si>
  <si>
    <t>Nagaland</t>
  </si>
  <si>
    <t>Nahan</t>
  </si>
  <si>
    <t>Raichur</t>
  </si>
  <si>
    <t>Raniganj</t>
  </si>
  <si>
    <t>Shillong</t>
  </si>
  <si>
    <t>Meghalaya</t>
  </si>
  <si>
    <t>Agra</t>
  </si>
  <si>
    <t>Alur</t>
  </si>
  <si>
    <t>Madurai</t>
  </si>
  <si>
    <t>Modasa</t>
  </si>
  <si>
    <t>Tuticorin</t>
  </si>
  <si>
    <t>Anantnag</t>
  </si>
  <si>
    <t>Jammu And Kashmir</t>
  </si>
  <si>
    <t>Nilakottai</t>
  </si>
  <si>
    <t>Bellary</t>
  </si>
  <si>
    <t>Jodhpur City</t>
  </si>
  <si>
    <t>New Guwahati</t>
  </si>
  <si>
    <t>Agartala</t>
  </si>
  <si>
    <t>Tripura</t>
  </si>
  <si>
    <t>Chittoor</t>
  </si>
  <si>
    <t>Balaghat</t>
  </si>
  <si>
    <t>Bhatinda</t>
  </si>
  <si>
    <t>Pondicherry</t>
  </si>
  <si>
    <t>Pasighat</t>
  </si>
  <si>
    <t>Arunachal Pradesh</t>
  </si>
  <si>
    <t>Bhiwandi</t>
  </si>
  <si>
    <t>Mughalsarai</t>
  </si>
  <si>
    <t>Jalpaiguri</t>
  </si>
  <si>
    <t>Satna</t>
  </si>
  <si>
    <t>Indore</t>
  </si>
  <si>
    <t>Kherli</t>
  </si>
  <si>
    <t>Kovur</t>
  </si>
  <si>
    <t>Chinapandraka</t>
  </si>
  <si>
    <t>Moradabad</t>
  </si>
  <si>
    <t>Naini</t>
  </si>
  <si>
    <t>Seoni</t>
  </si>
  <si>
    <t>Sangareddy</t>
  </si>
  <si>
    <t>Ratlam</t>
  </si>
  <si>
    <t>New Delhi</t>
  </si>
  <si>
    <t>Delhi</t>
  </si>
  <si>
    <t>Barmer City</t>
  </si>
  <si>
    <t>Gwalior</t>
  </si>
  <si>
    <t>Pen</t>
  </si>
  <si>
    <t>Silchar</t>
  </si>
  <si>
    <t>Hoshiarpur</t>
  </si>
  <si>
    <t>Dehradun</t>
  </si>
  <si>
    <t>Uttarakhand</t>
  </si>
  <si>
    <t>Khurja</t>
  </si>
  <si>
    <t>Kochi</t>
  </si>
  <si>
    <t>Kuzhithurai</t>
  </si>
  <si>
    <t>Choutuppal</t>
  </si>
  <si>
    <t>Patna</t>
  </si>
  <si>
    <t>Firozabad</t>
  </si>
  <si>
    <t>Thrissur</t>
  </si>
  <si>
    <t>Wardha</t>
  </si>
  <si>
    <t>Ambala City</t>
  </si>
  <si>
    <t>Bhind</t>
  </si>
  <si>
    <t>Mysore</t>
  </si>
  <si>
    <t>Shivpuri</t>
  </si>
  <si>
    <t>Katol</t>
  </si>
  <si>
    <t>Diamond Harbour</t>
  </si>
  <si>
    <t>Hissar</t>
  </si>
  <si>
    <t>Haryana</t>
  </si>
  <si>
    <t>Madikeri</t>
  </si>
  <si>
    <t>Erode</t>
  </si>
  <si>
    <t>Bagalkot</t>
  </si>
  <si>
    <t>Betul</t>
  </si>
  <si>
    <t>Palghar</t>
  </si>
  <si>
    <t>Khammam</t>
  </si>
  <si>
    <t>Aligarh</t>
  </si>
  <si>
    <t>Jamshedpur</t>
  </si>
  <si>
    <t>Jharkhand</t>
  </si>
  <si>
    <t>Deoria</t>
  </si>
  <si>
    <t>Jamner</t>
  </si>
  <si>
    <t>Kalpi</t>
  </si>
  <si>
    <t>Armoor</t>
  </si>
  <si>
    <t>Date</t>
  </si>
  <si>
    <t>Is Workday</t>
  </si>
  <si>
    <t>Holidays</t>
  </si>
  <si>
    <t>Reason</t>
  </si>
  <si>
    <t>Workday</t>
  </si>
  <si>
    <t>2024-01-26: Republic Day</t>
  </si>
  <si>
    <t>2024-03-25: Holi</t>
  </si>
  <si>
    <t>2024-03-29: Good Friday</t>
  </si>
  <si>
    <t>2024-08-15: Independence Day</t>
  </si>
  <si>
    <t>2024-10-02: Gandhi Jayanti</t>
  </si>
  <si>
    <t>Weekend</t>
  </si>
  <si>
    <t>2024-10-13: Dussehra</t>
  </si>
  <si>
    <t>2024-11-01: Diwali</t>
  </si>
  <si>
    <t>2024-12-25: Christmas</t>
  </si>
  <si>
    <t xml:space="preserve">Number of working Days </t>
  </si>
  <si>
    <t>Bonus in Jan</t>
  </si>
  <si>
    <t>Bonus in Feb</t>
  </si>
  <si>
    <t>Bonus in Mar</t>
  </si>
  <si>
    <t>50% spends</t>
  </si>
  <si>
    <t>yyyy-mm-dd</t>
  </si>
  <si>
    <t>dd/mm/yyyy</t>
  </si>
  <si>
    <t>Month&gt;&gt;</t>
  </si>
  <si>
    <t>Jan</t>
  </si>
  <si>
    <t>Feb</t>
  </si>
  <si>
    <t>Mar</t>
  </si>
  <si>
    <t>Bonus Points</t>
  </si>
  <si>
    <t>Relative References (e.g., =B2*C2)</t>
  </si>
  <si>
    <t>Absolute References (e.g., $E$8)</t>
  </si>
  <si>
    <t>Mixed References (e.g., =D2 + D2*$E$8)</t>
  </si>
  <si>
    <t>Another Sheet Reference:</t>
  </si>
  <si>
    <t xml:space="preserve">Total Expenses : </t>
  </si>
  <si>
    <t>Case Study: Budget Planning for a Small Business</t>
  </si>
  <si>
    <t>You are a financial analyst working for a small business that needs to prepare a monthly budget. 
The business wants to track various expenses and forecast costs for the next year. 
You need to create a spreadsheet to facilitate this process.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</si>
  <si>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</si>
  <si>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</si>
  <si>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</si>
  <si>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</si>
  <si>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</si>
  <si>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</si>
  <si>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</si>
  <si>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</si>
  <si>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</si>
  <si>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Rent</t>
  </si>
  <si>
    <t>Utilities</t>
  </si>
  <si>
    <t>Salaries</t>
  </si>
  <si>
    <t>Marketing</t>
  </si>
  <si>
    <t>Miscellaneous</t>
  </si>
  <si>
    <t>Total</t>
  </si>
  <si>
    <t>Budget</t>
  </si>
  <si>
    <t>Difference</t>
  </si>
  <si>
    <t>Annual Increase Rate</t>
  </si>
  <si>
    <t>Tasks</t>
  </si>
  <si>
    <t>1. Enter Monthly Expenses for January Month</t>
  </si>
  <si>
    <t>2. Calculate Increased Expenses</t>
  </si>
  <si>
    <t>3. Calculate Total Monthly Expenses</t>
  </si>
  <si>
    <t>4. Compare Expenses to budget</t>
  </si>
  <si>
    <r>
      <rPr>
        <b/>
        <sz val="11"/>
        <color theme="1"/>
        <rFont val="Calibri"/>
        <family val="2"/>
      </rPr>
      <t>Tracing Precedents:</t>
    </r>
    <r>
      <rPr>
        <sz val="11"/>
        <color theme="1"/>
        <rFont val="Calibri"/>
        <family val="2"/>
      </rPr>
      <t xml:space="preserve"> Shows which cells contribute to the value of the selected cell.</t>
    </r>
  </si>
  <si>
    <t>Select cell D2.</t>
  </si>
  <si>
    <t>Go to the "Formulas" tab in the Ribbon.</t>
  </si>
  <si>
    <t>Click "Trace Precedents." This will show arrows pointing to cells B2 and C2, indicating that these cells provide data to the formula in D2.</t>
  </si>
  <si>
    <r>
      <rPr>
        <b/>
        <sz val="11"/>
        <color theme="1"/>
        <rFont val="Calibri"/>
        <family val="2"/>
      </rPr>
      <t>Tracing Dependents:</t>
    </r>
    <r>
      <rPr>
        <sz val="11"/>
        <color theme="1"/>
        <rFont val="Calibri"/>
        <family val="2"/>
      </rPr>
      <t xml:space="preserve"> Shows which cells are affected by the value of the selected cell.</t>
    </r>
  </si>
  <si>
    <t>Click "Trace Dependents." This will show arrows pointing to cells E2 and F2, indicating that these cells depend on the value of D2.</t>
  </si>
  <si>
    <t>Product</t>
  </si>
  <si>
    <t>Price</t>
  </si>
  <si>
    <t>Quantity</t>
  </si>
  <si>
    <t>Total Sales</t>
  </si>
  <si>
    <t>Sales Tax</t>
  </si>
  <si>
    <t>Final Amount</t>
  </si>
  <si>
    <t>Product A</t>
  </si>
  <si>
    <t>Product B</t>
  </si>
  <si>
    <t>Product C</t>
  </si>
  <si>
    <t>Product D</t>
  </si>
  <si>
    <t>Product E</t>
  </si>
  <si>
    <t>Sales Tax Rate</t>
  </si>
  <si>
    <t>Total Sales (Product A)</t>
  </si>
  <si>
    <t>Final Amount (Product A)</t>
  </si>
  <si>
    <t>Total Sales (Product B)</t>
  </si>
  <si>
    <t>Final Amount (Product B)</t>
  </si>
  <si>
    <t>Watch Window</t>
  </si>
  <si>
    <t>to monitor specific cells and their values, especially useful when dealing with large spreadsheets or multiple sheets.</t>
  </si>
  <si>
    <t>OFFSET Function:</t>
  </si>
  <si>
    <t>The OFFSET function returns a reference to a range that is offset from a starting reference point by a specified number of rows and columns.</t>
  </si>
  <si>
    <t>OFFSET(reference, rows, cols, [height], [width])</t>
  </si>
  <si>
    <t>Col</t>
  </si>
  <si>
    <t>Value</t>
  </si>
  <si>
    <t>B1</t>
  </si>
  <si>
    <t>B2</t>
  </si>
  <si>
    <t>George</t>
  </si>
  <si>
    <t>INDIRECT Function:</t>
  </si>
  <si>
    <t>The INDIRECT function returns the reference specified by a text string. It allows you to create dynamic cell or range references in your formulas.</t>
  </si>
  <si>
    <t>INDIRECT(ref_text, [a1])</t>
  </si>
  <si>
    <t>B19</t>
  </si>
  <si>
    <t>B20</t>
  </si>
  <si>
    <t>Year</t>
  </si>
  <si>
    <t>Name Range</t>
  </si>
  <si>
    <t>Name Given to cell or group of cells</t>
  </si>
  <si>
    <t>Dynamic Name Range</t>
  </si>
  <si>
    <t>offset()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</si>
  <si>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</si>
  <si>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</si>
  <si>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</si>
  <si>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</si>
  <si>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</si>
  <si>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</si>
  <si>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</si>
  <si>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</si>
  <si>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</si>
  <si>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</si>
  <si>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</si>
  <si>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</si>
  <si>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First Name</t>
  </si>
  <si>
    <t>Last Name</t>
  </si>
  <si>
    <t>Index Match</t>
  </si>
  <si>
    <t>INDEX</t>
  </si>
  <si>
    <t>Abani</t>
  </si>
  <si>
    <t>Mukherjee</t>
  </si>
  <si>
    <t>Abdul</t>
  </si>
  <si>
    <t>Jaleelthayyil</t>
  </si>
  <si>
    <t>Serial Number</t>
  </si>
  <si>
    <t>Safeek</t>
  </si>
  <si>
    <t>Sheikh</t>
  </si>
  <si>
    <t>Aditi</t>
  </si>
  <si>
    <t>Moitra</t>
  </si>
  <si>
    <t>Row Number</t>
  </si>
  <si>
    <t>Column Number</t>
  </si>
  <si>
    <t>Abul</t>
  </si>
  <si>
    <t>Laskar</t>
  </si>
  <si>
    <t>Abhay</t>
  </si>
  <si>
    <t>Jagtap</t>
  </si>
  <si>
    <t>Anil</t>
  </si>
  <si>
    <t>Patil</t>
  </si>
  <si>
    <t>Trivedi</t>
  </si>
  <si>
    <t>Ria</t>
  </si>
  <si>
    <t>Khanna</t>
  </si>
  <si>
    <t>MATCH</t>
  </si>
  <si>
    <t>Position Number</t>
  </si>
  <si>
    <t>Region (Vlookup)</t>
  </si>
  <si>
    <t>City (indexmatch)</t>
  </si>
  <si>
    <t>Gender(Xlookup)</t>
  </si>
  <si>
    <t>Jeet</t>
  </si>
  <si>
    <t>Shah</t>
  </si>
  <si>
    <t>Ajay</t>
  </si>
  <si>
    <t>Bhoite</t>
  </si>
  <si>
    <t>Surjekar</t>
  </si>
  <si>
    <t>Ajeet</t>
  </si>
  <si>
    <t>Godbole</t>
  </si>
  <si>
    <t>Bajpayee</t>
  </si>
  <si>
    <t>Alka</t>
  </si>
  <si>
    <t>Thomas</t>
  </si>
  <si>
    <t>Alex</t>
  </si>
  <si>
    <t>Pothen</t>
  </si>
  <si>
    <t>Yadava</t>
  </si>
  <si>
    <t>Sharma</t>
  </si>
  <si>
    <t>Aman</t>
  </si>
  <si>
    <t>Thakur</t>
  </si>
  <si>
    <t>Alok</t>
  </si>
  <si>
    <t>Ranjan</t>
  </si>
  <si>
    <t>Singhchauhan</t>
  </si>
  <si>
    <t>Ajit</t>
  </si>
  <si>
    <t>Chetry</t>
  </si>
  <si>
    <t>Amar</t>
  </si>
  <si>
    <t>Bhadra</t>
  </si>
  <si>
    <t>Amal</t>
  </si>
  <si>
    <t>Silveira</t>
  </si>
  <si>
    <t>Amit</t>
  </si>
  <si>
    <t>Khandelwal</t>
  </si>
  <si>
    <t>Aloke</t>
  </si>
  <si>
    <t>Chatterjee</t>
  </si>
  <si>
    <t>Mondal</t>
  </si>
  <si>
    <t>Amir</t>
  </si>
  <si>
    <t>Fatima</t>
  </si>
  <si>
    <t>Mishra</t>
  </si>
  <si>
    <t>Anand</t>
  </si>
  <si>
    <t>Pandey</t>
  </si>
  <si>
    <t>Amita</t>
  </si>
  <si>
    <t>Chowdhury</t>
  </si>
  <si>
    <t>Dhange</t>
  </si>
  <si>
    <t>Amiya</t>
  </si>
  <si>
    <t>Basumatary</t>
  </si>
  <si>
    <t>Tripathi</t>
  </si>
  <si>
    <t>Kulkarni</t>
  </si>
  <si>
    <t>Bhargav</t>
  </si>
  <si>
    <t>Srivastava</t>
  </si>
  <si>
    <t>Dhyani</t>
  </si>
  <si>
    <t>Anita</t>
  </si>
  <si>
    <t>Barman</t>
  </si>
  <si>
    <t>Chaudhari</t>
  </si>
  <si>
    <t>Dhuriya</t>
  </si>
  <si>
    <t>Jambhale</t>
  </si>
  <si>
    <t>Bharaut</t>
  </si>
  <si>
    <t>Anju</t>
  </si>
  <si>
    <t>Anoop</t>
  </si>
  <si>
    <t>Pankajashan</t>
  </si>
  <si>
    <t>Anish</t>
  </si>
  <si>
    <t>Ladsaria</t>
  </si>
  <si>
    <t>Vasuniya</t>
  </si>
  <si>
    <t>Bhatele</t>
  </si>
  <si>
    <t>Kalarath</t>
  </si>
  <si>
    <t>Bijarnia</t>
  </si>
  <si>
    <t>Anis</t>
  </si>
  <si>
    <t>Choudhary</t>
  </si>
  <si>
    <t>Singhkycreq</t>
  </si>
  <si>
    <t>Arati</t>
  </si>
  <si>
    <t>Palwankar</t>
  </si>
  <si>
    <t>Arjun</t>
  </si>
  <si>
    <t>Bhagat</t>
  </si>
  <si>
    <t>Anup</t>
  </si>
  <si>
    <t>Gajbhiye</t>
  </si>
  <si>
    <t>Arka</t>
  </si>
  <si>
    <t>Sanyal</t>
  </si>
  <si>
    <t>Apurv</t>
  </si>
  <si>
    <t>Barche</t>
  </si>
  <si>
    <t>Arpit</t>
  </si>
  <si>
    <t>Arpan</t>
  </si>
  <si>
    <t>Raychaudhuri</t>
  </si>
  <si>
    <t>Arnab</t>
  </si>
  <si>
    <t>Bhattacharyya</t>
  </si>
  <si>
    <t>Karariwal</t>
  </si>
  <si>
    <t>Arun</t>
  </si>
  <si>
    <t>Chakraborty</t>
  </si>
  <si>
    <t>Anuj</t>
  </si>
  <si>
    <t>Kushwaha</t>
  </si>
  <si>
    <t>Sarmah</t>
  </si>
  <si>
    <t>Adhikary</t>
  </si>
  <si>
    <t>Aruna</t>
  </si>
  <si>
    <t>Belure</t>
  </si>
  <si>
    <t>Ashok</t>
  </si>
  <si>
    <t>Khillare</t>
  </si>
  <si>
    <t>Bhalerao</t>
  </si>
  <si>
    <t>Saikia</t>
  </si>
  <si>
    <t>Avni</t>
  </si>
  <si>
    <t>Parekh</t>
  </si>
  <si>
    <t>Banda</t>
  </si>
  <si>
    <t>Bandalavanya</t>
  </si>
  <si>
    <t>Asim</t>
  </si>
  <si>
    <t>Karmakar</t>
  </si>
  <si>
    <t>Ashim</t>
  </si>
  <si>
    <t>Arup</t>
  </si>
  <si>
    <t>Sengupta</t>
  </si>
  <si>
    <t>Baba</t>
  </si>
  <si>
    <t>Mahakalkar</t>
  </si>
  <si>
    <t>Bhanu</t>
  </si>
  <si>
    <t>Balla</t>
  </si>
  <si>
    <t>Brahmajee</t>
  </si>
  <si>
    <t>Badri</t>
  </si>
  <si>
    <t>Rathod</t>
  </si>
  <si>
    <t>Bama</t>
  </si>
  <si>
    <t>Ichagutu</t>
  </si>
  <si>
    <t>Asish</t>
  </si>
  <si>
    <t>Mallik</t>
  </si>
  <si>
    <t>Sangwan</t>
  </si>
  <si>
    <t>Badan</t>
  </si>
  <si>
    <t>Azeem</t>
  </si>
  <si>
    <t>Hashmat</t>
  </si>
  <si>
    <t>Beni</t>
  </si>
  <si>
    <t>Bashu</t>
  </si>
  <si>
    <t>Pokhrel</t>
  </si>
  <si>
    <t>Bantu</t>
  </si>
  <si>
    <t>Bhasker</t>
  </si>
  <si>
    <t>Shrivastava</t>
  </si>
  <si>
    <t>Zavare</t>
  </si>
  <si>
    <t>Bapi</t>
  </si>
  <si>
    <t>Sardar</t>
  </si>
  <si>
    <t>Bijay</t>
  </si>
  <si>
    <t>Pradhan</t>
  </si>
  <si>
    <t>Bolla</t>
  </si>
  <si>
    <t>Venkataramakrishna</t>
  </si>
  <si>
    <t>Sarkar</t>
  </si>
  <si>
    <t>Bhola</t>
  </si>
  <si>
    <t>Shankar</t>
  </si>
  <si>
    <t>Biki</t>
  </si>
  <si>
    <t>Sutradhar</t>
  </si>
  <si>
    <t>Braja</t>
  </si>
  <si>
    <t>Bhakta</t>
  </si>
  <si>
    <t>Bhim</t>
  </si>
  <si>
    <t>Bahadur</t>
  </si>
  <si>
    <t>Binod</t>
  </si>
  <si>
    <t>Chawhan</t>
  </si>
  <si>
    <t>Biman</t>
  </si>
  <si>
    <t>Patangia</t>
  </si>
  <si>
    <t>Deep</t>
  </si>
  <si>
    <t>Bhatia</t>
  </si>
  <si>
    <t>Bitan</t>
  </si>
  <si>
    <t>Banerjee</t>
  </si>
  <si>
    <t>Rahaman</t>
  </si>
  <si>
    <t>Baskey</t>
  </si>
  <si>
    <t>Barge</t>
  </si>
  <si>
    <t>Srikrishna</t>
  </si>
  <si>
    <t>Dhage</t>
  </si>
  <si>
    <t>Suryabhan</t>
  </si>
  <si>
    <t>Biju</t>
  </si>
  <si>
    <t>Neelakantannair</t>
  </si>
  <si>
    <t>Biren</t>
  </si>
  <si>
    <t>Hazarika</t>
  </si>
  <si>
    <t>Dukka</t>
  </si>
  <si>
    <t>Yarrayya</t>
  </si>
  <si>
    <t>Charu</t>
  </si>
  <si>
    <t>Betty</t>
  </si>
  <si>
    <t>Carvalho</t>
  </si>
  <si>
    <t>Bisha</t>
  </si>
  <si>
    <t>Shashidharan</t>
  </si>
  <si>
    <t>Dilip</t>
  </si>
  <si>
    <t>Jadhav</t>
  </si>
  <si>
    <t>Boby</t>
  </si>
  <si>
    <t>Boddu</t>
  </si>
  <si>
    <t>Basavasankararao</t>
  </si>
  <si>
    <t>Dipan</t>
  </si>
  <si>
    <t>Dara</t>
  </si>
  <si>
    <t>Balaiah</t>
  </si>
  <si>
    <t>Devi</t>
  </si>
  <si>
    <t>Ahirwar</t>
  </si>
  <si>
    <t>Kelkar</t>
  </si>
  <si>
    <t>Dulen</t>
  </si>
  <si>
    <t>Gohain</t>
  </si>
  <si>
    <t>Birju</t>
  </si>
  <si>
    <t>Boricha</t>
  </si>
  <si>
    <t>Galla</t>
  </si>
  <si>
    <t>Prakasarao</t>
  </si>
  <si>
    <t>Deben</t>
  </si>
  <si>
    <t>Hage</t>
  </si>
  <si>
    <t>Yamang</t>
  </si>
  <si>
    <t>Bokam</t>
  </si>
  <si>
    <t>Ramanapannoarspq</t>
  </si>
  <si>
    <t>Dwara</t>
  </si>
  <si>
    <t>Lakshmi</t>
  </si>
  <si>
    <t>Dhobi</t>
  </si>
  <si>
    <t>Prasad</t>
  </si>
  <si>
    <t>Gopal</t>
  </si>
  <si>
    <t>Mosham</t>
  </si>
  <si>
    <t>Gunta</t>
  </si>
  <si>
    <t>Harikishore</t>
  </si>
  <si>
    <t>Bukya</t>
  </si>
  <si>
    <t>Veeranna</t>
  </si>
  <si>
    <t>Bonu</t>
  </si>
  <si>
    <t>Dipak</t>
  </si>
  <si>
    <t>Jaware</t>
  </si>
  <si>
    <t>Durga</t>
  </si>
  <si>
    <t>Chhetri</t>
  </si>
  <si>
    <t>Ganga</t>
  </si>
  <si>
    <t>Upreti</t>
  </si>
  <si>
    <t>Deepa</t>
  </si>
  <si>
    <t>Premakumar</t>
  </si>
  <si>
    <t>Indu</t>
  </si>
  <si>
    <t>Sasidharan</t>
  </si>
  <si>
    <t>Evert</t>
  </si>
  <si>
    <t>Mawlong</t>
  </si>
  <si>
    <t>Ithi</t>
  </si>
  <si>
    <t>Vasantha</t>
  </si>
  <si>
    <t>Iqbal</t>
  </si>
  <si>
    <t>Akhtar</t>
  </si>
  <si>
    <t>Gudla</t>
  </si>
  <si>
    <t>Venkateswararao</t>
  </si>
  <si>
    <t>Issac</t>
  </si>
  <si>
    <t>Varghese</t>
  </si>
  <si>
    <t>Juda</t>
  </si>
  <si>
    <t>Benhurgerard</t>
  </si>
  <si>
    <t>Ganta</t>
  </si>
  <si>
    <t>Ramanababu</t>
  </si>
  <si>
    <t>Jiban</t>
  </si>
  <si>
    <t>Jerry</t>
  </si>
  <si>
    <t>Zoremsanga</t>
  </si>
  <si>
    <t>Jaya</t>
  </si>
  <si>
    <t>Achary</t>
  </si>
  <si>
    <t>Rajeswari</t>
  </si>
  <si>
    <t>Farid</t>
  </si>
  <si>
    <t>Shaikh</t>
  </si>
  <si>
    <t>Heera</t>
  </si>
  <si>
    <t>Joshix</t>
  </si>
  <si>
    <t>Hari</t>
  </si>
  <si>
    <t>Jyoti</t>
  </si>
  <si>
    <t>Grace</t>
  </si>
  <si>
    <t>Lalruatfeli</t>
  </si>
  <si>
    <t>Tiwari</t>
  </si>
  <si>
    <t>Joshi</t>
  </si>
  <si>
    <t>Udaygopinath</t>
  </si>
  <si>
    <t>Jahid</t>
  </si>
  <si>
    <t>Choudhury</t>
  </si>
  <si>
    <t>Gyan</t>
  </si>
  <si>
    <t>Juhi</t>
  </si>
  <si>
    <t>Tiwary</t>
  </si>
  <si>
    <t>Baruah</t>
  </si>
  <si>
    <t>Prakash</t>
  </si>
  <si>
    <t>Hiral</t>
  </si>
  <si>
    <t>Gurjar</t>
  </si>
  <si>
    <t>Kamla</t>
  </si>
  <si>
    <t>Dhimar</t>
  </si>
  <si>
    <t>Gathre</t>
  </si>
  <si>
    <t>Kasam</t>
  </si>
  <si>
    <t>Mhaskar</t>
  </si>
  <si>
    <t>Jarad</t>
  </si>
  <si>
    <t>Baktavar</t>
  </si>
  <si>
    <t>Kamal</t>
  </si>
  <si>
    <t>Kiran</t>
  </si>
  <si>
    <t>Karande</t>
  </si>
  <si>
    <t>Kapil</t>
  </si>
  <si>
    <t>Kumarr</t>
  </si>
  <si>
    <t>Gahlon</t>
  </si>
  <si>
    <t>Juli</t>
  </si>
  <si>
    <t>Kumari</t>
  </si>
  <si>
    <t>Mandlesomanojmandle</t>
  </si>
  <si>
    <t>Kajal</t>
  </si>
  <si>
    <t>Chattopadhyay</t>
  </si>
  <si>
    <t>Keyur</t>
  </si>
  <si>
    <t>Bdalwadi</t>
  </si>
  <si>
    <t>Gawade</t>
  </si>
  <si>
    <t>Lalji</t>
  </si>
  <si>
    <t>Narendran</t>
  </si>
  <si>
    <t>Lekh</t>
  </si>
  <si>
    <t>Rajkumar</t>
  </si>
  <si>
    <t>Mali</t>
  </si>
  <si>
    <t>Kiranbhai</t>
  </si>
  <si>
    <t>Karam</t>
  </si>
  <si>
    <t>Chandno</t>
  </si>
  <si>
    <t>Shukla</t>
  </si>
  <si>
    <t>Malligawad</t>
  </si>
  <si>
    <t>Manju</t>
  </si>
  <si>
    <t>Manda</t>
  </si>
  <si>
    <t>Sairam</t>
  </si>
  <si>
    <t>Mamta</t>
  </si>
  <si>
    <t>Laxmi</t>
  </si>
  <si>
    <t>Somkuwar</t>
  </si>
  <si>
    <t>Kovi</t>
  </si>
  <si>
    <t>Madanmohanarao</t>
  </si>
  <si>
    <t>Lorna</t>
  </si>
  <si>
    <t>Gangte</t>
  </si>
  <si>
    <t>Kolli</t>
  </si>
  <si>
    <t>Mani</t>
  </si>
  <si>
    <t>Yangad</t>
  </si>
  <si>
    <t>Kumar</t>
  </si>
  <si>
    <t>Saurabh</t>
  </si>
  <si>
    <t>Marri</t>
  </si>
  <si>
    <t>Jeevanparakash</t>
  </si>
  <si>
    <t>Matta</t>
  </si>
  <si>
    <t>Venkatasatyanarayana</t>
  </si>
  <si>
    <t>Kedar</t>
  </si>
  <si>
    <t>Kushwah</t>
  </si>
  <si>
    <t>Malla</t>
  </si>
  <si>
    <t>Akkole</t>
  </si>
  <si>
    <t>Nanglu</t>
  </si>
  <si>
    <t>Lalit</t>
  </si>
  <si>
    <t>Dhaundyal</t>
  </si>
  <si>
    <t>Lima</t>
  </si>
  <si>
    <t>Kumzuk</t>
  </si>
  <si>
    <t>Mahua</t>
  </si>
  <si>
    <t>Maina</t>
  </si>
  <si>
    <t>Musahary</t>
  </si>
  <si>
    <t>Mangi</t>
  </si>
  <si>
    <t>Syamasundararao</t>
  </si>
  <si>
    <t>Linus</t>
  </si>
  <si>
    <t>Tirkey</t>
  </si>
  <si>
    <t>Baibhav</t>
  </si>
  <si>
    <t>Manoj</t>
  </si>
  <si>
    <t>Lawm</t>
  </si>
  <si>
    <t>Thanga</t>
  </si>
  <si>
    <t>Mayur</t>
  </si>
  <si>
    <t>Khewalkar</t>
  </si>
  <si>
    <t>Malti</t>
  </si>
  <si>
    <t>Prajapati</t>
  </si>
  <si>
    <t>Maya</t>
  </si>
  <si>
    <t>Gopalakrishnan</t>
  </si>
  <si>
    <t>Meena</t>
  </si>
  <si>
    <t>Chaurasiya</t>
  </si>
  <si>
    <t>Goswami</t>
  </si>
  <si>
    <t>Maria</t>
  </si>
  <si>
    <t>Dsouza</t>
  </si>
  <si>
    <t>Meenu</t>
  </si>
  <si>
    <t>Jhaveri</t>
  </si>
  <si>
    <t>Mohan</t>
  </si>
  <si>
    <t>Rathore</t>
  </si>
  <si>
    <t>Mili</t>
  </si>
  <si>
    <t>Priyadarshini</t>
  </si>
  <si>
    <t>Meera</t>
  </si>
  <si>
    <t>Kapure</t>
  </si>
  <si>
    <t>Mini</t>
  </si>
  <si>
    <t>Ayyappan</t>
  </si>
  <si>
    <t>Kumarsonikram</t>
  </si>
  <si>
    <t>Kunvariya</t>
  </si>
  <si>
    <t>Pimpalkar</t>
  </si>
  <si>
    <t>Meeta</t>
  </si>
  <si>
    <t>Rohira</t>
  </si>
  <si>
    <t>Mihir</t>
  </si>
  <si>
    <t>Biruli</t>
  </si>
  <si>
    <t>Baishya</t>
  </si>
  <si>
    <t>Mohd</t>
  </si>
  <si>
    <t>Ansari</t>
  </si>
  <si>
    <t>Moti</t>
  </si>
  <si>
    <t>Munni</t>
  </si>
  <si>
    <t>Deviwoshambhuprasad</t>
  </si>
  <si>
    <t>Pansare</t>
  </si>
  <si>
    <t>Milan</t>
  </si>
  <si>
    <t>Chudasama</t>
  </si>
  <si>
    <t>Mithu</t>
  </si>
  <si>
    <t>Yaseen</t>
  </si>
  <si>
    <t>Salman</t>
  </si>
  <si>
    <t>Muthu</t>
  </si>
  <si>
    <t>Packiyam</t>
  </si>
  <si>
    <t>Mira</t>
  </si>
  <si>
    <t>Brahma</t>
  </si>
  <si>
    <t>Nare</t>
  </si>
  <si>
    <t>Movva</t>
  </si>
  <si>
    <t>Subrahmanyam</t>
  </si>
  <si>
    <t>Nand</t>
  </si>
  <si>
    <t>Burman</t>
  </si>
  <si>
    <t>Swargari</t>
  </si>
  <si>
    <t>Bhangare</t>
  </si>
  <si>
    <t>Nalla</t>
  </si>
  <si>
    <t>Sailaja</t>
  </si>
  <si>
    <t>Nitin</t>
  </si>
  <si>
    <t>Tamboli</t>
  </si>
  <si>
    <t>Nazia</t>
  </si>
  <si>
    <t>Ashraf</t>
  </si>
  <si>
    <t>Naren</t>
  </si>
  <si>
    <t>Tamang</t>
  </si>
  <si>
    <t>Narra</t>
  </si>
  <si>
    <t>Sumathi</t>
  </si>
  <si>
    <t>Naram</t>
  </si>
  <si>
    <t>Murali</t>
  </si>
  <si>
    <t>Nallu</t>
  </si>
  <si>
    <t>Sushma</t>
  </si>
  <si>
    <t>Ntin</t>
  </si>
  <si>
    <t>Mahajan</t>
  </si>
  <si>
    <t>Nago</t>
  </si>
  <si>
    <t>Mahato</t>
  </si>
  <si>
    <t>Mukum</t>
  </si>
  <si>
    <t>Rajababu</t>
  </si>
  <si>
    <t>Nirav</t>
  </si>
  <si>
    <t>Vaishnavdarji</t>
  </si>
  <si>
    <t>Nibil</t>
  </si>
  <si>
    <t>Erakkodan</t>
  </si>
  <si>
    <t>Ollu</t>
  </si>
  <si>
    <t>Srinivasarao</t>
  </si>
  <si>
    <t>Noel</t>
  </si>
  <si>
    <t>Noor</t>
  </si>
  <si>
    <t>Barbhuiya</t>
  </si>
  <si>
    <t>Prem</t>
  </si>
  <si>
    <t>Nehru</t>
  </si>
  <si>
    <t>Navin</t>
  </si>
  <si>
    <t>Nishchal</t>
  </si>
  <si>
    <t>Omjee</t>
  </si>
  <si>
    <t>Pilla</t>
  </si>
  <si>
    <t>Neelima</t>
  </si>
  <si>
    <t>Pulak</t>
  </si>
  <si>
    <t>Bhunia</t>
  </si>
  <si>
    <t>Neha</t>
  </si>
  <si>
    <t>Ninad</t>
  </si>
  <si>
    <t>Deshpande</t>
  </si>
  <si>
    <t>Nissy</t>
  </si>
  <si>
    <t>Pidakala</t>
  </si>
  <si>
    <t>Nibak</t>
  </si>
  <si>
    <t>Xavier</t>
  </si>
  <si>
    <t>Nidhi</t>
  </si>
  <si>
    <t>Nuli</t>
  </si>
  <si>
    <t>Papaiah</t>
  </si>
  <si>
    <t>Padma</t>
  </si>
  <si>
    <t>Manohar</t>
  </si>
  <si>
    <t>Pavan</t>
  </si>
  <si>
    <t>Pandit</t>
  </si>
  <si>
    <t>Pintu</t>
  </si>
  <si>
    <t>Nitul</t>
  </si>
  <si>
    <t>Talukdar</t>
  </si>
  <si>
    <t>Puspa</t>
  </si>
  <si>
    <t>Chetri</t>
  </si>
  <si>
    <t>Prava</t>
  </si>
  <si>
    <t>Priya</t>
  </si>
  <si>
    <t>Mishal</t>
  </si>
  <si>
    <t>Purna</t>
  </si>
  <si>
    <t>Janjar</t>
  </si>
  <si>
    <t>Badgujar</t>
  </si>
  <si>
    <t>Payal</t>
  </si>
  <si>
    <t>Mandal</t>
  </si>
  <si>
    <t>Raja</t>
  </si>
  <si>
    <t>Acharya</t>
  </si>
  <si>
    <t>Rajan</t>
  </si>
  <si>
    <t>Deshmukh</t>
  </si>
  <si>
    <t>Patel</t>
  </si>
  <si>
    <t>Bharatkumar</t>
  </si>
  <si>
    <t>Papri</t>
  </si>
  <si>
    <t>Roychowdhury</t>
  </si>
  <si>
    <t>Gamaji</t>
  </si>
  <si>
    <t>Peeta</t>
  </si>
  <si>
    <t>Rajiv</t>
  </si>
  <si>
    <t>Rajendra</t>
  </si>
  <si>
    <t>Palli</t>
  </si>
  <si>
    <t>Gowrinaidu</t>
  </si>
  <si>
    <t>Rahul</t>
  </si>
  <si>
    <t>Puja</t>
  </si>
  <si>
    <t>Bardhan</t>
  </si>
  <si>
    <t>Pooja</t>
  </si>
  <si>
    <t>Nannaware</t>
  </si>
  <si>
    <t>Radha</t>
  </si>
  <si>
    <t>Krishna</t>
  </si>
  <si>
    <t>Raghu</t>
  </si>
  <si>
    <t>Shanker</t>
  </si>
  <si>
    <t>Kamble</t>
  </si>
  <si>
    <t>Radhe</t>
  </si>
  <si>
    <t>Ravi</t>
  </si>
  <si>
    <t>Agrawal</t>
  </si>
  <si>
    <t>Rajib</t>
  </si>
  <si>
    <t>Parul</t>
  </si>
  <si>
    <t>Doshrambir</t>
  </si>
  <si>
    <t>Bharadwaj</t>
  </si>
  <si>
    <t>Rekha</t>
  </si>
  <si>
    <t>Chokkisannappa</t>
  </si>
  <si>
    <t>Chorasiya</t>
  </si>
  <si>
    <t>Pitta</t>
  </si>
  <si>
    <t>Kumarijosna</t>
  </si>
  <si>
    <t>Karthik</t>
  </si>
  <si>
    <t>Sankararaman</t>
  </si>
  <si>
    <t>Rajia</t>
  </si>
  <si>
    <t>Malviya</t>
  </si>
  <si>
    <t>Richa</t>
  </si>
  <si>
    <t>Jyotishi</t>
  </si>
  <si>
    <t>Rema</t>
  </si>
  <si>
    <t>Suresh</t>
  </si>
  <si>
    <t>Raju</t>
  </si>
  <si>
    <t>Ranjantiwari</t>
  </si>
  <si>
    <t>Reyya</t>
  </si>
  <si>
    <t>Tarunkumarvarma</t>
  </si>
  <si>
    <t>Dwivedi</t>
  </si>
  <si>
    <t>Rani</t>
  </si>
  <si>
    <t>Riyaz</t>
  </si>
  <si>
    <t>Ritu</t>
  </si>
  <si>
    <t>Panchal</t>
  </si>
  <si>
    <t>Handique</t>
  </si>
  <si>
    <t>Reema</t>
  </si>
  <si>
    <t>Parihar</t>
  </si>
  <si>
    <t>Vanjari</t>
  </si>
  <si>
    <t>Rajni</t>
  </si>
  <si>
    <t>Nagose</t>
  </si>
  <si>
    <t>Reeta</t>
  </si>
  <si>
    <t>Chauhan</t>
  </si>
  <si>
    <t>Ranji</t>
  </si>
  <si>
    <t>Eliaskozhy</t>
  </si>
  <si>
    <t>Rumu</t>
  </si>
  <si>
    <t>Rohit</t>
  </si>
  <si>
    <t>Rinku</t>
  </si>
  <si>
    <t>Lahkar</t>
  </si>
  <si>
    <t>Ramu</t>
  </si>
  <si>
    <t>Korupolu</t>
  </si>
  <si>
    <t>Sabir</t>
  </si>
  <si>
    <t>Shabbir</t>
  </si>
  <si>
    <t>Dahanga</t>
  </si>
  <si>
    <t>Renu</t>
  </si>
  <si>
    <t>Gurang</t>
  </si>
  <si>
    <t>Ryali</t>
  </si>
  <si>
    <t>Sahir</t>
  </si>
  <si>
    <t>Gulati</t>
  </si>
  <si>
    <t>Rupa</t>
  </si>
  <si>
    <t>Acharyya</t>
  </si>
  <si>
    <t>Sajid</t>
  </si>
  <si>
    <t>Siddiqui</t>
  </si>
  <si>
    <t>Bachawle</t>
  </si>
  <si>
    <t>Kaundal</t>
  </si>
  <si>
    <t>Riju</t>
  </si>
  <si>
    <t>Purushothaman</t>
  </si>
  <si>
    <t>Satya</t>
  </si>
  <si>
    <t>Bhattacharjee</t>
  </si>
  <si>
    <t>Samir</t>
  </si>
  <si>
    <t>Bhakat</t>
  </si>
  <si>
    <t>Ruman</t>
  </si>
  <si>
    <t>Pathak</t>
  </si>
  <si>
    <t>Santa</t>
  </si>
  <si>
    <t>Gurung</t>
  </si>
  <si>
    <t>Jagdishbhai</t>
  </si>
  <si>
    <t>Rosie</t>
  </si>
  <si>
    <t>Lalrinpari</t>
  </si>
  <si>
    <t>Riya</t>
  </si>
  <si>
    <t>Shaik</t>
  </si>
  <si>
    <t>Yousaff</t>
  </si>
  <si>
    <t>Savio</t>
  </si>
  <si>
    <t>Coutinho</t>
  </si>
  <si>
    <t>Rinki</t>
  </si>
  <si>
    <t>Sarat</t>
  </si>
  <si>
    <t>Sonowal</t>
  </si>
  <si>
    <t>Rupai</t>
  </si>
  <si>
    <t>Hemrom</t>
  </si>
  <si>
    <t>Shiv</t>
  </si>
  <si>
    <t>Salim</t>
  </si>
  <si>
    <t>Ahamed</t>
  </si>
  <si>
    <t>Nissarahamed</t>
  </si>
  <si>
    <t>Seby</t>
  </si>
  <si>
    <t>Joseph</t>
  </si>
  <si>
    <t>Seema</t>
  </si>
  <si>
    <t>Phadke</t>
  </si>
  <si>
    <t>Sirohi</t>
  </si>
  <si>
    <t>Sana</t>
  </si>
  <si>
    <t>Kadoli</t>
  </si>
  <si>
    <t>Subhani</t>
  </si>
  <si>
    <t>Shyam</t>
  </si>
  <si>
    <t>Shely</t>
  </si>
  <si>
    <t>Sant</t>
  </si>
  <si>
    <t>Sakharam</t>
  </si>
  <si>
    <t>Shamshuddin</t>
  </si>
  <si>
    <t>Ansarali</t>
  </si>
  <si>
    <t>Sanju</t>
  </si>
  <si>
    <t>Pardhi</t>
  </si>
  <si>
    <t>Sheik</t>
  </si>
  <si>
    <t>Hussain</t>
  </si>
  <si>
    <t>Simi</t>
  </si>
  <si>
    <t>Rajeev</t>
  </si>
  <si>
    <t>Azgarali</t>
  </si>
  <si>
    <t>Sikha</t>
  </si>
  <si>
    <t>Shri</t>
  </si>
  <si>
    <t>Parkash</t>
  </si>
  <si>
    <t>Paswan</t>
  </si>
  <si>
    <t>Singh</t>
  </si>
  <si>
    <t>Baldhari</t>
  </si>
  <si>
    <t>Sudip</t>
  </si>
  <si>
    <t>Bhupendar</t>
  </si>
  <si>
    <t>Suman</t>
  </si>
  <si>
    <t>Navale</t>
  </si>
  <si>
    <t>Sunil</t>
  </si>
  <si>
    <t>Siji</t>
  </si>
  <si>
    <t>Sonia</t>
  </si>
  <si>
    <t>Bagchi</t>
  </si>
  <si>
    <t>Sumit</t>
  </si>
  <si>
    <t>Kharatmal</t>
  </si>
  <si>
    <t>Supia</t>
  </si>
  <si>
    <t>Sangma</t>
  </si>
  <si>
    <t>Sujit</t>
  </si>
  <si>
    <t>Bhowmick</t>
  </si>
  <si>
    <t>Syed</t>
  </si>
  <si>
    <t>Sujoy</t>
  </si>
  <si>
    <t>Meshram</t>
  </si>
  <si>
    <t>Silam</t>
  </si>
  <si>
    <t>Lakshmareddy</t>
  </si>
  <si>
    <t>Khurde</t>
  </si>
  <si>
    <t>Suteri</t>
  </si>
  <si>
    <t>Sneha</t>
  </si>
  <si>
    <t>Gadkari</t>
  </si>
  <si>
    <t>Suraj</t>
  </si>
  <si>
    <t>Gazmir</t>
  </si>
  <si>
    <t>Devkar</t>
  </si>
  <si>
    <t>Sudha</t>
  </si>
  <si>
    <t>Vishwanathan</t>
  </si>
  <si>
    <t>Pramanik</t>
  </si>
  <si>
    <t>Gujjalwar</t>
  </si>
  <si>
    <t>Ramshankar</t>
  </si>
  <si>
    <t>Smita</t>
  </si>
  <si>
    <t>Ghosh</t>
  </si>
  <si>
    <t>Sabapathi</t>
  </si>
  <si>
    <t>Biswas</t>
  </si>
  <si>
    <t>Dhingra</t>
  </si>
  <si>
    <t>Bidwai</t>
  </si>
  <si>
    <t>Tinku</t>
  </si>
  <si>
    <t>Rajkhowa</t>
  </si>
  <si>
    <t>Tarun</t>
  </si>
  <si>
    <t>Bansal</t>
  </si>
  <si>
    <t>Palsingh</t>
  </si>
  <si>
    <t>Tapas</t>
  </si>
  <si>
    <t>Jaiswal</t>
  </si>
  <si>
    <t>Tapan</t>
  </si>
  <si>
    <t>Udita</t>
  </si>
  <si>
    <t>Tumpa</t>
  </si>
  <si>
    <t>Tulsi</t>
  </si>
  <si>
    <t>Chettricpr</t>
  </si>
  <si>
    <t>Thota</t>
  </si>
  <si>
    <t>Sureshgowd</t>
  </si>
  <si>
    <t>Tomo</t>
  </si>
  <si>
    <t>Gamlin</t>
  </si>
  <si>
    <t>Taku</t>
  </si>
  <si>
    <t>Panyur</t>
  </si>
  <si>
    <t>Umesh</t>
  </si>
  <si>
    <t>Gawandi</t>
  </si>
  <si>
    <t>Tamal</t>
  </si>
  <si>
    <t>Nathkycrequired</t>
  </si>
  <si>
    <t>Sarswat</t>
  </si>
  <si>
    <t>Tanka</t>
  </si>
  <si>
    <t>Tiju</t>
  </si>
  <si>
    <t>Chiramannilthomas</t>
  </si>
  <si>
    <t>Usha</t>
  </si>
  <si>
    <t>Luthra</t>
  </si>
  <si>
    <t>Urgen</t>
  </si>
  <si>
    <t>Sherpa</t>
  </si>
  <si>
    <t>Upen</t>
  </si>
  <si>
    <t>Ujjal</t>
  </si>
  <si>
    <t>Halder</t>
  </si>
  <si>
    <t>Utpal</t>
  </si>
  <si>
    <t>Vijay</t>
  </si>
  <si>
    <t>Chandra</t>
  </si>
  <si>
    <t>Sarangan</t>
  </si>
  <si>
    <t>Usman</t>
  </si>
  <si>
    <t>Mohammed</t>
  </si>
  <si>
    <t>Bhoyar</t>
  </si>
  <si>
    <t>Uttam</t>
  </si>
  <si>
    <t>Ballav</t>
  </si>
  <si>
    <t>Vikas</t>
  </si>
  <si>
    <t>Ghadge</t>
  </si>
  <si>
    <t>Vidya</t>
  </si>
  <si>
    <t>Shingade</t>
  </si>
  <si>
    <t>Kalejwar</t>
  </si>
  <si>
    <t>Vibha</t>
  </si>
  <si>
    <t>Savita</t>
  </si>
  <si>
    <t>Khobragade</t>
  </si>
  <si>
    <t>Vilas</t>
  </si>
  <si>
    <t>Nalawade</t>
  </si>
  <si>
    <t>Vinay</t>
  </si>
  <si>
    <t>Singhh</t>
  </si>
  <si>
    <t>Godwal</t>
  </si>
  <si>
    <t>Vinod</t>
  </si>
  <si>
    <t>Mhashakhetri</t>
  </si>
  <si>
    <t>Jamwal</t>
  </si>
  <si>
    <t>Balakrishnan</t>
  </si>
  <si>
    <t>Bammidi</t>
  </si>
  <si>
    <t>Vivek</t>
  </si>
  <si>
    <t>Dandawate</t>
  </si>
  <si>
    <t>Maurya</t>
  </si>
  <si>
    <t>Bharti</t>
  </si>
  <si>
    <t>Vishwakarma</t>
  </si>
  <si>
    <t>Zach</t>
  </si>
  <si>
    <t>Hauhnar</t>
  </si>
  <si>
    <t>Yalla</t>
  </si>
  <si>
    <t>Jagannadharao</t>
  </si>
  <si>
    <t>Bhaskar</t>
  </si>
  <si>
    <t>Centre</t>
  </si>
  <si>
    <t>A</t>
  </si>
  <si>
    <t>B</t>
  </si>
  <si>
    <t>C</t>
  </si>
  <si>
    <t>No of Working Days in January</t>
  </si>
  <si>
    <t>No of Working Days in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</si>
</sst>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_);_(* \(#,##0\);_(* &quot;-&quot;??_);_(@_)"/>
    <numFmt numFmtId="165" formatCode="yyyy\-mm\-dd\ h:mm:ss"/>
    <numFmt numFmtId="166" formatCode="yyyy\-mm\-dd"/>
    <numFmt numFmtId="167" formatCode="yyyy\-mm"/>
    <numFmt numFmtId="168" formatCode="_ * #,##0.0_ ;_ * \-#,##0.0_ ;_ * &quot;-&quot;?_ ;_ @_ "/>
  </numFmts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color theme="1"/>
      <name val="Merriweathe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1E1E1E"/>
      <name val="Quattrocento Sans"/>
    </font>
    <font>
      <b/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Quattrocento Sans"/>
    </font>
    <font>
      <b/>
      <sz val="11"/>
      <color rgb="FF1E1E1E"/>
      <name val="Arial"/>
      <family val="2"/>
    </font>
    <font>
      <b/>
      <sz val="11"/>
      <color rgb="FF363636"/>
      <name val="Quattrocento Sans"/>
    </font>
    <font>
      <sz val="11"/>
      <color rgb="FF1E1E1E"/>
      <name val="Arial"/>
      <family val="2"/>
    </font>
    <font>
      <sz val="11"/>
      <color rgb="FF1E1E1E"/>
      <name val="Quattrocento Sans"/>
    </font>
    <font>
      <sz val="11"/>
      <color rgb="FF363636"/>
      <name val="Quattrocento Sans"/>
    </font>
    <font>
      <sz val="9"/>
      <color rgb="FF000000"/>
      <name val="Arial"/>
      <family val="2"/>
    </font>
    <font>
      <b/>
      <sz val="14"/>
      <color rgb="FFC55A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D965"/>
        <bgColor rgb="FFFFD965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rgb="FFB7B7B7"/>
        <bgColor rgb="FFB7B7B7"/>
      </patternFill>
    </fill>
    <fill>
      <patternFill patternType="solid">
        <fgColor rgb="FF00FF00"/>
        <bgColor rgb="FF00FF00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CCCCCC"/>
        <bgColor rgb="FFCCCCCC"/>
      </patternFill>
    </fill>
    <fill>
      <patternFill patternType="solid">
        <fgColor rgb="FFF4F4F4"/>
        <bgColor rgb="FFF4F4F4"/>
      </patternFill>
    </fill>
    <fill>
      <patternFill patternType="solid">
        <fgColor rgb="FFFFFFFF"/>
        <bgColor rgb="FFFFFFFF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FFFFFF"/>
      </left>
      <right/>
      <top style="thin">
        <color rgb="FF999999"/>
      </top>
      <bottom/>
      <diagonal/>
    </border>
    <border>
      <left style="thin">
        <color rgb="FFFFFFFF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164" fontId="3" fillId="0" borderId="1" xfId="0" applyNumberFormat="1" applyFont="1" applyBorder="1"/>
    <xf numFmtId="0" fontId="3" fillId="0" borderId="1" xfId="0" applyFont="1" applyBorder="1"/>
    <xf numFmtId="0" fontId="3" fillId="0" borderId="0" xfId="0" applyFont="1"/>
    <xf numFmtId="14" fontId="3" fillId="0" borderId="0" xfId="0" applyNumberFormat="1" applyFont="1"/>
    <xf numFmtId="0" fontId="4" fillId="0" borderId="3" xfId="0" applyFont="1" applyBorder="1"/>
    <xf numFmtId="0" fontId="4" fillId="0" borderId="4" xfId="0" applyFont="1" applyBorder="1"/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center" vertical="top"/>
    </xf>
    <xf numFmtId="0" fontId="6" fillId="0" borderId="0" xfId="0" applyFont="1"/>
    <xf numFmtId="165" fontId="6" fillId="0" borderId="1" xfId="0" applyNumberFormat="1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65" fontId="6" fillId="0" borderId="0" xfId="0" applyNumberFormat="1" applyFont="1" applyAlignment="1">
      <alignment horizontal="right"/>
    </xf>
    <xf numFmtId="0" fontId="7" fillId="0" borderId="0" xfId="0" applyFont="1"/>
    <xf numFmtId="0" fontId="5" fillId="4" borderId="5" xfId="0" applyFont="1" applyFill="1" applyBorder="1"/>
    <xf numFmtId="0" fontId="4" fillId="0" borderId="1" xfId="0" applyFont="1" applyBorder="1"/>
    <xf numFmtId="0" fontId="8" fillId="5" borderId="1" xfId="0" applyFont="1" applyFill="1" applyBorder="1"/>
    <xf numFmtId="164" fontId="3" fillId="0" borderId="1" xfId="0" applyNumberFormat="1" applyFont="1" applyBorder="1" applyAlignment="1">
      <alignment horizontal="right"/>
    </xf>
    <xf numFmtId="14" fontId="3" fillId="0" borderId="1" xfId="0" applyNumberFormat="1" applyFont="1" applyBorder="1"/>
    <xf numFmtId="166" fontId="3" fillId="0" borderId="1" xfId="0" applyNumberFormat="1" applyFont="1" applyBorder="1"/>
    <xf numFmtId="0" fontId="2" fillId="2" borderId="6" xfId="0" applyFont="1" applyFill="1" applyBorder="1" applyAlignment="1">
      <alignment horizontal="center" vertical="center"/>
    </xf>
    <xf numFmtId="9" fontId="3" fillId="0" borderId="1" xfId="0" applyNumberFormat="1" applyFont="1" applyBorder="1"/>
    <xf numFmtId="0" fontId="9" fillId="0" borderId="0" xfId="0" applyFont="1"/>
    <xf numFmtId="0" fontId="10" fillId="0" borderId="0" xfId="0" applyFont="1"/>
    <xf numFmtId="0" fontId="4" fillId="0" borderId="0" xfId="0" applyFont="1"/>
    <xf numFmtId="0" fontId="11" fillId="0" borderId="0" xfId="0" applyFont="1"/>
    <xf numFmtId="0" fontId="12" fillId="0" borderId="0" xfId="0" applyFont="1"/>
    <xf numFmtId="14" fontId="12" fillId="0" borderId="7" xfId="0" applyNumberFormat="1" applyFont="1" applyBorder="1"/>
    <xf numFmtId="166" fontId="12" fillId="0" borderId="7" xfId="0" applyNumberFormat="1" applyFont="1" applyBorder="1"/>
    <xf numFmtId="166" fontId="3" fillId="0" borderId="0" xfId="0" applyNumberFormat="1" applyFont="1"/>
    <xf numFmtId="0" fontId="13" fillId="6" borderId="0" xfId="0" applyFont="1" applyFill="1"/>
    <xf numFmtId="0" fontId="4" fillId="0" borderId="8" xfId="0" applyFont="1" applyBorder="1"/>
    <xf numFmtId="166" fontId="3" fillId="0" borderId="8" xfId="0" applyNumberFormat="1" applyFont="1" applyBorder="1"/>
    <xf numFmtId="0" fontId="3" fillId="0" borderId="8" xfId="0" applyFont="1" applyBorder="1"/>
    <xf numFmtId="0" fontId="14" fillId="7" borderId="0" xfId="0" applyFont="1" applyFill="1"/>
    <xf numFmtId="0" fontId="3" fillId="7" borderId="0" xfId="0" applyFont="1" applyFill="1"/>
    <xf numFmtId="0" fontId="13" fillId="0" borderId="0" xfId="0" applyFont="1"/>
    <xf numFmtId="0" fontId="3" fillId="0" borderId="9" xfId="0" applyFont="1" applyBorder="1"/>
    <xf numFmtId="0" fontId="3" fillId="8" borderId="8" xfId="0" applyFont="1" applyFill="1" applyBorder="1"/>
    <xf numFmtId="0" fontId="15" fillId="8" borderId="10" xfId="0" applyFont="1" applyFill="1" applyBorder="1" applyAlignment="1">
      <alignment horizontal="center"/>
    </xf>
    <xf numFmtId="0" fontId="3" fillId="8" borderId="10" xfId="0" applyFont="1" applyFill="1" applyBorder="1"/>
    <xf numFmtId="0" fontId="13" fillId="8" borderId="8" xfId="0" applyFont="1" applyFill="1" applyBorder="1"/>
    <xf numFmtId="0" fontId="3" fillId="8" borderId="10" xfId="0" applyFont="1" applyFill="1" applyBorder="1" applyAlignment="1">
      <alignment horizontal="center"/>
    </xf>
    <xf numFmtId="0" fontId="13" fillId="9" borderId="8" xfId="0" applyFont="1" applyFill="1" applyBorder="1"/>
    <xf numFmtId="0" fontId="3" fillId="9" borderId="10" xfId="0" applyFont="1" applyFill="1" applyBorder="1"/>
    <xf numFmtId="0" fontId="13" fillId="4" borderId="8" xfId="0" applyFont="1" applyFill="1" applyBorder="1"/>
    <xf numFmtId="0" fontId="3" fillId="4" borderId="10" xfId="0" applyFont="1" applyFill="1" applyBorder="1" applyAlignment="1">
      <alignment horizontal="center"/>
    </xf>
    <xf numFmtId="9" fontId="3" fillId="4" borderId="10" xfId="0" applyNumberFormat="1" applyFont="1" applyFill="1" applyBorder="1" applyAlignment="1">
      <alignment horizontal="center"/>
    </xf>
    <xf numFmtId="9" fontId="3" fillId="8" borderId="10" xfId="0" applyNumberFormat="1" applyFont="1" applyFill="1" applyBorder="1" applyAlignment="1">
      <alignment horizontal="center"/>
    </xf>
    <xf numFmtId="0" fontId="4" fillId="4" borderId="0" xfId="0" applyFont="1" applyFill="1"/>
    <xf numFmtId="0" fontId="3" fillId="4" borderId="0" xfId="0" applyFont="1" applyFill="1"/>
    <xf numFmtId="0" fontId="16" fillId="9" borderId="1" xfId="0" applyFont="1" applyFill="1" applyBorder="1" applyAlignment="1">
      <alignment horizontal="center"/>
    </xf>
    <xf numFmtId="0" fontId="13" fillId="10" borderId="0" xfId="0" applyFont="1" applyFill="1" applyAlignment="1">
      <alignment horizontal="center"/>
    </xf>
    <xf numFmtId="0" fontId="4" fillId="9" borderId="1" xfId="0" applyFont="1" applyFill="1" applyBorder="1"/>
    <xf numFmtId="9" fontId="4" fillId="9" borderId="1" xfId="0" applyNumberFormat="1" applyFont="1" applyFill="1" applyBorder="1"/>
    <xf numFmtId="0" fontId="16" fillId="6" borderId="1" xfId="0" applyFont="1" applyFill="1" applyBorder="1"/>
    <xf numFmtId="0" fontId="4" fillId="6" borderId="1" xfId="0" applyFont="1" applyFill="1" applyBorder="1"/>
    <xf numFmtId="0" fontId="16" fillId="0" borderId="0" xfId="0" applyFont="1"/>
    <xf numFmtId="0" fontId="2" fillId="0" borderId="0" xfId="0" applyFont="1"/>
    <xf numFmtId="0" fontId="17" fillId="11" borderId="11" xfId="0" applyFont="1" applyFill="1" applyBorder="1"/>
    <xf numFmtId="0" fontId="18" fillId="10" borderId="1" xfId="0" applyFont="1" applyFill="1" applyBorder="1" applyAlignment="1">
      <alignment horizontal="left" vertical="top"/>
    </xf>
    <xf numFmtId="0" fontId="18" fillId="10" borderId="1" xfId="0" applyFont="1" applyFill="1" applyBorder="1" applyAlignment="1">
      <alignment vertical="top"/>
    </xf>
    <xf numFmtId="0" fontId="19" fillId="0" borderId="1" xfId="0" applyFont="1" applyBorder="1"/>
    <xf numFmtId="0" fontId="20" fillId="10" borderId="1" xfId="0" applyFont="1" applyFill="1" applyBorder="1" applyAlignment="1">
      <alignment horizontal="left" vertical="top"/>
    </xf>
    <xf numFmtId="0" fontId="21" fillId="10" borderId="1" xfId="0" applyFont="1" applyFill="1" applyBorder="1" applyAlignment="1">
      <alignment vertical="top"/>
    </xf>
    <xf numFmtId="0" fontId="6" fillId="4" borderId="1" xfId="0" applyFont="1" applyFill="1" applyBorder="1"/>
    <xf numFmtId="0" fontId="21" fillId="10" borderId="1" xfId="0" applyFont="1" applyFill="1" applyBorder="1" applyAlignment="1">
      <alignment horizontal="left" vertical="top"/>
    </xf>
    <xf numFmtId="0" fontId="22" fillId="10" borderId="1" xfId="0" applyFont="1" applyFill="1" applyBorder="1" applyAlignment="1">
      <alignment horizontal="left" vertical="top"/>
    </xf>
    <xf numFmtId="0" fontId="22" fillId="10" borderId="1" xfId="0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10" borderId="1" xfId="0" applyFont="1" applyFill="1" applyBorder="1" applyAlignment="1">
      <alignment horizontal="left" vertical="top"/>
    </xf>
    <xf numFmtId="0" fontId="25" fillId="10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5" fillId="10" borderId="1" xfId="0" applyFont="1" applyFill="1" applyBorder="1" applyAlignment="1">
      <alignment horizontal="left" vertical="top"/>
    </xf>
    <xf numFmtId="0" fontId="3" fillId="0" borderId="2" xfId="0" applyFont="1" applyBorder="1"/>
    <xf numFmtId="164" fontId="3" fillId="0" borderId="2" xfId="0" applyNumberFormat="1" applyFont="1" applyBorder="1"/>
    <xf numFmtId="164" fontId="3" fillId="0" borderId="0" xfId="0" applyNumberFormat="1" applyFont="1"/>
    <xf numFmtId="0" fontId="3" fillId="0" borderId="2" xfId="0" applyFont="1" applyBorder="1" applyAlignment="1">
      <alignment horizontal="left" vertical="center"/>
    </xf>
    <xf numFmtId="0" fontId="3" fillId="0" borderId="10" xfId="0" applyFont="1" applyBorder="1"/>
    <xf numFmtId="164" fontId="3" fillId="0" borderId="10" xfId="0" applyNumberFormat="1" applyFont="1" applyBorder="1"/>
    <xf numFmtId="167" fontId="3" fillId="0" borderId="0" xfId="0" applyNumberFormat="1" applyFont="1"/>
    <xf numFmtId="0" fontId="27" fillId="12" borderId="5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/>
    <xf numFmtId="0" fontId="3" fillId="0" borderId="10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14" fontId="3" fillId="0" borderId="24" xfId="0" applyNumberFormat="1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27" xfId="0" applyFont="1" applyBorder="1" applyAlignment="1">
      <alignment horizontal="left" vertical="center"/>
    </xf>
    <xf numFmtId="14" fontId="3" fillId="0" borderId="28" xfId="0" applyNumberFormat="1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/>
    </xf>
    <xf numFmtId="0" fontId="2" fillId="3" borderId="12" xfId="0" applyFont="1" applyFill="1" applyBorder="1" applyAlignment="1">
      <alignment horizontal="center" vertical="center"/>
    </xf>
    <xf numFmtId="0" fontId="13" fillId="3" borderId="31" xfId="0" applyFont="1" applyFill="1" applyBorder="1"/>
    <xf numFmtId="0" fontId="3" fillId="3" borderId="32" xfId="0" applyFont="1" applyFill="1" applyBorder="1"/>
    <xf numFmtId="0" fontId="3" fillId="3" borderId="33" xfId="0" applyFont="1" applyFill="1" applyBorder="1"/>
    <xf numFmtId="0" fontId="2" fillId="3" borderId="34" xfId="0" applyFont="1" applyFill="1" applyBorder="1" applyAlignment="1">
      <alignment horizontal="center" vertical="center"/>
    </xf>
    <xf numFmtId="0" fontId="27" fillId="12" borderId="5" xfId="0" applyFont="1" applyFill="1" applyBorder="1"/>
    <xf numFmtId="0" fontId="3" fillId="0" borderId="8" xfId="0" applyFont="1" applyBorder="1" applyAlignment="1">
      <alignment horizontal="left" vertical="center"/>
    </xf>
    <xf numFmtId="14" fontId="3" fillId="0" borderId="3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164" fontId="3" fillId="0" borderId="3" xfId="0" applyNumberFormat="1" applyFont="1" applyBorder="1"/>
    <xf numFmtId="14" fontId="3" fillId="0" borderId="8" xfId="0" applyNumberFormat="1" applyFont="1" applyBorder="1" applyAlignment="1">
      <alignment horizontal="left" vertical="center"/>
    </xf>
    <xf numFmtId="164" fontId="3" fillId="0" borderId="8" xfId="0" applyNumberFormat="1" applyFont="1" applyBorder="1" applyAlignment="1">
      <alignment horizontal="left" vertical="center"/>
    </xf>
    <xf numFmtId="164" fontId="3" fillId="0" borderId="8" xfId="0" applyNumberFormat="1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0" fontId="3" fillId="0" borderId="41" xfId="0" applyFont="1" applyBorder="1"/>
    <xf numFmtId="0" fontId="3" fillId="0" borderId="42" xfId="0" applyFont="1" applyBorder="1"/>
    <xf numFmtId="0" fontId="3" fillId="0" borderId="43" xfId="0" applyFont="1" applyBorder="1"/>
    <xf numFmtId="0" fontId="3" fillId="0" borderId="44" xfId="0" applyFont="1" applyBorder="1"/>
    <xf numFmtId="0" fontId="13" fillId="13" borderId="1" xfId="0" applyFont="1" applyFill="1" applyBorder="1" applyAlignment="1">
      <alignment horizontal="center"/>
    </xf>
    <xf numFmtId="43" fontId="3" fillId="0" borderId="1" xfId="0" applyNumberFormat="1" applyFont="1" applyBorder="1"/>
    <xf numFmtId="9" fontId="4" fillId="6" borderId="1" xfId="0" applyNumberFormat="1" applyFont="1" applyFill="1" applyBorder="1"/>
    <xf numFmtId="164" fontId="0" fillId="0" borderId="0" xfId="0" applyNumberFormat="1"/>
    <xf numFmtId="0" fontId="1" fillId="0" borderId="45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0" fillId="0" borderId="45" xfId="0" applyBorder="1" applyAlignment="1">
      <alignment horizontal="center"/>
    </xf>
    <xf numFmtId="0" fontId="16" fillId="14" borderId="0" xfId="0" applyFont="1" applyFill="1"/>
    <xf numFmtId="0" fontId="2" fillId="3" borderId="1" xfId="0" applyFont="1" applyFill="1" applyBorder="1" applyAlignment="1">
      <alignment horizontal="center"/>
    </xf>
    <xf numFmtId="0" fontId="3" fillId="0" borderId="1" xfId="0" applyFont="1" applyBorder="1" applyAlignment="1"/>
    <xf numFmtId="0" fontId="4" fillId="0" borderId="2" xfId="0" applyFont="1" applyBorder="1" applyAlignment="1"/>
    <xf numFmtId="0" fontId="0" fillId="0" borderId="0" xfId="0" applyAlignment="1"/>
    <xf numFmtId="168" fontId="3" fillId="0" borderId="1" xfId="0" applyNumberFormat="1" applyFont="1" applyBorder="1"/>
  </cellXfs>
  <cellStyles count="1">
    <cellStyle name="Normal" xfId="0" builtinId="0"/>
  </cellStyles>
  <dxfs count="3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lang="en-IN" b="0" i="0">
                <a:solidFill>
                  <a:srgbClr val="757575"/>
                </a:solidFill>
                <a:latin typeface="+mn-lt"/>
              </a:rPr>
              <a:t>SPENDSCHART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Spends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RANGES!$A$2:$A$14</c:f>
              <c:strCache>
                <c:ptCount val="13"/>
                <c:pt idx="0">
                  <c:v>2020-07</c:v>
                </c:pt>
                <c:pt idx="1">
                  <c:v>2020-08</c:v>
                </c:pt>
                <c:pt idx="2">
                  <c:v>2020-09</c:v>
                </c:pt>
                <c:pt idx="3">
                  <c:v>2020-10</c:v>
                </c:pt>
                <c:pt idx="4">
                  <c:v>2020-11</c:v>
                </c:pt>
                <c:pt idx="5">
                  <c:v>2020-12</c:v>
                </c:pt>
                <c:pt idx="6">
                  <c:v>2021-01</c:v>
                </c:pt>
                <c:pt idx="7">
                  <c:v>2021-02</c:v>
                </c:pt>
                <c:pt idx="8">
                  <c:v>2021-03</c:v>
                </c:pt>
                <c:pt idx="9">
                  <c:v>2021-04</c:v>
                </c:pt>
                <c:pt idx="10">
                  <c:v>2021-05</c:v>
                </c:pt>
                <c:pt idx="11">
                  <c:v>2021-06</c:v>
                </c:pt>
                <c:pt idx="12">
                  <c:v>2024-06</c:v>
                </c:pt>
              </c:strCache>
            </c:strRef>
          </c:cat>
          <c:val>
            <c:numRef>
              <c:f>RANGES!$B$2:$B$14</c:f>
              <c:numCache>
                <c:formatCode>_(* #,##0_);_(* \(#,##0\);_(* "-"??_);_(@_)</c:formatCode>
                <c:ptCount val="13"/>
                <c:pt idx="0">
                  <c:v>1648752</c:v>
                </c:pt>
                <c:pt idx="1">
                  <c:v>1639672</c:v>
                </c:pt>
                <c:pt idx="2">
                  <c:v>4668625</c:v>
                </c:pt>
                <c:pt idx="3">
                  <c:v>2444164</c:v>
                </c:pt>
                <c:pt idx="4">
                  <c:v>1905960</c:v>
                </c:pt>
                <c:pt idx="5">
                  <c:v>1636428</c:v>
                </c:pt>
                <c:pt idx="6">
                  <c:v>1280000</c:v>
                </c:pt>
                <c:pt idx="7">
                  <c:v>1240248</c:v>
                </c:pt>
                <c:pt idx="8">
                  <c:v>1221966</c:v>
                </c:pt>
                <c:pt idx="9">
                  <c:v>1129653</c:v>
                </c:pt>
                <c:pt idx="10">
                  <c:v>1123200</c:v>
                </c:pt>
                <c:pt idx="11">
                  <c:v>876509</c:v>
                </c:pt>
                <c:pt idx="12" formatCode="General">
                  <c:v>5000000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DEE-4D6B-B067-5DB26707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2864"/>
        <c:axId val="139760000"/>
      </c:barChart>
      <c:catAx>
        <c:axId val="13973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60000"/>
        <c:crosses val="autoZero"/>
        <c:auto val="1"/>
        <c:lblAlgn val="ctr"/>
        <c:lblOffset val="100"/>
        <c:noMultiLvlLbl val="1"/>
      </c:catAx>
      <c:valAx>
        <c:axId val="13976000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_(* #,##0_);_(* \(#,##0\);_(* &quot;-&quot;??_);_(@_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973286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542925</xdr:colOff>
      <xdr:row>10</xdr:row>
      <xdr:rowOff>85725</xdr:rowOff>
    </xdr:from>
    <xdr:ext cx="4495800" cy="2876550"/>
    <xdr:graphicFrame macro="">
      <xdr:nvGraphicFramePr>
        <xdr:cNvPr id="1710124681" name="Chart 1" title="Chart">
          <a:extLst>
            <a:ext uri="{FF2B5EF4-FFF2-40B4-BE49-F238E27FC236}">
              <a16:creationId xmlns:a16="http://schemas.microsoft.com/office/drawing/2014/main" id="{00000000-0008-0000-0600-0000896EE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W1000"/>
  <sheetViews>
    <sheetView showGridLines="0" topLeftCell="I74" workbookViewId="0">
      <selection activeCell="N10" sqref="N10"/>
    </sheetView>
  </sheetViews>
  <sheetFormatPr defaultColWidth="14.42578125" defaultRowHeight="15" customHeight="1" x14ac:dyDescent="0.25"/>
  <cols>
    <col min="1" max="1" width="18.85546875" customWidth="1"/>
    <col min="2" max="2" width="9.7109375" customWidth="1"/>
    <col min="3" max="3" width="16" customWidth="1"/>
    <col min="4" max="4" width="14.85546875" customWidth="1"/>
    <col min="5" max="5" width="15.28515625" customWidth="1"/>
    <col min="6" max="6" width="8.7109375" customWidth="1"/>
    <col min="7" max="7" width="18.5703125" customWidth="1"/>
    <col min="8" max="8" width="11.28515625" customWidth="1"/>
    <col min="9" max="9" width="36.28515625" style="147" customWidth="1"/>
    <col min="10" max="10" width="36.28515625" customWidth="1"/>
    <col min="11" max="11" width="41" customWidth="1"/>
    <col min="12" max="12" width="49.7109375" customWidth="1"/>
    <col min="13" max="22" width="8.7109375" customWidth="1"/>
    <col min="23" max="23" width="16.85546875" customWidth="1"/>
    <col min="24" max="27" width="8.7109375" customWidth="1"/>
  </cols>
  <sheetData>
    <row r="1" spans="1:23" ht="56.2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44" t="s">
        <v>8</v>
      </c>
      <c r="J1" s="2" t="s">
        <v>9</v>
      </c>
      <c r="K1" s="2" t="s">
        <v>10</v>
      </c>
      <c r="L1" s="3" t="s">
        <v>11</v>
      </c>
    </row>
    <row r="2" spans="1:23" x14ac:dyDescent="0.25">
      <c r="A2" s="4">
        <v>22039</v>
      </c>
      <c r="B2" s="4" t="s">
        <v>12</v>
      </c>
      <c r="C2" s="5">
        <v>30664</v>
      </c>
      <c r="D2" s="4" t="s">
        <v>13</v>
      </c>
      <c r="E2" s="4" t="s">
        <v>14</v>
      </c>
      <c r="F2" s="4" t="s">
        <v>15</v>
      </c>
      <c r="G2" s="6">
        <v>46686</v>
      </c>
      <c r="H2" s="7">
        <v>4668625</v>
      </c>
      <c r="I2" s="145">
        <f ca="1">DATEDIF(C2,TODAY(),"y")</f>
        <v>40</v>
      </c>
      <c r="J2" s="8" t="b">
        <f ca="1">AND(B2="Male",I2&lt;40)</f>
        <v>0</v>
      </c>
      <c r="K2" s="8" t="b">
        <f ca="1">AND(B2="Female",I2&lt;50)</f>
        <v>0</v>
      </c>
      <c r="L2" s="8">
        <f ca="1">IF(AND(B2="Female",OR(I2&lt;25,I2&gt;50)),10000,0)</f>
        <v>0</v>
      </c>
      <c r="N2" s="9"/>
    </row>
    <row r="3" spans="1:23" x14ac:dyDescent="0.25">
      <c r="A3" s="4">
        <v>132808</v>
      </c>
      <c r="B3" s="4" t="s">
        <v>12</v>
      </c>
      <c r="C3" s="5">
        <v>32200</v>
      </c>
      <c r="D3" s="4" t="s">
        <v>16</v>
      </c>
      <c r="E3" s="4" t="s">
        <v>17</v>
      </c>
      <c r="F3" s="4" t="s">
        <v>18</v>
      </c>
      <c r="G3" s="6">
        <v>24442</v>
      </c>
      <c r="H3" s="7">
        <v>2444164</v>
      </c>
      <c r="I3" s="145">
        <f t="shared" ref="I3:I66" ca="1" si="0">DATEDIF(C3,TODAY(),"y")</f>
        <v>36</v>
      </c>
      <c r="J3" s="8" t="b">
        <f t="shared" ref="J3:J66" ca="1" si="1">AND(B3="Male",I3&lt;40)</f>
        <v>1</v>
      </c>
      <c r="K3" s="8" t="b">
        <f t="shared" ref="K3:K66" ca="1" si="2">AND(B3="Female",I3&lt;50)</f>
        <v>0</v>
      </c>
      <c r="L3" s="8">
        <f t="shared" ref="L3:L66" ca="1" si="3">IF(AND(B3="Female",OR(I3&lt;25,I3&gt;50)),10000,0)</f>
        <v>0</v>
      </c>
      <c r="N3" s="9"/>
    </row>
    <row r="4" spans="1:23" x14ac:dyDescent="0.25">
      <c r="A4" s="4">
        <v>39820</v>
      </c>
      <c r="B4" s="4" t="s">
        <v>12</v>
      </c>
      <c r="C4" s="5">
        <v>26324</v>
      </c>
      <c r="D4" s="4" t="s">
        <v>19</v>
      </c>
      <c r="E4" s="4" t="s">
        <v>20</v>
      </c>
      <c r="F4" s="4" t="s">
        <v>15</v>
      </c>
      <c r="G4" s="6">
        <v>19060</v>
      </c>
      <c r="H4" s="7">
        <v>1905960</v>
      </c>
      <c r="I4" s="145">
        <f t="shared" ca="1" si="0"/>
        <v>52</v>
      </c>
      <c r="J4" s="8" t="b">
        <f t="shared" ca="1" si="1"/>
        <v>0</v>
      </c>
      <c r="K4" s="8" t="b">
        <f t="shared" ca="1" si="2"/>
        <v>0</v>
      </c>
      <c r="L4" s="8">
        <f t="shared" ca="1" si="3"/>
        <v>0</v>
      </c>
      <c r="N4" s="9"/>
    </row>
    <row r="5" spans="1:23" x14ac:dyDescent="0.25">
      <c r="A5" s="4">
        <v>20513</v>
      </c>
      <c r="B5" s="4" t="s">
        <v>12</v>
      </c>
      <c r="C5" s="5">
        <v>30221</v>
      </c>
      <c r="D5" s="4" t="s">
        <v>21</v>
      </c>
      <c r="E5" s="4" t="s">
        <v>22</v>
      </c>
      <c r="F5" s="4" t="s">
        <v>23</v>
      </c>
      <c r="G5" s="6">
        <v>16364</v>
      </c>
      <c r="H5" s="7">
        <v>1636428</v>
      </c>
      <c r="I5" s="145">
        <f t="shared" ca="1" si="0"/>
        <v>41</v>
      </c>
      <c r="J5" s="8" t="b">
        <f t="shared" ca="1" si="1"/>
        <v>0</v>
      </c>
      <c r="K5" s="8" t="b">
        <f t="shared" ca="1" si="2"/>
        <v>0</v>
      </c>
      <c r="L5" s="8">
        <f t="shared" ca="1" si="3"/>
        <v>0</v>
      </c>
      <c r="N5" s="9"/>
    </row>
    <row r="6" spans="1:23" x14ac:dyDescent="0.25">
      <c r="A6" s="4">
        <v>122186</v>
      </c>
      <c r="B6" s="4" t="s">
        <v>24</v>
      </c>
      <c r="C6" s="5">
        <v>35440</v>
      </c>
      <c r="D6" s="4" t="s">
        <v>25</v>
      </c>
      <c r="E6" s="4" t="s">
        <v>26</v>
      </c>
      <c r="F6" s="4" t="s">
        <v>23</v>
      </c>
      <c r="G6" s="6">
        <v>12800</v>
      </c>
      <c r="H6" s="7">
        <v>1280000</v>
      </c>
      <c r="I6" s="145">
        <f t="shared" ca="1" si="0"/>
        <v>27</v>
      </c>
      <c r="J6" s="8" t="b">
        <f t="shared" ca="1" si="1"/>
        <v>0</v>
      </c>
      <c r="K6" s="8" t="b">
        <f t="shared" ca="1" si="2"/>
        <v>1</v>
      </c>
      <c r="L6" s="8">
        <f t="shared" ca="1" si="3"/>
        <v>0</v>
      </c>
      <c r="N6" s="9"/>
    </row>
    <row r="7" spans="1:23" x14ac:dyDescent="0.25">
      <c r="A7" s="4">
        <v>128245</v>
      </c>
      <c r="B7" s="4" t="s">
        <v>12</v>
      </c>
      <c r="C7" s="5">
        <v>29642</v>
      </c>
      <c r="D7" s="4" t="s">
        <v>27</v>
      </c>
      <c r="E7" s="4" t="s">
        <v>28</v>
      </c>
      <c r="F7" s="4" t="s">
        <v>23</v>
      </c>
      <c r="G7" s="6">
        <v>12402</v>
      </c>
      <c r="H7" s="7">
        <v>1240248</v>
      </c>
      <c r="I7" s="145">
        <f t="shared" ca="1" si="0"/>
        <v>43</v>
      </c>
      <c r="J7" s="8" t="b">
        <f t="shared" ca="1" si="1"/>
        <v>0</v>
      </c>
      <c r="K7" s="8" t="b">
        <f t="shared" ca="1" si="2"/>
        <v>0</v>
      </c>
      <c r="L7" s="8">
        <f t="shared" ca="1" si="3"/>
        <v>0</v>
      </c>
      <c r="N7" s="9"/>
      <c r="W7" s="10">
        <f ca="1">TODAY()</f>
        <v>45479</v>
      </c>
    </row>
    <row r="8" spans="1:23" x14ac:dyDescent="0.25">
      <c r="A8" s="4">
        <v>22140</v>
      </c>
      <c r="B8" s="4" t="s">
        <v>12</v>
      </c>
      <c r="C8" s="5">
        <v>28397</v>
      </c>
      <c r="D8" s="4" t="s">
        <v>29</v>
      </c>
      <c r="E8" s="4" t="s">
        <v>14</v>
      </c>
      <c r="F8" s="4" t="s">
        <v>15</v>
      </c>
      <c r="G8" s="6">
        <v>12220</v>
      </c>
      <c r="H8" s="7">
        <v>1221966</v>
      </c>
      <c r="I8" s="145">
        <f t="shared" ca="1" si="0"/>
        <v>46</v>
      </c>
      <c r="J8" s="8" t="b">
        <f t="shared" ca="1" si="1"/>
        <v>0</v>
      </c>
      <c r="K8" s="8" t="b">
        <f t="shared" ca="1" si="2"/>
        <v>0</v>
      </c>
      <c r="L8" s="8">
        <f t="shared" ca="1" si="3"/>
        <v>0</v>
      </c>
      <c r="N8" s="9"/>
    </row>
    <row r="9" spans="1:23" x14ac:dyDescent="0.25">
      <c r="A9" s="4">
        <v>24385</v>
      </c>
      <c r="B9" s="4" t="s">
        <v>12</v>
      </c>
      <c r="C9" s="5">
        <v>28853</v>
      </c>
      <c r="D9" s="4" t="s">
        <v>30</v>
      </c>
      <c r="E9" s="4" t="s">
        <v>20</v>
      </c>
      <c r="F9" s="4" t="s">
        <v>15</v>
      </c>
      <c r="G9" s="6">
        <v>11297</v>
      </c>
      <c r="H9" s="7">
        <v>1129653</v>
      </c>
      <c r="I9" s="145">
        <f t="shared" ca="1" si="0"/>
        <v>45</v>
      </c>
      <c r="J9" s="8" t="b">
        <f t="shared" ca="1" si="1"/>
        <v>0</v>
      </c>
      <c r="K9" s="8" t="b">
        <f t="shared" ca="1" si="2"/>
        <v>0</v>
      </c>
      <c r="L9" s="8">
        <f t="shared" ca="1" si="3"/>
        <v>0</v>
      </c>
      <c r="N9" s="9"/>
    </row>
    <row r="10" spans="1:23" x14ac:dyDescent="0.25">
      <c r="A10" s="4">
        <v>125925</v>
      </c>
      <c r="B10" s="4" t="s">
        <v>12</v>
      </c>
      <c r="C10" s="5">
        <v>35247</v>
      </c>
      <c r="D10" s="4" t="s">
        <v>31</v>
      </c>
      <c r="E10" s="4" t="s">
        <v>20</v>
      </c>
      <c r="F10" s="4" t="s">
        <v>15</v>
      </c>
      <c r="G10" s="6">
        <v>11232</v>
      </c>
      <c r="H10" s="7">
        <v>1123200</v>
      </c>
      <c r="I10" s="145">
        <f t="shared" ca="1" si="0"/>
        <v>28</v>
      </c>
      <c r="J10" s="8" t="b">
        <f t="shared" ca="1" si="1"/>
        <v>1</v>
      </c>
      <c r="K10" s="8" t="b">
        <f t="shared" ca="1" si="2"/>
        <v>0</v>
      </c>
      <c r="L10" s="8">
        <f t="shared" ca="1" si="3"/>
        <v>0</v>
      </c>
      <c r="N10" s="9"/>
    </row>
    <row r="11" spans="1:23" x14ac:dyDescent="0.25">
      <c r="A11" s="4">
        <v>21152</v>
      </c>
      <c r="B11" s="4" t="s">
        <v>12</v>
      </c>
      <c r="C11" s="5">
        <v>30546</v>
      </c>
      <c r="D11" s="4" t="s">
        <v>32</v>
      </c>
      <c r="E11" s="4" t="s">
        <v>20</v>
      </c>
      <c r="F11" s="4" t="s">
        <v>15</v>
      </c>
      <c r="G11" s="6">
        <v>8765</v>
      </c>
      <c r="H11" s="7">
        <v>876509</v>
      </c>
      <c r="I11" s="145">
        <f t="shared" ca="1" si="0"/>
        <v>40</v>
      </c>
      <c r="J11" s="8" t="b">
        <f t="shared" ca="1" si="1"/>
        <v>0</v>
      </c>
      <c r="K11" s="8" t="b">
        <f t="shared" ca="1" si="2"/>
        <v>0</v>
      </c>
      <c r="L11" s="8">
        <f t="shared" ca="1" si="3"/>
        <v>0</v>
      </c>
      <c r="N11" s="9"/>
    </row>
    <row r="12" spans="1:23" x14ac:dyDescent="0.25">
      <c r="A12" s="4">
        <v>25063</v>
      </c>
      <c r="B12" s="4" t="s">
        <v>12</v>
      </c>
      <c r="C12" s="5">
        <v>26349</v>
      </c>
      <c r="D12" s="4" t="s">
        <v>33</v>
      </c>
      <c r="E12" s="4" t="s">
        <v>20</v>
      </c>
      <c r="F12" s="4" t="s">
        <v>15</v>
      </c>
      <c r="G12" s="6">
        <v>8251</v>
      </c>
      <c r="H12" s="7">
        <v>825110</v>
      </c>
      <c r="I12" s="145">
        <f t="shared" ca="1" si="0"/>
        <v>52</v>
      </c>
      <c r="J12" s="8" t="b">
        <f t="shared" ca="1" si="1"/>
        <v>0</v>
      </c>
      <c r="K12" s="8" t="b">
        <f t="shared" ca="1" si="2"/>
        <v>0</v>
      </c>
      <c r="L12" s="8">
        <f t="shared" ca="1" si="3"/>
        <v>0</v>
      </c>
      <c r="N12" s="9"/>
    </row>
    <row r="13" spans="1:23" x14ac:dyDescent="0.25">
      <c r="A13" s="4">
        <v>126880</v>
      </c>
      <c r="B13" s="4" t="s">
        <v>12</v>
      </c>
      <c r="C13" s="5">
        <v>29523</v>
      </c>
      <c r="D13" s="4" t="s">
        <v>34</v>
      </c>
      <c r="E13" s="4" t="s">
        <v>35</v>
      </c>
      <c r="F13" s="4" t="s">
        <v>15</v>
      </c>
      <c r="G13" s="6">
        <v>8100</v>
      </c>
      <c r="H13" s="7">
        <v>809965</v>
      </c>
      <c r="I13" s="145">
        <f t="shared" ca="1" si="0"/>
        <v>43</v>
      </c>
      <c r="J13" s="8" t="b">
        <f t="shared" ca="1" si="1"/>
        <v>0</v>
      </c>
      <c r="K13" s="8" t="b">
        <f t="shared" ca="1" si="2"/>
        <v>0</v>
      </c>
      <c r="L13" s="8">
        <f t="shared" ca="1" si="3"/>
        <v>0</v>
      </c>
      <c r="N13" s="9"/>
    </row>
    <row r="14" spans="1:23" x14ac:dyDescent="0.25">
      <c r="A14" s="4">
        <v>22328</v>
      </c>
      <c r="B14" s="4" t="s">
        <v>12</v>
      </c>
      <c r="C14" s="5">
        <v>29856</v>
      </c>
      <c r="D14" s="4" t="s">
        <v>36</v>
      </c>
      <c r="E14" s="4" t="s">
        <v>37</v>
      </c>
      <c r="F14" s="4" t="s">
        <v>18</v>
      </c>
      <c r="G14" s="6">
        <v>7228</v>
      </c>
      <c r="H14" s="7">
        <v>722800</v>
      </c>
      <c r="I14" s="145">
        <f t="shared" ca="1" si="0"/>
        <v>42</v>
      </c>
      <c r="J14" s="8" t="b">
        <f t="shared" ca="1" si="1"/>
        <v>0</v>
      </c>
      <c r="K14" s="8" t="b">
        <f t="shared" ca="1" si="2"/>
        <v>0</v>
      </c>
      <c r="L14" s="8">
        <f t="shared" ca="1" si="3"/>
        <v>0</v>
      </c>
      <c r="N14" s="9"/>
    </row>
    <row r="15" spans="1:23" x14ac:dyDescent="0.25">
      <c r="A15" s="4">
        <v>20598</v>
      </c>
      <c r="B15" s="4" t="s">
        <v>12</v>
      </c>
      <c r="C15" s="5">
        <v>26830</v>
      </c>
      <c r="D15" s="4" t="s">
        <v>38</v>
      </c>
      <c r="E15" s="4" t="s">
        <v>39</v>
      </c>
      <c r="F15" s="4" t="s">
        <v>40</v>
      </c>
      <c r="G15" s="6">
        <v>7205</v>
      </c>
      <c r="H15" s="7">
        <v>720518</v>
      </c>
      <c r="I15" s="145">
        <f t="shared" ca="1" si="0"/>
        <v>51</v>
      </c>
      <c r="J15" s="8" t="b">
        <f t="shared" ca="1" si="1"/>
        <v>0</v>
      </c>
      <c r="K15" s="8" t="b">
        <f t="shared" ca="1" si="2"/>
        <v>0</v>
      </c>
      <c r="L15" s="8">
        <f t="shared" ca="1" si="3"/>
        <v>0</v>
      </c>
      <c r="N15" s="9"/>
    </row>
    <row r="16" spans="1:23" x14ac:dyDescent="0.25">
      <c r="A16" s="4">
        <v>22501</v>
      </c>
      <c r="B16" s="4" t="s">
        <v>12</v>
      </c>
      <c r="C16" s="5">
        <v>31431</v>
      </c>
      <c r="D16" s="4" t="s">
        <v>41</v>
      </c>
      <c r="E16" s="4" t="s">
        <v>20</v>
      </c>
      <c r="F16" s="4" t="s">
        <v>15</v>
      </c>
      <c r="G16" s="6">
        <v>6267</v>
      </c>
      <c r="H16" s="7">
        <v>626725</v>
      </c>
      <c r="I16" s="145">
        <f t="shared" ca="1" si="0"/>
        <v>38</v>
      </c>
      <c r="J16" s="8" t="b">
        <f t="shared" ca="1" si="1"/>
        <v>1</v>
      </c>
      <c r="K16" s="8" t="b">
        <f t="shared" ca="1" si="2"/>
        <v>0</v>
      </c>
      <c r="L16" s="8">
        <f t="shared" ca="1" si="3"/>
        <v>0</v>
      </c>
      <c r="N16" s="9"/>
    </row>
    <row r="17" spans="1:14" x14ac:dyDescent="0.25">
      <c r="A17" s="4">
        <v>132808</v>
      </c>
      <c r="B17" s="4" t="s">
        <v>24</v>
      </c>
      <c r="C17" s="5">
        <v>35886</v>
      </c>
      <c r="D17" s="4" t="s">
        <v>42</v>
      </c>
      <c r="E17" s="4" t="s">
        <v>17</v>
      </c>
      <c r="F17" s="4" t="s">
        <v>18</v>
      </c>
      <c r="G17" s="6">
        <v>6100</v>
      </c>
      <c r="H17" s="7">
        <v>610000</v>
      </c>
      <c r="I17" s="145">
        <f t="shared" ca="1" si="0"/>
        <v>26</v>
      </c>
      <c r="J17" s="8" t="b">
        <f t="shared" ca="1" si="1"/>
        <v>0</v>
      </c>
      <c r="K17" s="8" t="b">
        <f t="shared" ca="1" si="2"/>
        <v>1</v>
      </c>
      <c r="L17" s="8">
        <f t="shared" ca="1" si="3"/>
        <v>0</v>
      </c>
      <c r="N17" s="9"/>
    </row>
    <row r="18" spans="1:14" x14ac:dyDescent="0.25">
      <c r="A18" s="4">
        <v>20528</v>
      </c>
      <c r="B18" s="4" t="s">
        <v>12</v>
      </c>
      <c r="C18" s="5">
        <v>31296</v>
      </c>
      <c r="D18" s="4" t="s">
        <v>43</v>
      </c>
      <c r="E18" s="4" t="s">
        <v>35</v>
      </c>
      <c r="F18" s="4" t="s">
        <v>15</v>
      </c>
      <c r="G18" s="6">
        <v>5954</v>
      </c>
      <c r="H18" s="7">
        <v>595370</v>
      </c>
      <c r="I18" s="145">
        <f t="shared" ca="1" si="0"/>
        <v>38</v>
      </c>
      <c r="J18" s="8" t="b">
        <f t="shared" ca="1" si="1"/>
        <v>1</v>
      </c>
      <c r="K18" s="8" t="b">
        <f t="shared" ca="1" si="2"/>
        <v>0</v>
      </c>
      <c r="L18" s="8">
        <f t="shared" ca="1" si="3"/>
        <v>0</v>
      </c>
      <c r="N18" s="9"/>
    </row>
    <row r="19" spans="1:14" x14ac:dyDescent="0.25">
      <c r="A19" s="4">
        <v>25809</v>
      </c>
      <c r="B19" s="4" t="s">
        <v>12</v>
      </c>
      <c r="C19" s="5">
        <v>30683</v>
      </c>
      <c r="D19" s="4" t="s">
        <v>44</v>
      </c>
      <c r="E19" s="4" t="s">
        <v>35</v>
      </c>
      <c r="F19" s="4" t="s">
        <v>15</v>
      </c>
      <c r="G19" s="6">
        <v>5919</v>
      </c>
      <c r="H19" s="7">
        <v>591894</v>
      </c>
      <c r="I19" s="145">
        <f t="shared" ca="1" si="0"/>
        <v>40</v>
      </c>
      <c r="J19" s="8" t="b">
        <f t="shared" ca="1" si="1"/>
        <v>0</v>
      </c>
      <c r="K19" s="8" t="b">
        <f t="shared" ca="1" si="2"/>
        <v>0</v>
      </c>
      <c r="L19" s="8">
        <f t="shared" ca="1" si="3"/>
        <v>0</v>
      </c>
      <c r="N19" s="9"/>
    </row>
    <row r="20" spans="1:14" x14ac:dyDescent="0.25">
      <c r="A20" s="4">
        <v>22221</v>
      </c>
      <c r="B20" s="4" t="s">
        <v>24</v>
      </c>
      <c r="C20" s="5">
        <v>28763</v>
      </c>
      <c r="D20" s="4" t="s">
        <v>41</v>
      </c>
      <c r="E20" s="4" t="s">
        <v>20</v>
      </c>
      <c r="F20" s="4" t="s">
        <v>15</v>
      </c>
      <c r="G20" s="6">
        <v>5800</v>
      </c>
      <c r="H20" s="7">
        <v>580000</v>
      </c>
      <c r="I20" s="145">
        <f t="shared" ca="1" si="0"/>
        <v>45</v>
      </c>
      <c r="J20" s="8" t="b">
        <f t="shared" ca="1" si="1"/>
        <v>0</v>
      </c>
      <c r="K20" s="8" t="b">
        <f t="shared" ca="1" si="2"/>
        <v>1</v>
      </c>
      <c r="L20" s="8">
        <f t="shared" ca="1" si="3"/>
        <v>0</v>
      </c>
      <c r="N20" s="9"/>
    </row>
    <row r="21" spans="1:14" ht="15.75" customHeight="1" x14ac:dyDescent="0.25">
      <c r="A21" s="4">
        <v>123841</v>
      </c>
      <c r="B21" s="4" t="s">
        <v>12</v>
      </c>
      <c r="C21" s="5">
        <v>28183</v>
      </c>
      <c r="D21" s="4" t="s">
        <v>33</v>
      </c>
      <c r="E21" s="4" t="s">
        <v>20</v>
      </c>
      <c r="F21" s="4" t="s">
        <v>15</v>
      </c>
      <c r="G21" s="6">
        <v>5733</v>
      </c>
      <c r="H21" s="7">
        <v>573300</v>
      </c>
      <c r="I21" s="145">
        <f t="shared" ca="1" si="0"/>
        <v>47</v>
      </c>
      <c r="J21" s="8" t="b">
        <f t="shared" ca="1" si="1"/>
        <v>0</v>
      </c>
      <c r="K21" s="8" t="b">
        <f t="shared" ca="1" si="2"/>
        <v>0</v>
      </c>
      <c r="L21" s="8">
        <f t="shared" ca="1" si="3"/>
        <v>0</v>
      </c>
      <c r="N21" s="9"/>
    </row>
    <row r="22" spans="1:14" ht="15.75" customHeight="1" x14ac:dyDescent="0.25">
      <c r="A22" s="4">
        <v>122822</v>
      </c>
      <c r="B22" s="4" t="s">
        <v>12</v>
      </c>
      <c r="C22" s="5">
        <v>29351</v>
      </c>
      <c r="D22" s="4" t="s">
        <v>45</v>
      </c>
      <c r="E22" s="4" t="s">
        <v>28</v>
      </c>
      <c r="F22" s="4" t="s">
        <v>23</v>
      </c>
      <c r="G22" s="6">
        <v>5499</v>
      </c>
      <c r="H22" s="7">
        <v>549945</v>
      </c>
      <c r="I22" s="145">
        <f t="shared" ca="1" si="0"/>
        <v>44</v>
      </c>
      <c r="J22" s="8" t="b">
        <f t="shared" ca="1" si="1"/>
        <v>0</v>
      </c>
      <c r="K22" s="8" t="b">
        <f t="shared" ca="1" si="2"/>
        <v>0</v>
      </c>
      <c r="L22" s="8">
        <f t="shared" ca="1" si="3"/>
        <v>0</v>
      </c>
      <c r="N22" s="9"/>
    </row>
    <row r="23" spans="1:14" ht="15.75" customHeight="1" x14ac:dyDescent="0.25">
      <c r="A23" s="4">
        <v>140424</v>
      </c>
      <c r="B23" s="4" t="s">
        <v>12</v>
      </c>
      <c r="C23" s="5">
        <v>23288</v>
      </c>
      <c r="D23" s="4" t="s">
        <v>46</v>
      </c>
      <c r="E23" s="4" t="s">
        <v>35</v>
      </c>
      <c r="F23" s="4" t="s">
        <v>15</v>
      </c>
      <c r="G23" s="6">
        <v>5407</v>
      </c>
      <c r="H23" s="7">
        <v>540748</v>
      </c>
      <c r="I23" s="145">
        <f t="shared" ca="1" si="0"/>
        <v>60</v>
      </c>
      <c r="J23" s="8" t="b">
        <f t="shared" ca="1" si="1"/>
        <v>0</v>
      </c>
      <c r="K23" s="8" t="b">
        <f t="shared" ca="1" si="2"/>
        <v>0</v>
      </c>
      <c r="L23" s="8">
        <f t="shared" ca="1" si="3"/>
        <v>0</v>
      </c>
      <c r="N23" s="9"/>
    </row>
    <row r="24" spans="1:14" ht="15.75" customHeight="1" x14ac:dyDescent="0.25">
      <c r="A24" s="4">
        <v>139670</v>
      </c>
      <c r="B24" s="4" t="s">
        <v>12</v>
      </c>
      <c r="C24" s="5">
        <v>25120</v>
      </c>
      <c r="D24" s="4" t="s">
        <v>47</v>
      </c>
      <c r="E24" s="4" t="s">
        <v>14</v>
      </c>
      <c r="F24" s="4" t="s">
        <v>15</v>
      </c>
      <c r="G24" s="6">
        <v>5380</v>
      </c>
      <c r="H24" s="7">
        <v>538044</v>
      </c>
      <c r="I24" s="145">
        <f t="shared" ca="1" si="0"/>
        <v>55</v>
      </c>
      <c r="J24" s="8" t="b">
        <f t="shared" ca="1" si="1"/>
        <v>0</v>
      </c>
      <c r="K24" s="8" t="b">
        <f t="shared" ca="1" si="2"/>
        <v>0</v>
      </c>
      <c r="L24" s="8">
        <f t="shared" ca="1" si="3"/>
        <v>0</v>
      </c>
      <c r="N24" s="9"/>
    </row>
    <row r="25" spans="1:14" ht="15.75" customHeight="1" x14ac:dyDescent="0.25">
      <c r="A25" s="4">
        <v>21184</v>
      </c>
      <c r="B25" s="4" t="s">
        <v>12</v>
      </c>
      <c r="C25" s="5">
        <v>27482</v>
      </c>
      <c r="D25" s="4" t="s">
        <v>48</v>
      </c>
      <c r="E25" s="4" t="s">
        <v>20</v>
      </c>
      <c r="F25" s="4" t="s">
        <v>15</v>
      </c>
      <c r="G25" s="6">
        <v>5275</v>
      </c>
      <c r="H25" s="7">
        <v>527520</v>
      </c>
      <c r="I25" s="145">
        <f t="shared" ca="1" si="0"/>
        <v>49</v>
      </c>
      <c r="J25" s="8" t="b">
        <f t="shared" ca="1" si="1"/>
        <v>0</v>
      </c>
      <c r="K25" s="8" t="b">
        <f t="shared" ca="1" si="2"/>
        <v>0</v>
      </c>
      <c r="L25" s="8">
        <f t="shared" ca="1" si="3"/>
        <v>0</v>
      </c>
    </row>
    <row r="26" spans="1:14" ht="15.75" customHeight="1" x14ac:dyDescent="0.25">
      <c r="A26" s="4">
        <v>26206</v>
      </c>
      <c r="B26" s="4" t="s">
        <v>12</v>
      </c>
      <c r="C26" s="5">
        <v>31162</v>
      </c>
      <c r="D26" s="4" t="s">
        <v>49</v>
      </c>
      <c r="E26" s="4" t="s">
        <v>20</v>
      </c>
      <c r="F26" s="4" t="s">
        <v>15</v>
      </c>
      <c r="G26" s="6">
        <v>5130</v>
      </c>
      <c r="H26" s="7">
        <v>513000</v>
      </c>
      <c r="I26" s="145">
        <f t="shared" ca="1" si="0"/>
        <v>39</v>
      </c>
      <c r="J26" s="8" t="b">
        <f t="shared" ca="1" si="1"/>
        <v>1</v>
      </c>
      <c r="K26" s="8" t="b">
        <f t="shared" ca="1" si="2"/>
        <v>0</v>
      </c>
      <c r="L26" s="8">
        <f t="shared" ca="1" si="3"/>
        <v>0</v>
      </c>
    </row>
    <row r="27" spans="1:14" ht="15.75" customHeight="1" x14ac:dyDescent="0.25">
      <c r="A27" s="4">
        <v>41490</v>
      </c>
      <c r="B27" s="4" t="s">
        <v>12</v>
      </c>
      <c r="C27" s="5">
        <v>20457</v>
      </c>
      <c r="D27" s="4" t="s">
        <v>25</v>
      </c>
      <c r="E27" s="4" t="s">
        <v>26</v>
      </c>
      <c r="F27" s="4" t="s">
        <v>23</v>
      </c>
      <c r="G27" s="6">
        <v>4968</v>
      </c>
      <c r="H27" s="7">
        <v>496848</v>
      </c>
      <c r="I27" s="145">
        <f t="shared" ca="1" si="0"/>
        <v>68</v>
      </c>
      <c r="J27" s="8" t="b">
        <f t="shared" ca="1" si="1"/>
        <v>0</v>
      </c>
      <c r="K27" s="8" t="b">
        <f t="shared" ca="1" si="2"/>
        <v>0</v>
      </c>
      <c r="L27" s="8">
        <f t="shared" ca="1" si="3"/>
        <v>0</v>
      </c>
    </row>
    <row r="28" spans="1:14" ht="15.75" customHeight="1" x14ac:dyDescent="0.25">
      <c r="A28" s="4">
        <v>20707</v>
      </c>
      <c r="B28" s="4" t="s">
        <v>12</v>
      </c>
      <c r="C28" s="5">
        <v>28234</v>
      </c>
      <c r="D28" s="4" t="s">
        <v>50</v>
      </c>
      <c r="E28" s="4" t="s">
        <v>20</v>
      </c>
      <c r="F28" s="4" t="s">
        <v>15</v>
      </c>
      <c r="G28" s="6">
        <v>4940</v>
      </c>
      <c r="H28" s="7">
        <v>494000</v>
      </c>
      <c r="I28" s="145">
        <f t="shared" ca="1" si="0"/>
        <v>47</v>
      </c>
      <c r="J28" s="8" t="b">
        <f t="shared" ca="1" si="1"/>
        <v>0</v>
      </c>
      <c r="K28" s="8" t="b">
        <f t="shared" ca="1" si="2"/>
        <v>0</v>
      </c>
      <c r="L28" s="8">
        <f t="shared" ca="1" si="3"/>
        <v>0</v>
      </c>
    </row>
    <row r="29" spans="1:14" ht="15.75" customHeight="1" x14ac:dyDescent="0.25">
      <c r="A29" s="4">
        <v>26423</v>
      </c>
      <c r="B29" s="4" t="s">
        <v>12</v>
      </c>
      <c r="C29" s="5">
        <v>24480</v>
      </c>
      <c r="D29" s="4" t="s">
        <v>51</v>
      </c>
      <c r="E29" s="4" t="s">
        <v>52</v>
      </c>
      <c r="F29" s="4" t="s">
        <v>15</v>
      </c>
      <c r="G29" s="6">
        <v>4586</v>
      </c>
      <c r="H29" s="7">
        <v>458640</v>
      </c>
      <c r="I29" s="145">
        <f t="shared" ca="1" si="0"/>
        <v>57</v>
      </c>
      <c r="J29" s="8" t="b">
        <f t="shared" ca="1" si="1"/>
        <v>0</v>
      </c>
      <c r="K29" s="8" t="b">
        <f t="shared" ca="1" si="2"/>
        <v>0</v>
      </c>
      <c r="L29" s="8">
        <f t="shared" ca="1" si="3"/>
        <v>0</v>
      </c>
    </row>
    <row r="30" spans="1:14" ht="15.75" customHeight="1" x14ac:dyDescent="0.25">
      <c r="A30" s="4">
        <v>26219</v>
      </c>
      <c r="B30" s="4" t="s">
        <v>24</v>
      </c>
      <c r="C30" s="5">
        <v>26310</v>
      </c>
      <c r="D30" s="4" t="s">
        <v>53</v>
      </c>
      <c r="E30" s="4" t="s">
        <v>37</v>
      </c>
      <c r="F30" s="4" t="s">
        <v>18</v>
      </c>
      <c r="G30" s="6">
        <v>4465</v>
      </c>
      <c r="H30" s="7">
        <v>446544</v>
      </c>
      <c r="I30" s="145">
        <f t="shared" ca="1" si="0"/>
        <v>52</v>
      </c>
      <c r="J30" s="8" t="b">
        <f t="shared" ca="1" si="1"/>
        <v>0</v>
      </c>
      <c r="K30" s="8" t="b">
        <f t="shared" ca="1" si="2"/>
        <v>0</v>
      </c>
      <c r="L30" s="8">
        <f t="shared" ca="1" si="3"/>
        <v>10000</v>
      </c>
    </row>
    <row r="31" spans="1:14" ht="15.75" customHeight="1" x14ac:dyDescent="0.25">
      <c r="A31" s="4">
        <v>123939</v>
      </c>
      <c r="B31" s="4" t="s">
        <v>12</v>
      </c>
      <c r="C31" s="5">
        <v>33874</v>
      </c>
      <c r="D31" s="4" t="s">
        <v>45</v>
      </c>
      <c r="E31" s="4" t="s">
        <v>28</v>
      </c>
      <c r="F31" s="4" t="s">
        <v>23</v>
      </c>
      <c r="G31" s="6">
        <v>4243</v>
      </c>
      <c r="H31" s="7">
        <v>424255</v>
      </c>
      <c r="I31" s="145">
        <f t="shared" ca="1" si="0"/>
        <v>31</v>
      </c>
      <c r="J31" s="8" t="b">
        <f t="shared" ca="1" si="1"/>
        <v>1</v>
      </c>
      <c r="K31" s="8" t="b">
        <f t="shared" ca="1" si="2"/>
        <v>0</v>
      </c>
      <c r="L31" s="8">
        <f t="shared" ca="1" si="3"/>
        <v>0</v>
      </c>
    </row>
    <row r="32" spans="1:14" ht="15.75" customHeight="1" x14ac:dyDescent="0.25">
      <c r="A32" s="4">
        <v>119941</v>
      </c>
      <c r="B32" s="4" t="s">
        <v>12</v>
      </c>
      <c r="C32" s="5">
        <v>22294</v>
      </c>
      <c r="D32" s="4" t="s">
        <v>54</v>
      </c>
      <c r="E32" s="4" t="s">
        <v>55</v>
      </c>
      <c r="F32" s="4" t="s">
        <v>18</v>
      </c>
      <c r="G32" s="6">
        <v>3987</v>
      </c>
      <c r="H32" s="7">
        <v>398719</v>
      </c>
      <c r="I32" s="145">
        <f t="shared" ca="1" si="0"/>
        <v>63</v>
      </c>
      <c r="J32" s="8" t="b">
        <f t="shared" ca="1" si="1"/>
        <v>0</v>
      </c>
      <c r="K32" s="8" t="b">
        <f t="shared" ca="1" si="2"/>
        <v>0</v>
      </c>
      <c r="L32" s="8">
        <f t="shared" ca="1" si="3"/>
        <v>0</v>
      </c>
    </row>
    <row r="33" spans="1:12" ht="15.75" customHeight="1" x14ac:dyDescent="0.25">
      <c r="A33" s="4">
        <v>141457</v>
      </c>
      <c r="B33" s="4" t="s">
        <v>12</v>
      </c>
      <c r="C33" s="5">
        <v>23447</v>
      </c>
      <c r="D33" s="4" t="s">
        <v>56</v>
      </c>
      <c r="E33" s="4" t="s">
        <v>14</v>
      </c>
      <c r="F33" s="4" t="s">
        <v>15</v>
      </c>
      <c r="G33" s="6">
        <v>3939</v>
      </c>
      <c r="H33" s="7">
        <v>393856</v>
      </c>
      <c r="I33" s="145">
        <f t="shared" ca="1" si="0"/>
        <v>60</v>
      </c>
      <c r="J33" s="8" t="b">
        <f t="shared" ca="1" si="1"/>
        <v>0</v>
      </c>
      <c r="K33" s="8" t="b">
        <f t="shared" ca="1" si="2"/>
        <v>0</v>
      </c>
      <c r="L33" s="8">
        <f t="shared" ca="1" si="3"/>
        <v>0</v>
      </c>
    </row>
    <row r="34" spans="1:12" ht="15.75" customHeight="1" x14ac:dyDescent="0.25">
      <c r="A34" s="4">
        <v>20529</v>
      </c>
      <c r="B34" s="4" t="s">
        <v>12</v>
      </c>
      <c r="C34" s="5">
        <v>31167</v>
      </c>
      <c r="D34" s="4" t="s">
        <v>57</v>
      </c>
      <c r="E34" s="4" t="s">
        <v>35</v>
      </c>
      <c r="F34" s="4" t="s">
        <v>15</v>
      </c>
      <c r="G34" s="6">
        <v>3808</v>
      </c>
      <c r="H34" s="7">
        <v>380800</v>
      </c>
      <c r="I34" s="145">
        <f t="shared" ca="1" si="0"/>
        <v>39</v>
      </c>
      <c r="J34" s="8" t="b">
        <f t="shared" ca="1" si="1"/>
        <v>1</v>
      </c>
      <c r="K34" s="8" t="b">
        <f t="shared" ca="1" si="2"/>
        <v>0</v>
      </c>
      <c r="L34" s="8">
        <f t="shared" ca="1" si="3"/>
        <v>0</v>
      </c>
    </row>
    <row r="35" spans="1:12" ht="15.75" customHeight="1" x14ac:dyDescent="0.25">
      <c r="A35" s="4">
        <v>21742</v>
      </c>
      <c r="B35" s="4" t="s">
        <v>24</v>
      </c>
      <c r="C35" s="5">
        <v>32954</v>
      </c>
      <c r="D35" s="4" t="s">
        <v>58</v>
      </c>
      <c r="E35" s="4" t="s">
        <v>14</v>
      </c>
      <c r="F35" s="4" t="s">
        <v>15</v>
      </c>
      <c r="G35" s="6">
        <v>3786</v>
      </c>
      <c r="H35" s="7">
        <v>378566</v>
      </c>
      <c r="I35" s="145">
        <f t="shared" ca="1" si="0"/>
        <v>34</v>
      </c>
      <c r="J35" s="8" t="b">
        <f t="shared" ca="1" si="1"/>
        <v>0</v>
      </c>
      <c r="K35" s="8" t="b">
        <f t="shared" ca="1" si="2"/>
        <v>1</v>
      </c>
      <c r="L35" s="8">
        <f t="shared" ca="1" si="3"/>
        <v>0</v>
      </c>
    </row>
    <row r="36" spans="1:12" ht="15.75" customHeight="1" x14ac:dyDescent="0.25">
      <c r="A36" s="4">
        <v>127029</v>
      </c>
      <c r="B36" s="4" t="s">
        <v>12</v>
      </c>
      <c r="C36" s="5">
        <v>32798</v>
      </c>
      <c r="D36" s="4" t="s">
        <v>59</v>
      </c>
      <c r="E36" s="4" t="s">
        <v>28</v>
      </c>
      <c r="F36" s="4" t="s">
        <v>23</v>
      </c>
      <c r="G36" s="6">
        <v>3727</v>
      </c>
      <c r="H36" s="7">
        <v>372710</v>
      </c>
      <c r="I36" s="145">
        <f t="shared" ca="1" si="0"/>
        <v>34</v>
      </c>
      <c r="J36" s="8" t="b">
        <f t="shared" ca="1" si="1"/>
        <v>1</v>
      </c>
      <c r="K36" s="8" t="b">
        <f t="shared" ca="1" si="2"/>
        <v>0</v>
      </c>
      <c r="L36" s="8">
        <f t="shared" ca="1" si="3"/>
        <v>0</v>
      </c>
    </row>
    <row r="37" spans="1:12" ht="15.75" customHeight="1" x14ac:dyDescent="0.25">
      <c r="A37" s="4">
        <v>20968</v>
      </c>
      <c r="B37" s="4" t="s">
        <v>12</v>
      </c>
      <c r="C37" s="5">
        <v>29919</v>
      </c>
      <c r="D37" s="4" t="s">
        <v>60</v>
      </c>
      <c r="E37" s="4" t="s">
        <v>20</v>
      </c>
      <c r="F37" s="4" t="s">
        <v>15</v>
      </c>
      <c r="G37" s="6">
        <v>3714</v>
      </c>
      <c r="H37" s="7">
        <v>371355</v>
      </c>
      <c r="I37" s="145">
        <f t="shared" ca="1" si="0"/>
        <v>42</v>
      </c>
      <c r="J37" s="8" t="b">
        <f t="shared" ca="1" si="1"/>
        <v>0</v>
      </c>
      <c r="K37" s="8" t="b">
        <f t="shared" ca="1" si="2"/>
        <v>0</v>
      </c>
      <c r="L37" s="8">
        <f t="shared" ca="1" si="3"/>
        <v>0</v>
      </c>
    </row>
    <row r="38" spans="1:12" ht="15.75" customHeight="1" x14ac:dyDescent="0.25">
      <c r="A38" s="4">
        <v>124191</v>
      </c>
      <c r="B38" s="4" t="s">
        <v>12</v>
      </c>
      <c r="C38" s="5">
        <v>36312</v>
      </c>
      <c r="D38" s="4" t="s">
        <v>61</v>
      </c>
      <c r="E38" s="4" t="s">
        <v>26</v>
      </c>
      <c r="F38" s="4" t="s">
        <v>23</v>
      </c>
      <c r="G38" s="6">
        <v>3628</v>
      </c>
      <c r="H38" s="7">
        <v>362767</v>
      </c>
      <c r="I38" s="145">
        <f t="shared" ca="1" si="0"/>
        <v>25</v>
      </c>
      <c r="J38" s="8" t="b">
        <f t="shared" ca="1" si="1"/>
        <v>1</v>
      </c>
      <c r="K38" s="8" t="b">
        <f t="shared" ca="1" si="2"/>
        <v>0</v>
      </c>
      <c r="L38" s="8">
        <f t="shared" ca="1" si="3"/>
        <v>0</v>
      </c>
    </row>
    <row r="39" spans="1:12" ht="15.75" customHeight="1" x14ac:dyDescent="0.25">
      <c r="A39" s="4">
        <v>127312</v>
      </c>
      <c r="B39" s="4" t="s">
        <v>12</v>
      </c>
      <c r="C39" s="5">
        <v>24017</v>
      </c>
      <c r="D39" s="4" t="s">
        <v>62</v>
      </c>
      <c r="E39" s="4" t="s">
        <v>14</v>
      </c>
      <c r="F39" s="4" t="s">
        <v>15</v>
      </c>
      <c r="G39" s="6">
        <v>3577</v>
      </c>
      <c r="H39" s="7">
        <v>357714</v>
      </c>
      <c r="I39" s="145">
        <f t="shared" ca="1" si="0"/>
        <v>58</v>
      </c>
      <c r="J39" s="8" t="b">
        <f t="shared" ca="1" si="1"/>
        <v>0</v>
      </c>
      <c r="K39" s="8" t="b">
        <f t="shared" ca="1" si="2"/>
        <v>0</v>
      </c>
      <c r="L39" s="8">
        <f t="shared" ca="1" si="3"/>
        <v>0</v>
      </c>
    </row>
    <row r="40" spans="1:12" ht="15.75" customHeight="1" x14ac:dyDescent="0.25">
      <c r="A40" s="4">
        <v>20735</v>
      </c>
      <c r="B40" s="4" t="s">
        <v>12</v>
      </c>
      <c r="C40" s="5">
        <v>20947</v>
      </c>
      <c r="D40" s="4" t="s">
        <v>57</v>
      </c>
      <c r="E40" s="4" t="s">
        <v>35</v>
      </c>
      <c r="F40" s="4" t="s">
        <v>15</v>
      </c>
      <c r="G40" s="6">
        <v>3554</v>
      </c>
      <c r="H40" s="7">
        <v>355410</v>
      </c>
      <c r="I40" s="145">
        <f t="shared" ca="1" si="0"/>
        <v>67</v>
      </c>
      <c r="J40" s="8" t="b">
        <f t="shared" ca="1" si="1"/>
        <v>0</v>
      </c>
      <c r="K40" s="8" t="b">
        <f t="shared" ca="1" si="2"/>
        <v>0</v>
      </c>
      <c r="L40" s="8">
        <f t="shared" ca="1" si="3"/>
        <v>0</v>
      </c>
    </row>
    <row r="41" spans="1:12" ht="15.75" customHeight="1" x14ac:dyDescent="0.25">
      <c r="A41" s="4">
        <v>38293</v>
      </c>
      <c r="B41" s="4" t="s">
        <v>12</v>
      </c>
      <c r="C41" s="5">
        <v>21961</v>
      </c>
      <c r="D41" s="4" t="s">
        <v>54</v>
      </c>
      <c r="E41" s="4" t="s">
        <v>55</v>
      </c>
      <c r="F41" s="4" t="s">
        <v>18</v>
      </c>
      <c r="G41" s="6">
        <v>3532</v>
      </c>
      <c r="H41" s="7">
        <v>353210</v>
      </c>
      <c r="I41" s="145">
        <f t="shared" ca="1" si="0"/>
        <v>64</v>
      </c>
      <c r="J41" s="8" t="b">
        <f t="shared" ca="1" si="1"/>
        <v>0</v>
      </c>
      <c r="K41" s="8" t="b">
        <f t="shared" ca="1" si="2"/>
        <v>0</v>
      </c>
      <c r="L41" s="8">
        <f t="shared" ca="1" si="3"/>
        <v>0</v>
      </c>
    </row>
    <row r="42" spans="1:12" ht="15.75" customHeight="1" x14ac:dyDescent="0.25">
      <c r="A42" s="4">
        <v>126772</v>
      </c>
      <c r="B42" s="4" t="s">
        <v>12</v>
      </c>
      <c r="C42" s="5">
        <v>30028</v>
      </c>
      <c r="D42" s="4" t="s">
        <v>63</v>
      </c>
      <c r="E42" s="4" t="s">
        <v>14</v>
      </c>
      <c r="F42" s="4" t="s">
        <v>15</v>
      </c>
      <c r="G42" s="6">
        <v>3450</v>
      </c>
      <c r="H42" s="7">
        <v>344988</v>
      </c>
      <c r="I42" s="145">
        <f t="shared" ca="1" si="0"/>
        <v>42</v>
      </c>
      <c r="J42" s="8" t="b">
        <f t="shared" ca="1" si="1"/>
        <v>0</v>
      </c>
      <c r="K42" s="8" t="b">
        <f t="shared" ca="1" si="2"/>
        <v>0</v>
      </c>
      <c r="L42" s="8">
        <f t="shared" ca="1" si="3"/>
        <v>0</v>
      </c>
    </row>
    <row r="43" spans="1:12" ht="15.75" customHeight="1" x14ac:dyDescent="0.25">
      <c r="A43" s="4">
        <v>22104</v>
      </c>
      <c r="B43" s="4" t="s">
        <v>12</v>
      </c>
      <c r="C43" s="5">
        <v>24776</v>
      </c>
      <c r="D43" s="4" t="s">
        <v>64</v>
      </c>
      <c r="E43" s="4" t="s">
        <v>37</v>
      </c>
      <c r="F43" s="4" t="s">
        <v>18</v>
      </c>
      <c r="G43" s="6">
        <v>3437</v>
      </c>
      <c r="H43" s="7">
        <v>343675</v>
      </c>
      <c r="I43" s="145">
        <f t="shared" ca="1" si="0"/>
        <v>56</v>
      </c>
      <c r="J43" s="8" t="b">
        <f t="shared" ca="1" si="1"/>
        <v>0</v>
      </c>
      <c r="K43" s="8" t="b">
        <f t="shared" ca="1" si="2"/>
        <v>0</v>
      </c>
      <c r="L43" s="8">
        <f t="shared" ca="1" si="3"/>
        <v>0</v>
      </c>
    </row>
    <row r="44" spans="1:12" ht="15.75" customHeight="1" x14ac:dyDescent="0.25">
      <c r="A44" s="4">
        <v>20770</v>
      </c>
      <c r="B44" s="4" t="s">
        <v>12</v>
      </c>
      <c r="C44" s="5">
        <v>26568</v>
      </c>
      <c r="D44" s="4" t="s">
        <v>54</v>
      </c>
      <c r="E44" s="4" t="s">
        <v>55</v>
      </c>
      <c r="F44" s="4" t="s">
        <v>18</v>
      </c>
      <c r="G44" s="6">
        <v>3418</v>
      </c>
      <c r="H44" s="7">
        <v>341767</v>
      </c>
      <c r="I44" s="145">
        <f t="shared" ca="1" si="0"/>
        <v>51</v>
      </c>
      <c r="J44" s="8" t="b">
        <f t="shared" ca="1" si="1"/>
        <v>0</v>
      </c>
      <c r="K44" s="8" t="b">
        <f t="shared" ca="1" si="2"/>
        <v>0</v>
      </c>
      <c r="L44" s="8">
        <f t="shared" ca="1" si="3"/>
        <v>0</v>
      </c>
    </row>
    <row r="45" spans="1:12" ht="15.75" customHeight="1" x14ac:dyDescent="0.25">
      <c r="A45" s="4">
        <v>22221</v>
      </c>
      <c r="B45" s="4" t="s">
        <v>12</v>
      </c>
      <c r="C45" s="5">
        <v>22541</v>
      </c>
      <c r="D45" s="4" t="s">
        <v>48</v>
      </c>
      <c r="E45" s="4" t="s">
        <v>20</v>
      </c>
      <c r="F45" s="4" t="s">
        <v>15</v>
      </c>
      <c r="G45" s="6">
        <v>3366</v>
      </c>
      <c r="H45" s="7">
        <v>336600</v>
      </c>
      <c r="I45" s="145">
        <f t="shared" ca="1" si="0"/>
        <v>62</v>
      </c>
      <c r="J45" s="8" t="b">
        <f t="shared" ca="1" si="1"/>
        <v>0</v>
      </c>
      <c r="K45" s="8" t="b">
        <f t="shared" ca="1" si="2"/>
        <v>0</v>
      </c>
      <c r="L45" s="8">
        <f t="shared" ca="1" si="3"/>
        <v>0</v>
      </c>
    </row>
    <row r="46" spans="1:12" ht="15.75" customHeight="1" x14ac:dyDescent="0.25">
      <c r="A46" s="4">
        <v>22036</v>
      </c>
      <c r="B46" s="4" t="s">
        <v>12</v>
      </c>
      <c r="C46" s="5">
        <v>23799</v>
      </c>
      <c r="D46" s="4" t="s">
        <v>25</v>
      </c>
      <c r="E46" s="4" t="s">
        <v>26</v>
      </c>
      <c r="F46" s="4" t="s">
        <v>23</v>
      </c>
      <c r="G46" s="6">
        <v>3246</v>
      </c>
      <c r="H46" s="7">
        <v>324576</v>
      </c>
      <c r="I46" s="145">
        <f t="shared" ca="1" si="0"/>
        <v>59</v>
      </c>
      <c r="J46" s="8" t="b">
        <f t="shared" ca="1" si="1"/>
        <v>0</v>
      </c>
      <c r="K46" s="8" t="b">
        <f t="shared" ca="1" si="2"/>
        <v>0</v>
      </c>
      <c r="L46" s="8">
        <f t="shared" ca="1" si="3"/>
        <v>0</v>
      </c>
    </row>
    <row r="47" spans="1:12" ht="15.75" customHeight="1" x14ac:dyDescent="0.25">
      <c r="A47" s="4">
        <v>23067</v>
      </c>
      <c r="B47" s="4" t="s">
        <v>12</v>
      </c>
      <c r="C47" s="5">
        <v>33539</v>
      </c>
      <c r="D47" s="4" t="s">
        <v>36</v>
      </c>
      <c r="E47" s="4" t="s">
        <v>37</v>
      </c>
      <c r="F47" s="4" t="s">
        <v>18</v>
      </c>
      <c r="G47" s="6">
        <v>3180</v>
      </c>
      <c r="H47" s="7">
        <v>318000</v>
      </c>
      <c r="I47" s="145">
        <f t="shared" ca="1" si="0"/>
        <v>32</v>
      </c>
      <c r="J47" s="8" t="b">
        <f t="shared" ca="1" si="1"/>
        <v>1</v>
      </c>
      <c r="K47" s="8" t="b">
        <f t="shared" ca="1" si="2"/>
        <v>0</v>
      </c>
      <c r="L47" s="8">
        <f t="shared" ca="1" si="3"/>
        <v>0</v>
      </c>
    </row>
    <row r="48" spans="1:12" ht="15.75" customHeight="1" x14ac:dyDescent="0.25">
      <c r="A48" s="4">
        <v>124124</v>
      </c>
      <c r="B48" s="4" t="s">
        <v>12</v>
      </c>
      <c r="C48" s="5">
        <v>33139</v>
      </c>
      <c r="D48" s="4" t="s">
        <v>54</v>
      </c>
      <c r="E48" s="4" t="s">
        <v>55</v>
      </c>
      <c r="F48" s="4" t="s">
        <v>18</v>
      </c>
      <c r="G48" s="6">
        <v>3142</v>
      </c>
      <c r="H48" s="7">
        <v>314160</v>
      </c>
      <c r="I48" s="145">
        <f t="shared" ca="1" si="0"/>
        <v>33</v>
      </c>
      <c r="J48" s="8" t="b">
        <f t="shared" ca="1" si="1"/>
        <v>1</v>
      </c>
      <c r="K48" s="8" t="b">
        <f t="shared" ca="1" si="2"/>
        <v>0</v>
      </c>
      <c r="L48" s="8">
        <f t="shared" ca="1" si="3"/>
        <v>0</v>
      </c>
    </row>
    <row r="49" spans="1:12" ht="15.75" customHeight="1" x14ac:dyDescent="0.25">
      <c r="A49" s="4">
        <v>25437</v>
      </c>
      <c r="B49" s="4" t="s">
        <v>12</v>
      </c>
      <c r="C49" s="5">
        <v>31097</v>
      </c>
      <c r="D49" s="4" t="s">
        <v>65</v>
      </c>
      <c r="E49" s="4" t="s">
        <v>17</v>
      </c>
      <c r="F49" s="4" t="s">
        <v>23</v>
      </c>
      <c r="G49" s="6">
        <v>3114</v>
      </c>
      <c r="H49" s="7">
        <v>311428</v>
      </c>
      <c r="I49" s="145">
        <f t="shared" ca="1" si="0"/>
        <v>39</v>
      </c>
      <c r="J49" s="8" t="b">
        <f t="shared" ca="1" si="1"/>
        <v>1</v>
      </c>
      <c r="K49" s="8" t="b">
        <f t="shared" ca="1" si="2"/>
        <v>0</v>
      </c>
      <c r="L49" s="8">
        <f t="shared" ca="1" si="3"/>
        <v>0</v>
      </c>
    </row>
    <row r="50" spans="1:12" ht="15.75" customHeight="1" x14ac:dyDescent="0.25">
      <c r="A50" s="4">
        <v>21389</v>
      </c>
      <c r="B50" s="4" t="s">
        <v>24</v>
      </c>
      <c r="C50" s="5">
        <v>26134</v>
      </c>
      <c r="D50" s="4" t="s">
        <v>66</v>
      </c>
      <c r="E50" s="4" t="s">
        <v>26</v>
      </c>
      <c r="F50" s="4" t="s">
        <v>23</v>
      </c>
      <c r="G50" s="6">
        <v>3049</v>
      </c>
      <c r="H50" s="7">
        <v>304939</v>
      </c>
      <c r="I50" s="145">
        <f t="shared" ca="1" si="0"/>
        <v>52</v>
      </c>
      <c r="J50" s="8" t="b">
        <f t="shared" ca="1" si="1"/>
        <v>0</v>
      </c>
      <c r="K50" s="8" t="b">
        <f t="shared" ca="1" si="2"/>
        <v>0</v>
      </c>
      <c r="L50" s="8">
        <f t="shared" ca="1" si="3"/>
        <v>10000</v>
      </c>
    </row>
    <row r="51" spans="1:12" ht="15.75" customHeight="1" x14ac:dyDescent="0.25">
      <c r="A51" s="4">
        <v>126870</v>
      </c>
      <c r="B51" s="4" t="s">
        <v>12</v>
      </c>
      <c r="C51" s="5">
        <v>30342</v>
      </c>
      <c r="D51" s="4" t="s">
        <v>67</v>
      </c>
      <c r="E51" s="4" t="s">
        <v>67</v>
      </c>
      <c r="F51" s="4" t="s">
        <v>23</v>
      </c>
      <c r="G51" s="6">
        <v>3007</v>
      </c>
      <c r="H51" s="7">
        <v>300696</v>
      </c>
      <c r="I51" s="145">
        <f t="shared" ca="1" si="0"/>
        <v>41</v>
      </c>
      <c r="J51" s="8" t="b">
        <f t="shared" ca="1" si="1"/>
        <v>0</v>
      </c>
      <c r="K51" s="8" t="b">
        <f t="shared" ca="1" si="2"/>
        <v>0</v>
      </c>
      <c r="L51" s="8">
        <f t="shared" ca="1" si="3"/>
        <v>0</v>
      </c>
    </row>
    <row r="52" spans="1:12" ht="15.75" customHeight="1" x14ac:dyDescent="0.25">
      <c r="A52" s="4">
        <v>31074</v>
      </c>
      <c r="B52" s="4" t="s">
        <v>12</v>
      </c>
      <c r="C52" s="5">
        <v>34297</v>
      </c>
      <c r="D52" s="4" t="s">
        <v>68</v>
      </c>
      <c r="E52" s="4" t="s">
        <v>28</v>
      </c>
      <c r="F52" s="4" t="s">
        <v>23</v>
      </c>
      <c r="G52" s="6">
        <v>2908</v>
      </c>
      <c r="H52" s="7">
        <v>290752</v>
      </c>
      <c r="I52" s="145">
        <f t="shared" ca="1" si="0"/>
        <v>30</v>
      </c>
      <c r="J52" s="8" t="b">
        <f t="shared" ca="1" si="1"/>
        <v>1</v>
      </c>
      <c r="K52" s="8" t="b">
        <f t="shared" ca="1" si="2"/>
        <v>0</v>
      </c>
      <c r="L52" s="8">
        <f t="shared" ca="1" si="3"/>
        <v>0</v>
      </c>
    </row>
    <row r="53" spans="1:12" ht="15.75" customHeight="1" x14ac:dyDescent="0.25">
      <c r="A53" s="4">
        <v>129557</v>
      </c>
      <c r="B53" s="4" t="s">
        <v>24</v>
      </c>
      <c r="C53" s="5">
        <v>30351</v>
      </c>
      <c r="D53" s="4" t="s">
        <v>65</v>
      </c>
      <c r="E53" s="4" t="s">
        <v>17</v>
      </c>
      <c r="F53" s="4" t="s">
        <v>23</v>
      </c>
      <c r="G53" s="6">
        <v>2890</v>
      </c>
      <c r="H53" s="7">
        <v>288960</v>
      </c>
      <c r="I53" s="145">
        <f t="shared" ca="1" si="0"/>
        <v>41</v>
      </c>
      <c r="J53" s="8" t="b">
        <f t="shared" ca="1" si="1"/>
        <v>0</v>
      </c>
      <c r="K53" s="8" t="b">
        <f t="shared" ca="1" si="2"/>
        <v>1</v>
      </c>
      <c r="L53" s="8">
        <f t="shared" ca="1" si="3"/>
        <v>0</v>
      </c>
    </row>
    <row r="54" spans="1:12" ht="15.75" customHeight="1" x14ac:dyDescent="0.25">
      <c r="A54" s="4">
        <v>25535</v>
      </c>
      <c r="B54" s="4" t="s">
        <v>24</v>
      </c>
      <c r="C54" s="5">
        <v>33961</v>
      </c>
      <c r="D54" s="4" t="s">
        <v>50</v>
      </c>
      <c r="E54" s="4" t="s">
        <v>20</v>
      </c>
      <c r="F54" s="4" t="s">
        <v>15</v>
      </c>
      <c r="G54" s="6">
        <v>2885</v>
      </c>
      <c r="H54" s="7">
        <v>288534</v>
      </c>
      <c r="I54" s="145">
        <f t="shared" ca="1" si="0"/>
        <v>31</v>
      </c>
      <c r="J54" s="8" t="b">
        <f t="shared" ca="1" si="1"/>
        <v>0</v>
      </c>
      <c r="K54" s="8" t="b">
        <f t="shared" ca="1" si="2"/>
        <v>1</v>
      </c>
      <c r="L54" s="8">
        <f t="shared" ca="1" si="3"/>
        <v>0</v>
      </c>
    </row>
    <row r="55" spans="1:12" ht="15.75" customHeight="1" x14ac:dyDescent="0.25">
      <c r="A55" s="4">
        <v>20487</v>
      </c>
      <c r="B55" s="4" t="s">
        <v>12</v>
      </c>
      <c r="C55" s="5">
        <v>27659</v>
      </c>
      <c r="D55" s="4" t="s">
        <v>69</v>
      </c>
      <c r="E55" s="4" t="s">
        <v>39</v>
      </c>
      <c r="F55" s="4" t="s">
        <v>40</v>
      </c>
      <c r="G55" s="6">
        <v>2778</v>
      </c>
      <c r="H55" s="7">
        <v>277830</v>
      </c>
      <c r="I55" s="145">
        <f t="shared" ca="1" si="0"/>
        <v>48</v>
      </c>
      <c r="J55" s="8" t="b">
        <f t="shared" ca="1" si="1"/>
        <v>0</v>
      </c>
      <c r="K55" s="8" t="b">
        <f t="shared" ca="1" si="2"/>
        <v>0</v>
      </c>
      <c r="L55" s="8">
        <f t="shared" ca="1" si="3"/>
        <v>0</v>
      </c>
    </row>
    <row r="56" spans="1:12" ht="15.75" customHeight="1" x14ac:dyDescent="0.25">
      <c r="A56" s="4">
        <v>124772</v>
      </c>
      <c r="B56" s="4" t="s">
        <v>12</v>
      </c>
      <c r="C56" s="5">
        <v>29741</v>
      </c>
      <c r="D56" s="4" t="s">
        <v>70</v>
      </c>
      <c r="E56" s="4" t="s">
        <v>55</v>
      </c>
      <c r="F56" s="4" t="s">
        <v>18</v>
      </c>
      <c r="G56" s="6">
        <v>2704</v>
      </c>
      <c r="H56" s="7">
        <v>270400</v>
      </c>
      <c r="I56" s="145">
        <f t="shared" ca="1" si="0"/>
        <v>43</v>
      </c>
      <c r="J56" s="8" t="b">
        <f t="shared" ca="1" si="1"/>
        <v>0</v>
      </c>
      <c r="K56" s="8" t="b">
        <f t="shared" ca="1" si="2"/>
        <v>0</v>
      </c>
      <c r="L56" s="8">
        <f t="shared" ca="1" si="3"/>
        <v>0</v>
      </c>
    </row>
    <row r="57" spans="1:12" ht="15.75" customHeight="1" x14ac:dyDescent="0.25">
      <c r="A57" s="4">
        <v>132656</v>
      </c>
      <c r="B57" s="4" t="s">
        <v>12</v>
      </c>
      <c r="C57" s="5">
        <v>22916</v>
      </c>
      <c r="D57" s="4" t="s">
        <v>42</v>
      </c>
      <c r="E57" s="4" t="s">
        <v>17</v>
      </c>
      <c r="F57" s="4" t="s">
        <v>18</v>
      </c>
      <c r="G57" s="6">
        <v>2704</v>
      </c>
      <c r="H57" s="7">
        <v>270400</v>
      </c>
      <c r="I57" s="145">
        <f t="shared" ca="1" si="0"/>
        <v>61</v>
      </c>
      <c r="J57" s="8" t="b">
        <f t="shared" ca="1" si="1"/>
        <v>0</v>
      </c>
      <c r="K57" s="8" t="b">
        <f t="shared" ca="1" si="2"/>
        <v>0</v>
      </c>
      <c r="L57" s="8">
        <f t="shared" ca="1" si="3"/>
        <v>0</v>
      </c>
    </row>
    <row r="58" spans="1:12" ht="15.75" customHeight="1" x14ac:dyDescent="0.25">
      <c r="A58" s="4">
        <v>26467</v>
      </c>
      <c r="B58" s="4" t="s">
        <v>12</v>
      </c>
      <c r="C58" s="5">
        <v>31736</v>
      </c>
      <c r="D58" s="4" t="s">
        <v>71</v>
      </c>
      <c r="E58" s="4" t="s">
        <v>72</v>
      </c>
      <c r="F58" s="4" t="s">
        <v>18</v>
      </c>
      <c r="G58" s="6">
        <v>2561</v>
      </c>
      <c r="H58" s="7">
        <v>256060</v>
      </c>
      <c r="I58" s="145">
        <f t="shared" ca="1" si="0"/>
        <v>37</v>
      </c>
      <c r="J58" s="8" t="b">
        <f t="shared" ca="1" si="1"/>
        <v>1</v>
      </c>
      <c r="K58" s="8" t="b">
        <f t="shared" ca="1" si="2"/>
        <v>0</v>
      </c>
      <c r="L58" s="8">
        <f t="shared" ca="1" si="3"/>
        <v>0</v>
      </c>
    </row>
    <row r="59" spans="1:12" ht="15.75" customHeight="1" x14ac:dyDescent="0.25">
      <c r="A59" s="4">
        <v>20995</v>
      </c>
      <c r="B59" s="4" t="s">
        <v>24</v>
      </c>
      <c r="C59" s="5">
        <v>27562</v>
      </c>
      <c r="D59" s="4" t="s">
        <v>73</v>
      </c>
      <c r="E59" s="4" t="s">
        <v>74</v>
      </c>
      <c r="F59" s="4" t="s">
        <v>23</v>
      </c>
      <c r="G59" s="6">
        <v>2553</v>
      </c>
      <c r="H59" s="7">
        <v>255339</v>
      </c>
      <c r="I59" s="145">
        <f t="shared" ca="1" si="0"/>
        <v>49</v>
      </c>
      <c r="J59" s="8" t="b">
        <f t="shared" ca="1" si="1"/>
        <v>0</v>
      </c>
      <c r="K59" s="8" t="b">
        <f t="shared" ca="1" si="2"/>
        <v>1</v>
      </c>
      <c r="L59" s="8">
        <f t="shared" ca="1" si="3"/>
        <v>0</v>
      </c>
    </row>
    <row r="60" spans="1:12" ht="15.75" customHeight="1" x14ac:dyDescent="0.25">
      <c r="A60" s="4">
        <v>20569</v>
      </c>
      <c r="B60" s="4" t="s">
        <v>12</v>
      </c>
      <c r="C60" s="5">
        <v>32933</v>
      </c>
      <c r="D60" s="4" t="s">
        <v>60</v>
      </c>
      <c r="E60" s="4" t="s">
        <v>20</v>
      </c>
      <c r="F60" s="4" t="s">
        <v>15</v>
      </c>
      <c r="G60" s="6">
        <v>2497</v>
      </c>
      <c r="H60" s="7">
        <v>249744</v>
      </c>
      <c r="I60" s="145">
        <f t="shared" ca="1" si="0"/>
        <v>34</v>
      </c>
      <c r="J60" s="8" t="b">
        <f t="shared" ca="1" si="1"/>
        <v>1</v>
      </c>
      <c r="K60" s="8" t="b">
        <f t="shared" ca="1" si="2"/>
        <v>0</v>
      </c>
      <c r="L60" s="8">
        <f t="shared" ca="1" si="3"/>
        <v>0</v>
      </c>
    </row>
    <row r="61" spans="1:12" ht="15.75" customHeight="1" x14ac:dyDescent="0.25">
      <c r="A61" s="4">
        <v>127365</v>
      </c>
      <c r="B61" s="4" t="s">
        <v>12</v>
      </c>
      <c r="C61" s="5">
        <v>18535</v>
      </c>
      <c r="D61" s="4" t="s">
        <v>49</v>
      </c>
      <c r="E61" s="4" t="s">
        <v>20</v>
      </c>
      <c r="F61" s="4" t="s">
        <v>15</v>
      </c>
      <c r="G61" s="6">
        <v>2487</v>
      </c>
      <c r="H61" s="7">
        <v>248700</v>
      </c>
      <c r="I61" s="145">
        <f t="shared" ca="1" si="0"/>
        <v>73</v>
      </c>
      <c r="J61" s="8" t="b">
        <f t="shared" ca="1" si="1"/>
        <v>0</v>
      </c>
      <c r="K61" s="8" t="b">
        <f t="shared" ca="1" si="2"/>
        <v>0</v>
      </c>
      <c r="L61" s="8">
        <f t="shared" ca="1" si="3"/>
        <v>0</v>
      </c>
    </row>
    <row r="62" spans="1:12" ht="15.75" customHeight="1" x14ac:dyDescent="0.25">
      <c r="A62" s="4">
        <v>134616</v>
      </c>
      <c r="B62" s="4" t="s">
        <v>12</v>
      </c>
      <c r="C62" s="5">
        <v>30451</v>
      </c>
      <c r="D62" s="4" t="s">
        <v>49</v>
      </c>
      <c r="E62" s="4" t="s">
        <v>20</v>
      </c>
      <c r="F62" s="4" t="s">
        <v>15</v>
      </c>
      <c r="G62" s="6">
        <v>2470</v>
      </c>
      <c r="H62" s="7">
        <v>246974</v>
      </c>
      <c r="I62" s="145">
        <f t="shared" ca="1" si="0"/>
        <v>41</v>
      </c>
      <c r="J62" s="8" t="b">
        <f t="shared" ca="1" si="1"/>
        <v>0</v>
      </c>
      <c r="K62" s="8" t="b">
        <f t="shared" ca="1" si="2"/>
        <v>0</v>
      </c>
      <c r="L62" s="8">
        <f t="shared" ca="1" si="3"/>
        <v>0</v>
      </c>
    </row>
    <row r="63" spans="1:12" ht="15.75" customHeight="1" x14ac:dyDescent="0.25">
      <c r="A63" s="4">
        <v>26681</v>
      </c>
      <c r="B63" s="4" t="s">
        <v>12</v>
      </c>
      <c r="C63" s="5">
        <v>30903</v>
      </c>
      <c r="D63" s="4" t="s">
        <v>75</v>
      </c>
      <c r="E63" s="4" t="s">
        <v>20</v>
      </c>
      <c r="F63" s="4" t="s">
        <v>15</v>
      </c>
      <c r="G63" s="6">
        <v>2400</v>
      </c>
      <c r="H63" s="7">
        <v>240000</v>
      </c>
      <c r="I63" s="145">
        <f t="shared" ca="1" si="0"/>
        <v>39</v>
      </c>
      <c r="J63" s="8" t="b">
        <f t="shared" ca="1" si="1"/>
        <v>1</v>
      </c>
      <c r="K63" s="8" t="b">
        <f t="shared" ca="1" si="2"/>
        <v>0</v>
      </c>
      <c r="L63" s="8">
        <f t="shared" ca="1" si="3"/>
        <v>0</v>
      </c>
    </row>
    <row r="64" spans="1:12" ht="15.75" customHeight="1" x14ac:dyDescent="0.25">
      <c r="A64" s="4">
        <v>21235</v>
      </c>
      <c r="B64" s="4" t="s">
        <v>12</v>
      </c>
      <c r="C64" s="5">
        <v>25802</v>
      </c>
      <c r="D64" s="4" t="s">
        <v>13</v>
      </c>
      <c r="E64" s="4" t="s">
        <v>14</v>
      </c>
      <c r="F64" s="4" t="s">
        <v>15</v>
      </c>
      <c r="G64" s="6">
        <v>2392</v>
      </c>
      <c r="H64" s="7">
        <v>239200</v>
      </c>
      <c r="I64" s="145">
        <f t="shared" ca="1" si="0"/>
        <v>53</v>
      </c>
      <c r="J64" s="8" t="b">
        <f t="shared" ca="1" si="1"/>
        <v>0</v>
      </c>
      <c r="K64" s="8" t="b">
        <f t="shared" ca="1" si="2"/>
        <v>0</v>
      </c>
      <c r="L64" s="8">
        <f t="shared" ca="1" si="3"/>
        <v>0</v>
      </c>
    </row>
    <row r="65" spans="1:12" ht="15.75" customHeight="1" x14ac:dyDescent="0.25">
      <c r="A65" s="4">
        <v>20795</v>
      </c>
      <c r="B65" s="4" t="s">
        <v>12</v>
      </c>
      <c r="C65" s="5">
        <v>29222</v>
      </c>
      <c r="D65" s="4" t="s">
        <v>75</v>
      </c>
      <c r="E65" s="4" t="s">
        <v>20</v>
      </c>
      <c r="F65" s="4" t="s">
        <v>15</v>
      </c>
      <c r="G65" s="6">
        <v>2358</v>
      </c>
      <c r="H65" s="7">
        <v>235752</v>
      </c>
      <c r="I65" s="145">
        <f t="shared" ca="1" si="0"/>
        <v>44</v>
      </c>
      <c r="J65" s="8" t="b">
        <f t="shared" ca="1" si="1"/>
        <v>0</v>
      </c>
      <c r="K65" s="8" t="b">
        <f t="shared" ca="1" si="2"/>
        <v>0</v>
      </c>
      <c r="L65" s="8">
        <f t="shared" ca="1" si="3"/>
        <v>0</v>
      </c>
    </row>
    <row r="66" spans="1:12" ht="15.75" customHeight="1" x14ac:dyDescent="0.25">
      <c r="A66" s="4">
        <v>35721</v>
      </c>
      <c r="B66" s="4" t="s">
        <v>12</v>
      </c>
      <c r="C66" s="5">
        <v>27058</v>
      </c>
      <c r="D66" s="4" t="s">
        <v>76</v>
      </c>
      <c r="E66" s="4" t="s">
        <v>55</v>
      </c>
      <c r="F66" s="4" t="s">
        <v>18</v>
      </c>
      <c r="G66" s="6">
        <v>2308</v>
      </c>
      <c r="H66" s="7">
        <v>230750</v>
      </c>
      <c r="I66" s="145">
        <f t="shared" ca="1" si="0"/>
        <v>50</v>
      </c>
      <c r="J66" s="8" t="b">
        <f t="shared" ca="1" si="1"/>
        <v>0</v>
      </c>
      <c r="K66" s="8" t="b">
        <f t="shared" ca="1" si="2"/>
        <v>0</v>
      </c>
      <c r="L66" s="8">
        <f t="shared" ca="1" si="3"/>
        <v>0</v>
      </c>
    </row>
    <row r="67" spans="1:12" ht="15.75" customHeight="1" x14ac:dyDescent="0.25">
      <c r="A67" s="4">
        <v>23034</v>
      </c>
      <c r="B67" s="4" t="s">
        <v>12</v>
      </c>
      <c r="C67" s="5">
        <v>30711</v>
      </c>
      <c r="D67" s="4" t="s">
        <v>75</v>
      </c>
      <c r="E67" s="4" t="s">
        <v>20</v>
      </c>
      <c r="F67" s="4" t="s">
        <v>15</v>
      </c>
      <c r="G67" s="6">
        <v>2273</v>
      </c>
      <c r="H67" s="7">
        <v>227328</v>
      </c>
      <c r="I67" s="145">
        <f t="shared" ref="I67:I130" ca="1" si="4">DATEDIF(C67,TODAY(),"y")</f>
        <v>40</v>
      </c>
      <c r="J67" s="8" t="b">
        <f t="shared" ref="J67:J130" ca="1" si="5">AND(B67="Male",I67&lt;40)</f>
        <v>0</v>
      </c>
      <c r="K67" s="8" t="b">
        <f t="shared" ref="K67:K130" ca="1" si="6">AND(B67="Female",I67&lt;50)</f>
        <v>0</v>
      </c>
      <c r="L67" s="8">
        <f t="shared" ref="L67:L130" ca="1" si="7">IF(AND(B67="Female",OR(I67&lt;25,I67&gt;50)),10000,0)</f>
        <v>0</v>
      </c>
    </row>
    <row r="68" spans="1:12" ht="15.75" customHeight="1" x14ac:dyDescent="0.25">
      <c r="A68" s="4">
        <v>129382</v>
      </c>
      <c r="B68" s="4" t="s">
        <v>12</v>
      </c>
      <c r="C68" s="5">
        <v>23074</v>
      </c>
      <c r="D68" s="4" t="s">
        <v>77</v>
      </c>
      <c r="E68" s="4" t="s">
        <v>26</v>
      </c>
      <c r="F68" s="4" t="s">
        <v>23</v>
      </c>
      <c r="G68" s="6">
        <v>2268</v>
      </c>
      <c r="H68" s="7">
        <v>226800</v>
      </c>
      <c r="I68" s="145">
        <f t="shared" ca="1" si="4"/>
        <v>61</v>
      </c>
      <c r="J68" s="8" t="b">
        <f t="shared" ca="1" si="5"/>
        <v>0</v>
      </c>
      <c r="K68" s="8" t="b">
        <f t="shared" ca="1" si="6"/>
        <v>0</v>
      </c>
      <c r="L68" s="8">
        <f t="shared" ca="1" si="7"/>
        <v>0</v>
      </c>
    </row>
    <row r="69" spans="1:12" ht="15.75" customHeight="1" x14ac:dyDescent="0.25">
      <c r="A69" s="4">
        <v>25689</v>
      </c>
      <c r="B69" s="4" t="s">
        <v>12</v>
      </c>
      <c r="C69" s="5">
        <v>30865</v>
      </c>
      <c r="D69" s="4" t="s">
        <v>61</v>
      </c>
      <c r="E69" s="4" t="s">
        <v>26</v>
      </c>
      <c r="F69" s="4" t="s">
        <v>23</v>
      </c>
      <c r="G69" s="6">
        <v>2231</v>
      </c>
      <c r="H69" s="7">
        <v>223146</v>
      </c>
      <c r="I69" s="145">
        <f t="shared" ca="1" si="4"/>
        <v>40</v>
      </c>
      <c r="J69" s="8" t="b">
        <f t="shared" ca="1" si="5"/>
        <v>0</v>
      </c>
      <c r="K69" s="8" t="b">
        <f t="shared" ca="1" si="6"/>
        <v>0</v>
      </c>
      <c r="L69" s="8">
        <f t="shared" ca="1" si="7"/>
        <v>0</v>
      </c>
    </row>
    <row r="70" spans="1:12" ht="15.75" customHeight="1" x14ac:dyDescent="0.25">
      <c r="A70" s="4">
        <v>22298</v>
      </c>
      <c r="B70" s="4" t="s">
        <v>12</v>
      </c>
      <c r="C70" s="5">
        <v>26673</v>
      </c>
      <c r="D70" s="4" t="s">
        <v>75</v>
      </c>
      <c r="E70" s="4" t="s">
        <v>20</v>
      </c>
      <c r="F70" s="4" t="s">
        <v>15</v>
      </c>
      <c r="G70" s="6">
        <v>2204</v>
      </c>
      <c r="H70" s="7">
        <v>220374</v>
      </c>
      <c r="I70" s="145">
        <f t="shared" ca="1" si="4"/>
        <v>51</v>
      </c>
      <c r="J70" s="8" t="b">
        <f t="shared" ca="1" si="5"/>
        <v>0</v>
      </c>
      <c r="K70" s="8" t="b">
        <f t="shared" ca="1" si="6"/>
        <v>0</v>
      </c>
      <c r="L70" s="8">
        <f t="shared" ca="1" si="7"/>
        <v>0</v>
      </c>
    </row>
    <row r="71" spans="1:12" ht="15.75" customHeight="1" x14ac:dyDescent="0.25">
      <c r="A71" s="4">
        <v>25778</v>
      </c>
      <c r="B71" s="4" t="s">
        <v>12</v>
      </c>
      <c r="C71" s="5">
        <v>33861</v>
      </c>
      <c r="D71" s="4" t="s">
        <v>78</v>
      </c>
      <c r="E71" s="4" t="s">
        <v>74</v>
      </c>
      <c r="F71" s="4" t="s">
        <v>79</v>
      </c>
      <c r="G71" s="6">
        <v>2194</v>
      </c>
      <c r="H71" s="7">
        <v>219418</v>
      </c>
      <c r="I71" s="145">
        <f t="shared" ca="1" si="4"/>
        <v>31</v>
      </c>
      <c r="J71" s="8" t="b">
        <f t="shared" ca="1" si="5"/>
        <v>1</v>
      </c>
      <c r="K71" s="8" t="b">
        <f t="shared" ca="1" si="6"/>
        <v>0</v>
      </c>
      <c r="L71" s="8">
        <f t="shared" ca="1" si="7"/>
        <v>0</v>
      </c>
    </row>
    <row r="72" spans="1:12" ht="15.75" customHeight="1" x14ac:dyDescent="0.25">
      <c r="A72" s="4">
        <v>125733</v>
      </c>
      <c r="B72" s="4" t="s">
        <v>12</v>
      </c>
      <c r="C72" s="5">
        <v>33716</v>
      </c>
      <c r="D72" s="4" t="s">
        <v>69</v>
      </c>
      <c r="E72" s="4" t="s">
        <v>39</v>
      </c>
      <c r="F72" s="4" t="s">
        <v>40</v>
      </c>
      <c r="G72" s="6">
        <v>2173</v>
      </c>
      <c r="H72" s="7">
        <v>217250</v>
      </c>
      <c r="I72" s="145">
        <f t="shared" ca="1" si="4"/>
        <v>32</v>
      </c>
      <c r="J72" s="8" t="b">
        <f t="shared" ca="1" si="5"/>
        <v>1</v>
      </c>
      <c r="K72" s="8" t="b">
        <f t="shared" ca="1" si="6"/>
        <v>0</v>
      </c>
      <c r="L72" s="8">
        <f t="shared" ca="1" si="7"/>
        <v>0</v>
      </c>
    </row>
    <row r="73" spans="1:12" ht="15.75" customHeight="1" x14ac:dyDescent="0.25">
      <c r="A73" s="4">
        <v>24442</v>
      </c>
      <c r="B73" s="4" t="s">
        <v>24</v>
      </c>
      <c r="C73" s="5">
        <v>22352</v>
      </c>
      <c r="D73" s="4" t="s">
        <v>19</v>
      </c>
      <c r="E73" s="4" t="s">
        <v>20</v>
      </c>
      <c r="F73" s="4" t="s">
        <v>15</v>
      </c>
      <c r="G73" s="6">
        <v>2128</v>
      </c>
      <c r="H73" s="7">
        <v>212800</v>
      </c>
      <c r="I73" s="145">
        <f t="shared" ca="1" si="4"/>
        <v>63</v>
      </c>
      <c r="J73" s="8" t="b">
        <f t="shared" ca="1" si="5"/>
        <v>0</v>
      </c>
      <c r="K73" s="8" t="b">
        <f t="shared" ca="1" si="6"/>
        <v>0</v>
      </c>
      <c r="L73" s="8">
        <f t="shared" ca="1" si="7"/>
        <v>10000</v>
      </c>
    </row>
    <row r="74" spans="1:12" ht="15.75" customHeight="1" x14ac:dyDescent="0.25">
      <c r="A74" s="4">
        <v>140452</v>
      </c>
      <c r="B74" s="4" t="s">
        <v>12</v>
      </c>
      <c r="C74" s="5">
        <v>29949</v>
      </c>
      <c r="D74" s="4" t="s">
        <v>54</v>
      </c>
      <c r="E74" s="4" t="s">
        <v>55</v>
      </c>
      <c r="F74" s="4" t="s">
        <v>18</v>
      </c>
      <c r="G74" s="6">
        <v>2123</v>
      </c>
      <c r="H74" s="7">
        <v>212256</v>
      </c>
      <c r="I74" s="145">
        <f t="shared" ca="1" si="4"/>
        <v>42</v>
      </c>
      <c r="J74" s="8" t="b">
        <f t="shared" ca="1" si="5"/>
        <v>0</v>
      </c>
      <c r="K74" s="8" t="b">
        <f t="shared" ca="1" si="6"/>
        <v>0</v>
      </c>
      <c r="L74" s="8">
        <f t="shared" ca="1" si="7"/>
        <v>0</v>
      </c>
    </row>
    <row r="75" spans="1:12" ht="15.75" customHeight="1" x14ac:dyDescent="0.25">
      <c r="A75" s="4">
        <v>127817</v>
      </c>
      <c r="B75" s="4" t="s">
        <v>12</v>
      </c>
      <c r="C75" s="5">
        <v>24590</v>
      </c>
      <c r="D75" s="4" t="s">
        <v>80</v>
      </c>
      <c r="E75" s="4" t="s">
        <v>26</v>
      </c>
      <c r="F75" s="4" t="s">
        <v>23</v>
      </c>
      <c r="G75" s="6">
        <v>2080</v>
      </c>
      <c r="H75" s="7">
        <v>208000</v>
      </c>
      <c r="I75" s="145">
        <f t="shared" ca="1" si="4"/>
        <v>57</v>
      </c>
      <c r="J75" s="8" t="b">
        <f t="shared" ca="1" si="5"/>
        <v>0</v>
      </c>
      <c r="K75" s="8" t="b">
        <f t="shared" ca="1" si="6"/>
        <v>0</v>
      </c>
      <c r="L75" s="8">
        <f t="shared" ca="1" si="7"/>
        <v>0</v>
      </c>
    </row>
    <row r="76" spans="1:12" ht="15.75" customHeight="1" x14ac:dyDescent="0.25">
      <c r="A76" s="4">
        <v>21004</v>
      </c>
      <c r="B76" s="4" t="s">
        <v>12</v>
      </c>
      <c r="C76" s="5">
        <v>21880</v>
      </c>
      <c r="D76" s="4" t="s">
        <v>50</v>
      </c>
      <c r="E76" s="4" t="s">
        <v>20</v>
      </c>
      <c r="F76" s="4" t="s">
        <v>15</v>
      </c>
      <c r="G76" s="6">
        <v>2054</v>
      </c>
      <c r="H76" s="7">
        <v>205387</v>
      </c>
      <c r="I76" s="145">
        <f t="shared" ca="1" si="4"/>
        <v>64</v>
      </c>
      <c r="J76" s="8" t="b">
        <f t="shared" ca="1" si="5"/>
        <v>0</v>
      </c>
      <c r="K76" s="8" t="b">
        <f t="shared" ca="1" si="6"/>
        <v>0</v>
      </c>
      <c r="L76" s="8">
        <f t="shared" ca="1" si="7"/>
        <v>0</v>
      </c>
    </row>
    <row r="77" spans="1:12" ht="15.75" customHeight="1" x14ac:dyDescent="0.25">
      <c r="A77" s="4">
        <v>20603</v>
      </c>
      <c r="B77" s="4" t="s">
        <v>12</v>
      </c>
      <c r="C77" s="5">
        <v>28616</v>
      </c>
      <c r="D77" s="4" t="s">
        <v>81</v>
      </c>
      <c r="E77" s="4" t="s">
        <v>39</v>
      </c>
      <c r="F77" s="4" t="s">
        <v>40</v>
      </c>
      <c r="G77" s="6">
        <v>2040</v>
      </c>
      <c r="H77" s="7">
        <v>204000</v>
      </c>
      <c r="I77" s="145">
        <f t="shared" ca="1" si="4"/>
        <v>46</v>
      </c>
      <c r="J77" s="8" t="b">
        <f t="shared" ca="1" si="5"/>
        <v>0</v>
      </c>
      <c r="K77" s="8" t="b">
        <f t="shared" ca="1" si="6"/>
        <v>0</v>
      </c>
      <c r="L77" s="8">
        <f t="shared" ca="1" si="7"/>
        <v>0</v>
      </c>
    </row>
    <row r="78" spans="1:12" ht="15.75" customHeight="1" x14ac:dyDescent="0.25">
      <c r="A78" s="4">
        <v>20786</v>
      </c>
      <c r="B78" s="4" t="s">
        <v>24</v>
      </c>
      <c r="C78" s="5">
        <v>30989</v>
      </c>
      <c r="D78" s="4" t="s">
        <v>82</v>
      </c>
      <c r="E78" s="4" t="s">
        <v>22</v>
      </c>
      <c r="F78" s="4" t="s">
        <v>23</v>
      </c>
      <c r="G78" s="6">
        <v>2027</v>
      </c>
      <c r="H78" s="7">
        <v>202735</v>
      </c>
      <c r="I78" s="145">
        <f t="shared" ca="1" si="4"/>
        <v>39</v>
      </c>
      <c r="J78" s="8" t="b">
        <f t="shared" ca="1" si="5"/>
        <v>0</v>
      </c>
      <c r="K78" s="8" t="b">
        <f t="shared" ca="1" si="6"/>
        <v>1</v>
      </c>
      <c r="L78" s="8">
        <f t="shared" ca="1" si="7"/>
        <v>0</v>
      </c>
    </row>
    <row r="79" spans="1:12" ht="15.75" customHeight="1" x14ac:dyDescent="0.25">
      <c r="A79" s="4">
        <v>20526</v>
      </c>
      <c r="B79" s="4" t="s">
        <v>12</v>
      </c>
      <c r="C79" s="5">
        <v>29730</v>
      </c>
      <c r="D79" s="4" t="s">
        <v>83</v>
      </c>
      <c r="E79" s="4" t="s">
        <v>84</v>
      </c>
      <c r="F79" s="4" t="s">
        <v>40</v>
      </c>
      <c r="G79" s="6">
        <v>1966</v>
      </c>
      <c r="H79" s="7">
        <v>196593</v>
      </c>
      <c r="I79" s="145">
        <f t="shared" ca="1" si="4"/>
        <v>43</v>
      </c>
      <c r="J79" s="8" t="b">
        <f t="shared" ca="1" si="5"/>
        <v>0</v>
      </c>
      <c r="K79" s="8" t="b">
        <f t="shared" ca="1" si="6"/>
        <v>0</v>
      </c>
      <c r="L79" s="8">
        <f t="shared" ca="1" si="7"/>
        <v>0</v>
      </c>
    </row>
    <row r="80" spans="1:12" ht="15.75" customHeight="1" x14ac:dyDescent="0.25">
      <c r="A80" s="4">
        <v>93908</v>
      </c>
      <c r="B80" s="4" t="s">
        <v>12</v>
      </c>
      <c r="C80" s="5">
        <v>26272</v>
      </c>
      <c r="D80" s="4" t="s">
        <v>85</v>
      </c>
      <c r="E80" s="4" t="s">
        <v>86</v>
      </c>
      <c r="F80" s="4" t="s">
        <v>40</v>
      </c>
      <c r="G80" s="6">
        <v>1942</v>
      </c>
      <c r="H80" s="7">
        <v>194233</v>
      </c>
      <c r="I80" s="145">
        <f t="shared" ca="1" si="4"/>
        <v>52</v>
      </c>
      <c r="J80" s="8" t="b">
        <f t="shared" ca="1" si="5"/>
        <v>0</v>
      </c>
      <c r="K80" s="8" t="b">
        <f t="shared" ca="1" si="6"/>
        <v>0</v>
      </c>
      <c r="L80" s="8">
        <f t="shared" ca="1" si="7"/>
        <v>0</v>
      </c>
    </row>
    <row r="81" spans="1:12" ht="15.75" customHeight="1" x14ac:dyDescent="0.25">
      <c r="A81" s="4">
        <v>20947</v>
      </c>
      <c r="B81" s="4" t="s">
        <v>12</v>
      </c>
      <c r="C81" s="5">
        <v>29217</v>
      </c>
      <c r="D81" s="4" t="s">
        <v>87</v>
      </c>
      <c r="E81" s="4" t="s">
        <v>28</v>
      </c>
      <c r="F81" s="4" t="s">
        <v>23</v>
      </c>
      <c r="G81" s="6">
        <v>1890</v>
      </c>
      <c r="H81" s="7">
        <v>189000</v>
      </c>
      <c r="I81" s="145">
        <f t="shared" ca="1" si="4"/>
        <v>44</v>
      </c>
      <c r="J81" s="8" t="b">
        <f t="shared" ca="1" si="5"/>
        <v>0</v>
      </c>
      <c r="K81" s="8" t="b">
        <f t="shared" ca="1" si="6"/>
        <v>0</v>
      </c>
      <c r="L81" s="8">
        <f t="shared" ca="1" si="7"/>
        <v>0</v>
      </c>
    </row>
    <row r="82" spans="1:12" ht="15.75" customHeight="1" x14ac:dyDescent="0.25">
      <c r="A82" s="4">
        <v>20635</v>
      </c>
      <c r="B82" s="4" t="s">
        <v>12</v>
      </c>
      <c r="C82" s="5">
        <v>25960</v>
      </c>
      <c r="D82" s="4" t="s">
        <v>48</v>
      </c>
      <c r="E82" s="4" t="s">
        <v>20</v>
      </c>
      <c r="F82" s="4" t="s">
        <v>15</v>
      </c>
      <c r="G82" s="6">
        <v>1835</v>
      </c>
      <c r="H82" s="7">
        <v>183456</v>
      </c>
      <c r="I82" s="145">
        <f t="shared" ca="1" si="4"/>
        <v>53</v>
      </c>
      <c r="J82" s="8" t="b">
        <f t="shared" ca="1" si="5"/>
        <v>0</v>
      </c>
      <c r="K82" s="8" t="b">
        <f t="shared" ca="1" si="6"/>
        <v>0</v>
      </c>
      <c r="L82" s="8">
        <f t="shared" ca="1" si="7"/>
        <v>0</v>
      </c>
    </row>
    <row r="83" spans="1:12" ht="15.75" customHeight="1" x14ac:dyDescent="0.25">
      <c r="A83" s="4">
        <v>22561</v>
      </c>
      <c r="B83" s="4" t="s">
        <v>24</v>
      </c>
      <c r="C83" s="5">
        <v>30527</v>
      </c>
      <c r="D83" s="4" t="s">
        <v>88</v>
      </c>
      <c r="E83" s="4" t="s">
        <v>52</v>
      </c>
      <c r="F83" s="4" t="s">
        <v>15</v>
      </c>
      <c r="G83" s="6">
        <v>1792</v>
      </c>
      <c r="H83" s="7">
        <v>179200</v>
      </c>
      <c r="I83" s="145">
        <f t="shared" ca="1" si="4"/>
        <v>40</v>
      </c>
      <c r="J83" s="8" t="b">
        <f t="shared" ca="1" si="5"/>
        <v>0</v>
      </c>
      <c r="K83" s="8" t="b">
        <f t="shared" ca="1" si="6"/>
        <v>1</v>
      </c>
      <c r="L83" s="8">
        <f t="shared" ca="1" si="7"/>
        <v>0</v>
      </c>
    </row>
    <row r="84" spans="1:12" ht="15.75" customHeight="1" x14ac:dyDescent="0.25">
      <c r="A84" s="4">
        <v>21578</v>
      </c>
      <c r="B84" s="4" t="s">
        <v>24</v>
      </c>
      <c r="C84" s="5">
        <v>25887</v>
      </c>
      <c r="D84" s="4" t="s">
        <v>60</v>
      </c>
      <c r="E84" s="4" t="s">
        <v>20</v>
      </c>
      <c r="F84" s="4" t="s">
        <v>15</v>
      </c>
      <c r="G84" s="6">
        <v>1787</v>
      </c>
      <c r="H84" s="7">
        <v>178689</v>
      </c>
      <c r="I84" s="145">
        <f t="shared" ca="1" si="4"/>
        <v>53</v>
      </c>
      <c r="J84" s="8" t="b">
        <f t="shared" ca="1" si="5"/>
        <v>0</v>
      </c>
      <c r="K84" s="8" t="b">
        <f t="shared" ca="1" si="6"/>
        <v>0</v>
      </c>
      <c r="L84" s="8">
        <f t="shared" ca="1" si="7"/>
        <v>10000</v>
      </c>
    </row>
    <row r="85" spans="1:12" ht="15.75" customHeight="1" x14ac:dyDescent="0.25">
      <c r="A85" s="4">
        <v>22993</v>
      </c>
      <c r="B85" s="4" t="s">
        <v>12</v>
      </c>
      <c r="C85" s="5">
        <v>17695</v>
      </c>
      <c r="D85" s="4" t="s">
        <v>54</v>
      </c>
      <c r="E85" s="4" t="s">
        <v>55</v>
      </c>
      <c r="F85" s="4" t="s">
        <v>18</v>
      </c>
      <c r="G85" s="6">
        <v>1776</v>
      </c>
      <c r="H85" s="7">
        <v>177568</v>
      </c>
      <c r="I85" s="145">
        <f t="shared" ca="1" si="4"/>
        <v>76</v>
      </c>
      <c r="J85" s="8" t="b">
        <f t="shared" ca="1" si="5"/>
        <v>0</v>
      </c>
      <c r="K85" s="8" t="b">
        <f t="shared" ca="1" si="6"/>
        <v>0</v>
      </c>
      <c r="L85" s="8">
        <f t="shared" ca="1" si="7"/>
        <v>0</v>
      </c>
    </row>
    <row r="86" spans="1:12" ht="15.75" customHeight="1" x14ac:dyDescent="0.25">
      <c r="A86" s="4">
        <v>25330</v>
      </c>
      <c r="B86" s="4" t="s">
        <v>12</v>
      </c>
      <c r="C86" s="5">
        <v>30057</v>
      </c>
      <c r="D86" s="4" t="s">
        <v>61</v>
      </c>
      <c r="E86" s="4" t="s">
        <v>26</v>
      </c>
      <c r="F86" s="4" t="s">
        <v>23</v>
      </c>
      <c r="G86" s="6">
        <v>1765</v>
      </c>
      <c r="H86" s="7">
        <v>176472</v>
      </c>
      <c r="I86" s="145">
        <f t="shared" ca="1" si="4"/>
        <v>42</v>
      </c>
      <c r="J86" s="8" t="b">
        <f t="shared" ca="1" si="5"/>
        <v>0</v>
      </c>
      <c r="K86" s="8" t="b">
        <f t="shared" ca="1" si="6"/>
        <v>0</v>
      </c>
      <c r="L86" s="8">
        <f t="shared" ca="1" si="7"/>
        <v>0</v>
      </c>
    </row>
    <row r="87" spans="1:12" ht="15.75" customHeight="1" x14ac:dyDescent="0.25">
      <c r="A87" s="4">
        <v>123665</v>
      </c>
      <c r="B87" s="4" t="s">
        <v>12</v>
      </c>
      <c r="C87" s="5">
        <v>32413</v>
      </c>
      <c r="D87" s="4" t="s">
        <v>89</v>
      </c>
      <c r="E87" s="4" t="s">
        <v>39</v>
      </c>
      <c r="F87" s="4" t="s">
        <v>40</v>
      </c>
      <c r="G87" s="6">
        <v>1739</v>
      </c>
      <c r="H87" s="7">
        <v>173936</v>
      </c>
      <c r="I87" s="145">
        <f t="shared" ca="1" si="4"/>
        <v>35</v>
      </c>
      <c r="J87" s="8" t="b">
        <f t="shared" ca="1" si="5"/>
        <v>1</v>
      </c>
      <c r="K87" s="8" t="b">
        <f t="shared" ca="1" si="6"/>
        <v>0</v>
      </c>
      <c r="L87" s="8">
        <f t="shared" ca="1" si="7"/>
        <v>0</v>
      </c>
    </row>
    <row r="88" spans="1:12" ht="15.75" customHeight="1" x14ac:dyDescent="0.25">
      <c r="A88" s="4">
        <v>23705</v>
      </c>
      <c r="B88" s="4" t="s">
        <v>12</v>
      </c>
      <c r="C88" s="5">
        <v>27830</v>
      </c>
      <c r="D88" s="4" t="s">
        <v>30</v>
      </c>
      <c r="E88" s="4" t="s">
        <v>20</v>
      </c>
      <c r="F88" s="4" t="s">
        <v>15</v>
      </c>
      <c r="G88" s="6">
        <v>1724</v>
      </c>
      <c r="H88" s="7">
        <v>172356</v>
      </c>
      <c r="I88" s="145">
        <f t="shared" ca="1" si="4"/>
        <v>48</v>
      </c>
      <c r="J88" s="8" t="b">
        <f t="shared" ca="1" si="5"/>
        <v>0</v>
      </c>
      <c r="K88" s="8" t="b">
        <f t="shared" ca="1" si="6"/>
        <v>0</v>
      </c>
      <c r="L88" s="8">
        <f t="shared" ca="1" si="7"/>
        <v>0</v>
      </c>
    </row>
    <row r="89" spans="1:12" ht="15.75" customHeight="1" x14ac:dyDescent="0.25">
      <c r="A89" s="4">
        <v>21979</v>
      </c>
      <c r="B89" s="4" t="s">
        <v>12</v>
      </c>
      <c r="C89" s="5">
        <v>30722</v>
      </c>
      <c r="D89" s="4" t="s">
        <v>90</v>
      </c>
      <c r="E89" s="4" t="s">
        <v>14</v>
      </c>
      <c r="F89" s="4" t="s">
        <v>15</v>
      </c>
      <c r="G89" s="6">
        <v>1687</v>
      </c>
      <c r="H89" s="7">
        <v>168665</v>
      </c>
      <c r="I89" s="145">
        <f t="shared" ca="1" si="4"/>
        <v>40</v>
      </c>
      <c r="J89" s="8" t="b">
        <f t="shared" ca="1" si="5"/>
        <v>0</v>
      </c>
      <c r="K89" s="8" t="b">
        <f t="shared" ca="1" si="6"/>
        <v>0</v>
      </c>
      <c r="L89" s="8">
        <f t="shared" ca="1" si="7"/>
        <v>0</v>
      </c>
    </row>
    <row r="90" spans="1:12" ht="15.75" customHeight="1" x14ac:dyDescent="0.25">
      <c r="A90" s="4">
        <v>26269</v>
      </c>
      <c r="B90" s="4" t="s">
        <v>12</v>
      </c>
      <c r="C90" s="5">
        <v>32949</v>
      </c>
      <c r="D90" s="4" t="s">
        <v>48</v>
      </c>
      <c r="E90" s="4" t="s">
        <v>20</v>
      </c>
      <c r="F90" s="4" t="s">
        <v>15</v>
      </c>
      <c r="G90" s="6">
        <v>1675</v>
      </c>
      <c r="H90" s="7">
        <v>167500</v>
      </c>
      <c r="I90" s="145">
        <f t="shared" ca="1" si="4"/>
        <v>34</v>
      </c>
      <c r="J90" s="8" t="b">
        <f t="shared" ca="1" si="5"/>
        <v>1</v>
      </c>
      <c r="K90" s="8" t="b">
        <f t="shared" ca="1" si="6"/>
        <v>0</v>
      </c>
      <c r="L90" s="8">
        <f t="shared" ca="1" si="7"/>
        <v>0</v>
      </c>
    </row>
    <row r="91" spans="1:12" ht="15.75" customHeight="1" x14ac:dyDescent="0.25">
      <c r="A91" s="4">
        <v>20463</v>
      </c>
      <c r="B91" s="4" t="s">
        <v>12</v>
      </c>
      <c r="C91" s="5">
        <v>29270</v>
      </c>
      <c r="D91" s="4" t="s">
        <v>91</v>
      </c>
      <c r="E91" s="4" t="s">
        <v>22</v>
      </c>
      <c r="F91" s="4" t="s">
        <v>23</v>
      </c>
      <c r="G91" s="6">
        <v>1671</v>
      </c>
      <c r="H91" s="7">
        <v>167090</v>
      </c>
      <c r="I91" s="145">
        <f t="shared" ca="1" si="4"/>
        <v>44</v>
      </c>
      <c r="J91" s="8" t="b">
        <f t="shared" ca="1" si="5"/>
        <v>0</v>
      </c>
      <c r="K91" s="8" t="b">
        <f t="shared" ca="1" si="6"/>
        <v>0</v>
      </c>
      <c r="L91" s="8">
        <f t="shared" ca="1" si="7"/>
        <v>0</v>
      </c>
    </row>
    <row r="92" spans="1:12" ht="15.75" customHeight="1" x14ac:dyDescent="0.25">
      <c r="A92" s="4">
        <v>25285</v>
      </c>
      <c r="B92" s="4" t="s">
        <v>12</v>
      </c>
      <c r="C92" s="5">
        <v>21009</v>
      </c>
      <c r="D92" s="4" t="s">
        <v>80</v>
      </c>
      <c r="E92" s="4" t="s">
        <v>26</v>
      </c>
      <c r="F92" s="4" t="s">
        <v>23</v>
      </c>
      <c r="G92" s="6">
        <v>1663</v>
      </c>
      <c r="H92" s="7">
        <v>166347</v>
      </c>
      <c r="I92" s="145">
        <f t="shared" ca="1" si="4"/>
        <v>66</v>
      </c>
      <c r="J92" s="8" t="b">
        <f t="shared" ca="1" si="5"/>
        <v>0</v>
      </c>
      <c r="K92" s="8" t="b">
        <f t="shared" ca="1" si="6"/>
        <v>0</v>
      </c>
      <c r="L92" s="8">
        <f t="shared" ca="1" si="7"/>
        <v>0</v>
      </c>
    </row>
    <row r="93" spans="1:12" ht="15.75" customHeight="1" x14ac:dyDescent="0.25">
      <c r="A93" s="4">
        <v>21707</v>
      </c>
      <c r="B93" s="4" t="s">
        <v>12</v>
      </c>
      <c r="C93" s="5">
        <v>33663</v>
      </c>
      <c r="D93" s="4" t="s">
        <v>92</v>
      </c>
      <c r="E93" s="4" t="s">
        <v>35</v>
      </c>
      <c r="F93" s="4" t="s">
        <v>15</v>
      </c>
      <c r="G93" s="6">
        <v>1655</v>
      </c>
      <c r="H93" s="7">
        <v>165540</v>
      </c>
      <c r="I93" s="145">
        <f t="shared" ca="1" si="4"/>
        <v>32</v>
      </c>
      <c r="J93" s="8" t="b">
        <f t="shared" ca="1" si="5"/>
        <v>1</v>
      </c>
      <c r="K93" s="8" t="b">
        <f t="shared" ca="1" si="6"/>
        <v>0</v>
      </c>
      <c r="L93" s="8">
        <f t="shared" ca="1" si="7"/>
        <v>0</v>
      </c>
    </row>
    <row r="94" spans="1:12" ht="15.75" customHeight="1" x14ac:dyDescent="0.25">
      <c r="A94" s="4">
        <v>21223</v>
      </c>
      <c r="B94" s="4" t="s">
        <v>12</v>
      </c>
      <c r="C94" s="5">
        <v>29635</v>
      </c>
      <c r="D94" s="4" t="s">
        <v>93</v>
      </c>
      <c r="E94" s="4" t="s">
        <v>14</v>
      </c>
      <c r="F94" s="4" t="s">
        <v>15</v>
      </c>
      <c r="G94" s="6">
        <v>1652</v>
      </c>
      <c r="H94" s="7">
        <v>165200</v>
      </c>
      <c r="I94" s="145">
        <f t="shared" ca="1" si="4"/>
        <v>43</v>
      </c>
      <c r="J94" s="8" t="b">
        <f t="shared" ca="1" si="5"/>
        <v>0</v>
      </c>
      <c r="K94" s="8" t="b">
        <f t="shared" ca="1" si="6"/>
        <v>0</v>
      </c>
      <c r="L94" s="8">
        <f t="shared" ca="1" si="7"/>
        <v>0</v>
      </c>
    </row>
    <row r="95" spans="1:12" ht="15.75" customHeight="1" x14ac:dyDescent="0.25">
      <c r="A95" s="4">
        <v>23980</v>
      </c>
      <c r="B95" s="4" t="s">
        <v>12</v>
      </c>
      <c r="C95" s="5">
        <v>28865</v>
      </c>
      <c r="D95" s="4" t="s">
        <v>94</v>
      </c>
      <c r="E95" s="4" t="s">
        <v>28</v>
      </c>
      <c r="F95" s="4" t="s">
        <v>23</v>
      </c>
      <c r="G95" s="6">
        <v>1650</v>
      </c>
      <c r="H95" s="7">
        <v>165000</v>
      </c>
      <c r="I95" s="145">
        <f t="shared" ca="1" si="4"/>
        <v>45</v>
      </c>
      <c r="J95" s="8" t="b">
        <f t="shared" ca="1" si="5"/>
        <v>0</v>
      </c>
      <c r="K95" s="8" t="b">
        <f t="shared" ca="1" si="6"/>
        <v>0</v>
      </c>
      <c r="L95" s="8">
        <f t="shared" ca="1" si="7"/>
        <v>0</v>
      </c>
    </row>
    <row r="96" spans="1:12" ht="15.75" customHeight="1" x14ac:dyDescent="0.25">
      <c r="A96" s="4">
        <v>23131</v>
      </c>
      <c r="B96" s="4" t="s">
        <v>12</v>
      </c>
      <c r="C96" s="5">
        <v>1033</v>
      </c>
      <c r="D96" s="4" t="s">
        <v>95</v>
      </c>
      <c r="E96" s="4" t="s">
        <v>28</v>
      </c>
      <c r="F96" s="4" t="s">
        <v>23</v>
      </c>
      <c r="G96" s="6">
        <v>1650</v>
      </c>
      <c r="H96" s="7">
        <v>165000</v>
      </c>
      <c r="I96" s="145">
        <f t="shared" ca="1" si="4"/>
        <v>121</v>
      </c>
      <c r="J96" s="8" t="b">
        <f t="shared" ca="1" si="5"/>
        <v>0</v>
      </c>
      <c r="K96" s="8" t="b">
        <f t="shared" ca="1" si="6"/>
        <v>0</v>
      </c>
      <c r="L96" s="8">
        <f t="shared" ca="1" si="7"/>
        <v>0</v>
      </c>
    </row>
    <row r="97" spans="1:12" ht="15.75" customHeight="1" x14ac:dyDescent="0.25">
      <c r="A97" s="4">
        <v>21897</v>
      </c>
      <c r="B97" s="4" t="s">
        <v>12</v>
      </c>
      <c r="C97" s="5">
        <v>32158</v>
      </c>
      <c r="D97" s="4" t="s">
        <v>29</v>
      </c>
      <c r="E97" s="4" t="s">
        <v>14</v>
      </c>
      <c r="F97" s="4" t="s">
        <v>15</v>
      </c>
      <c r="G97" s="6">
        <v>1612</v>
      </c>
      <c r="H97" s="7">
        <v>161240</v>
      </c>
      <c r="I97" s="145">
        <f t="shared" ca="1" si="4"/>
        <v>36</v>
      </c>
      <c r="J97" s="8" t="b">
        <f t="shared" ca="1" si="5"/>
        <v>1</v>
      </c>
      <c r="K97" s="8" t="b">
        <f t="shared" ca="1" si="6"/>
        <v>0</v>
      </c>
      <c r="L97" s="8">
        <f t="shared" ca="1" si="7"/>
        <v>0</v>
      </c>
    </row>
    <row r="98" spans="1:12" ht="15.75" customHeight="1" x14ac:dyDescent="0.25">
      <c r="A98" s="4">
        <v>20630</v>
      </c>
      <c r="B98" s="4" t="s">
        <v>12</v>
      </c>
      <c r="C98" s="5">
        <v>33102</v>
      </c>
      <c r="D98" s="4" t="s">
        <v>96</v>
      </c>
      <c r="E98" s="4" t="s">
        <v>52</v>
      </c>
      <c r="F98" s="4" t="s">
        <v>15</v>
      </c>
      <c r="G98" s="6">
        <v>1595</v>
      </c>
      <c r="H98" s="7">
        <v>159516</v>
      </c>
      <c r="I98" s="145">
        <f t="shared" ca="1" si="4"/>
        <v>33</v>
      </c>
      <c r="J98" s="8" t="b">
        <f t="shared" ca="1" si="5"/>
        <v>1</v>
      </c>
      <c r="K98" s="8" t="b">
        <f t="shared" ca="1" si="6"/>
        <v>0</v>
      </c>
      <c r="L98" s="8">
        <f t="shared" ca="1" si="7"/>
        <v>0</v>
      </c>
    </row>
    <row r="99" spans="1:12" ht="15.75" customHeight="1" x14ac:dyDescent="0.25">
      <c r="A99" s="4">
        <v>22557</v>
      </c>
      <c r="B99" s="4" t="s">
        <v>12</v>
      </c>
      <c r="C99" s="5">
        <v>34879</v>
      </c>
      <c r="D99" s="4" t="s">
        <v>97</v>
      </c>
      <c r="E99" s="4" t="s">
        <v>26</v>
      </c>
      <c r="F99" s="4" t="s">
        <v>23</v>
      </c>
      <c r="G99" s="6">
        <v>1564</v>
      </c>
      <c r="H99" s="7">
        <v>156404</v>
      </c>
      <c r="I99" s="145">
        <f t="shared" ca="1" si="4"/>
        <v>29</v>
      </c>
      <c r="J99" s="8" t="b">
        <f t="shared" ca="1" si="5"/>
        <v>1</v>
      </c>
      <c r="K99" s="8" t="b">
        <f t="shared" ca="1" si="6"/>
        <v>0</v>
      </c>
      <c r="L99" s="8">
        <f t="shared" ca="1" si="7"/>
        <v>0</v>
      </c>
    </row>
    <row r="100" spans="1:12" ht="15.75" customHeight="1" x14ac:dyDescent="0.25">
      <c r="A100" s="4">
        <v>20578</v>
      </c>
      <c r="B100" s="4" t="s">
        <v>12</v>
      </c>
      <c r="C100" s="5">
        <v>27765</v>
      </c>
      <c r="D100" s="4" t="s">
        <v>48</v>
      </c>
      <c r="E100" s="4" t="s">
        <v>20</v>
      </c>
      <c r="F100" s="4" t="s">
        <v>15</v>
      </c>
      <c r="G100" s="6">
        <v>1514</v>
      </c>
      <c r="H100" s="7">
        <v>151392</v>
      </c>
      <c r="I100" s="145">
        <f t="shared" ca="1" si="4"/>
        <v>48</v>
      </c>
      <c r="J100" s="8" t="b">
        <f t="shared" ca="1" si="5"/>
        <v>0</v>
      </c>
      <c r="K100" s="8" t="b">
        <f t="shared" ca="1" si="6"/>
        <v>0</v>
      </c>
      <c r="L100" s="8">
        <f t="shared" ca="1" si="7"/>
        <v>0</v>
      </c>
    </row>
    <row r="101" spans="1:12" ht="15.75" customHeight="1" x14ac:dyDescent="0.25">
      <c r="A101" s="4">
        <v>130203</v>
      </c>
      <c r="B101" s="4" t="s">
        <v>12</v>
      </c>
      <c r="C101" s="5">
        <v>33270</v>
      </c>
      <c r="D101" s="4" t="s">
        <v>48</v>
      </c>
      <c r="E101" s="4" t="s">
        <v>20</v>
      </c>
      <c r="F101" s="4" t="s">
        <v>15</v>
      </c>
      <c r="G101" s="6">
        <v>1492</v>
      </c>
      <c r="H101" s="7">
        <v>149200</v>
      </c>
      <c r="I101" s="145">
        <f t="shared" ca="1" si="4"/>
        <v>33</v>
      </c>
      <c r="J101" s="8" t="b">
        <f t="shared" ca="1" si="5"/>
        <v>1</v>
      </c>
      <c r="K101" s="8" t="b">
        <f t="shared" ca="1" si="6"/>
        <v>0</v>
      </c>
      <c r="L101" s="8">
        <f t="shared" ca="1" si="7"/>
        <v>0</v>
      </c>
    </row>
    <row r="102" spans="1:12" ht="15.75" customHeight="1" x14ac:dyDescent="0.25">
      <c r="A102" s="4">
        <v>22206</v>
      </c>
      <c r="B102" s="4" t="s">
        <v>12</v>
      </c>
      <c r="C102" s="5">
        <v>21663</v>
      </c>
      <c r="D102" s="4" t="s">
        <v>48</v>
      </c>
      <c r="E102" s="4" t="s">
        <v>20</v>
      </c>
      <c r="F102" s="4" t="s">
        <v>15</v>
      </c>
      <c r="G102" s="6">
        <v>1474</v>
      </c>
      <c r="H102" s="7">
        <v>147350</v>
      </c>
      <c r="I102" s="145">
        <f t="shared" ca="1" si="4"/>
        <v>65</v>
      </c>
      <c r="J102" s="8" t="b">
        <f t="shared" ca="1" si="5"/>
        <v>0</v>
      </c>
      <c r="K102" s="8" t="b">
        <f t="shared" ca="1" si="6"/>
        <v>0</v>
      </c>
      <c r="L102" s="8">
        <f t="shared" ca="1" si="7"/>
        <v>0</v>
      </c>
    </row>
    <row r="103" spans="1:12" ht="15.75" customHeight="1" x14ac:dyDescent="0.25">
      <c r="A103" s="4">
        <v>21388</v>
      </c>
      <c r="B103" s="4" t="s">
        <v>12</v>
      </c>
      <c r="C103" s="5">
        <v>27638</v>
      </c>
      <c r="D103" s="4" t="s">
        <v>62</v>
      </c>
      <c r="E103" s="4" t="s">
        <v>14</v>
      </c>
      <c r="F103" s="4" t="s">
        <v>15</v>
      </c>
      <c r="G103" s="6">
        <v>1456</v>
      </c>
      <c r="H103" s="7">
        <v>145600</v>
      </c>
      <c r="I103" s="145">
        <f t="shared" ca="1" si="4"/>
        <v>48</v>
      </c>
      <c r="J103" s="8" t="b">
        <f t="shared" ca="1" si="5"/>
        <v>0</v>
      </c>
      <c r="K103" s="8" t="b">
        <f t="shared" ca="1" si="6"/>
        <v>0</v>
      </c>
      <c r="L103" s="8">
        <f t="shared" ca="1" si="7"/>
        <v>0</v>
      </c>
    </row>
    <row r="104" spans="1:12" ht="15.75" customHeight="1" x14ac:dyDescent="0.25">
      <c r="A104" s="4">
        <v>20492</v>
      </c>
      <c r="B104" s="4" t="s">
        <v>12</v>
      </c>
      <c r="C104" s="5">
        <v>23842</v>
      </c>
      <c r="D104" s="4" t="s">
        <v>98</v>
      </c>
      <c r="E104" s="4" t="s">
        <v>28</v>
      </c>
      <c r="F104" s="4" t="s">
        <v>23</v>
      </c>
      <c r="G104" s="6">
        <v>1446</v>
      </c>
      <c r="H104" s="7">
        <v>144600</v>
      </c>
      <c r="I104" s="145">
        <f t="shared" ca="1" si="4"/>
        <v>59</v>
      </c>
      <c r="J104" s="8" t="b">
        <f t="shared" ca="1" si="5"/>
        <v>0</v>
      </c>
      <c r="K104" s="8" t="b">
        <f t="shared" ca="1" si="6"/>
        <v>0</v>
      </c>
      <c r="L104" s="8">
        <f t="shared" ca="1" si="7"/>
        <v>0</v>
      </c>
    </row>
    <row r="105" spans="1:12" ht="15.75" customHeight="1" x14ac:dyDescent="0.25">
      <c r="A105" s="4">
        <v>21625</v>
      </c>
      <c r="B105" s="4" t="s">
        <v>12</v>
      </c>
      <c r="C105" s="5">
        <v>23811</v>
      </c>
      <c r="D105" s="4" t="s">
        <v>73</v>
      </c>
      <c r="E105" s="4" t="s">
        <v>74</v>
      </c>
      <c r="F105" s="4" t="s">
        <v>23</v>
      </c>
      <c r="G105" s="6">
        <v>1438</v>
      </c>
      <c r="H105" s="7">
        <v>143814</v>
      </c>
      <c r="I105" s="145">
        <f t="shared" ca="1" si="4"/>
        <v>59</v>
      </c>
      <c r="J105" s="8" t="b">
        <f t="shared" ca="1" si="5"/>
        <v>0</v>
      </c>
      <c r="K105" s="8" t="b">
        <f t="shared" ca="1" si="6"/>
        <v>0</v>
      </c>
      <c r="L105" s="8">
        <f t="shared" ca="1" si="7"/>
        <v>0</v>
      </c>
    </row>
    <row r="106" spans="1:12" ht="15.75" customHeight="1" x14ac:dyDescent="0.25">
      <c r="A106" s="4">
        <v>27310</v>
      </c>
      <c r="B106" s="4" t="s">
        <v>12</v>
      </c>
      <c r="C106" s="5">
        <v>23818</v>
      </c>
      <c r="D106" s="4" t="s">
        <v>80</v>
      </c>
      <c r="E106" s="4" t="s">
        <v>26</v>
      </c>
      <c r="F106" s="4" t="s">
        <v>23</v>
      </c>
      <c r="G106" s="6">
        <v>1438</v>
      </c>
      <c r="H106" s="7">
        <v>143770</v>
      </c>
      <c r="I106" s="145">
        <f t="shared" ca="1" si="4"/>
        <v>59</v>
      </c>
      <c r="J106" s="8" t="b">
        <f t="shared" ca="1" si="5"/>
        <v>0</v>
      </c>
      <c r="K106" s="8" t="b">
        <f t="shared" ca="1" si="6"/>
        <v>0</v>
      </c>
      <c r="L106" s="8">
        <f t="shared" ca="1" si="7"/>
        <v>0</v>
      </c>
    </row>
    <row r="107" spans="1:12" ht="15.75" customHeight="1" x14ac:dyDescent="0.25">
      <c r="A107" s="4">
        <v>20913</v>
      </c>
      <c r="B107" s="4" t="s">
        <v>12</v>
      </c>
      <c r="C107" s="5">
        <v>33625</v>
      </c>
      <c r="D107" s="4" t="s">
        <v>19</v>
      </c>
      <c r="E107" s="4" t="s">
        <v>20</v>
      </c>
      <c r="F107" s="4" t="s">
        <v>15</v>
      </c>
      <c r="G107" s="6">
        <v>1434</v>
      </c>
      <c r="H107" s="7">
        <v>143376</v>
      </c>
      <c r="I107" s="145">
        <f t="shared" ca="1" si="4"/>
        <v>32</v>
      </c>
      <c r="J107" s="8" t="b">
        <f t="shared" ca="1" si="5"/>
        <v>1</v>
      </c>
      <c r="K107" s="8" t="b">
        <f t="shared" ca="1" si="6"/>
        <v>0</v>
      </c>
      <c r="L107" s="8">
        <f t="shared" ca="1" si="7"/>
        <v>0</v>
      </c>
    </row>
    <row r="108" spans="1:12" ht="15.75" customHeight="1" x14ac:dyDescent="0.25">
      <c r="A108" s="4">
        <v>32475</v>
      </c>
      <c r="B108" s="4" t="s">
        <v>12</v>
      </c>
      <c r="C108" s="5">
        <v>30500</v>
      </c>
      <c r="D108" s="4" t="s">
        <v>99</v>
      </c>
      <c r="E108" s="4" t="s">
        <v>74</v>
      </c>
      <c r="F108" s="4" t="s">
        <v>79</v>
      </c>
      <c r="G108" s="6">
        <v>1430</v>
      </c>
      <c r="H108" s="7">
        <v>143040</v>
      </c>
      <c r="I108" s="145">
        <f t="shared" ca="1" si="4"/>
        <v>41</v>
      </c>
      <c r="J108" s="8" t="b">
        <f t="shared" ca="1" si="5"/>
        <v>0</v>
      </c>
      <c r="K108" s="8" t="b">
        <f t="shared" ca="1" si="6"/>
        <v>0</v>
      </c>
      <c r="L108" s="8">
        <f t="shared" ca="1" si="7"/>
        <v>0</v>
      </c>
    </row>
    <row r="109" spans="1:12" ht="15.75" customHeight="1" x14ac:dyDescent="0.25">
      <c r="A109" s="4">
        <v>27407</v>
      </c>
      <c r="B109" s="4" t="s">
        <v>12</v>
      </c>
      <c r="C109" s="5">
        <v>26772</v>
      </c>
      <c r="D109" s="4" t="s">
        <v>49</v>
      </c>
      <c r="E109" s="4" t="s">
        <v>20</v>
      </c>
      <c r="F109" s="4" t="s">
        <v>15</v>
      </c>
      <c r="G109" s="6">
        <v>1416</v>
      </c>
      <c r="H109" s="7">
        <v>141570</v>
      </c>
      <c r="I109" s="145">
        <f t="shared" ca="1" si="4"/>
        <v>51</v>
      </c>
      <c r="J109" s="8" t="b">
        <f t="shared" ca="1" si="5"/>
        <v>0</v>
      </c>
      <c r="K109" s="8" t="b">
        <f t="shared" ca="1" si="6"/>
        <v>0</v>
      </c>
      <c r="L109" s="8">
        <f t="shared" ca="1" si="7"/>
        <v>0</v>
      </c>
    </row>
    <row r="110" spans="1:12" ht="15.75" customHeight="1" x14ac:dyDescent="0.25">
      <c r="A110" s="4">
        <v>21315</v>
      </c>
      <c r="B110" s="4" t="s">
        <v>12</v>
      </c>
      <c r="C110" s="5">
        <v>31543</v>
      </c>
      <c r="D110" s="4" t="s">
        <v>60</v>
      </c>
      <c r="E110" s="4" t="s">
        <v>20</v>
      </c>
      <c r="F110" s="4" t="s">
        <v>15</v>
      </c>
      <c r="G110" s="6">
        <v>1400</v>
      </c>
      <c r="H110" s="7">
        <v>140000</v>
      </c>
      <c r="I110" s="145">
        <f t="shared" ca="1" si="4"/>
        <v>38</v>
      </c>
      <c r="J110" s="8" t="b">
        <f t="shared" ca="1" si="5"/>
        <v>1</v>
      </c>
      <c r="K110" s="8" t="b">
        <f t="shared" ca="1" si="6"/>
        <v>0</v>
      </c>
      <c r="L110" s="8">
        <f t="shared" ca="1" si="7"/>
        <v>0</v>
      </c>
    </row>
    <row r="111" spans="1:12" ht="15.75" customHeight="1" x14ac:dyDescent="0.25">
      <c r="A111" s="4">
        <v>20570</v>
      </c>
      <c r="B111" s="4" t="s">
        <v>12</v>
      </c>
      <c r="C111" s="5">
        <v>24657</v>
      </c>
      <c r="D111" s="4" t="s">
        <v>100</v>
      </c>
      <c r="E111" s="4" t="s">
        <v>14</v>
      </c>
      <c r="F111" s="4" t="s">
        <v>15</v>
      </c>
      <c r="G111" s="6">
        <v>1397</v>
      </c>
      <c r="H111" s="7">
        <v>139740</v>
      </c>
      <c r="I111" s="145">
        <f t="shared" ca="1" si="4"/>
        <v>57</v>
      </c>
      <c r="J111" s="8" t="b">
        <f t="shared" ca="1" si="5"/>
        <v>0</v>
      </c>
      <c r="K111" s="8" t="b">
        <f t="shared" ca="1" si="6"/>
        <v>0</v>
      </c>
      <c r="L111" s="8">
        <f t="shared" ca="1" si="7"/>
        <v>0</v>
      </c>
    </row>
    <row r="112" spans="1:12" ht="15.75" customHeight="1" x14ac:dyDescent="0.25">
      <c r="A112" s="4">
        <v>20563</v>
      </c>
      <c r="B112" s="4" t="s">
        <v>12</v>
      </c>
      <c r="C112" s="5">
        <v>24165</v>
      </c>
      <c r="D112" s="4" t="s">
        <v>60</v>
      </c>
      <c r="E112" s="4" t="s">
        <v>20</v>
      </c>
      <c r="F112" s="4" t="s">
        <v>15</v>
      </c>
      <c r="G112" s="6">
        <v>1389</v>
      </c>
      <c r="H112" s="7">
        <v>138886</v>
      </c>
      <c r="I112" s="145">
        <f t="shared" ca="1" si="4"/>
        <v>58</v>
      </c>
      <c r="J112" s="8" t="b">
        <f t="shared" ca="1" si="5"/>
        <v>0</v>
      </c>
      <c r="K112" s="8" t="b">
        <f t="shared" ca="1" si="6"/>
        <v>0</v>
      </c>
      <c r="L112" s="8">
        <f t="shared" ca="1" si="7"/>
        <v>0</v>
      </c>
    </row>
    <row r="113" spans="1:12" ht="15.75" customHeight="1" x14ac:dyDescent="0.25">
      <c r="A113" s="4">
        <v>33701</v>
      </c>
      <c r="B113" s="4" t="s">
        <v>12</v>
      </c>
      <c r="C113" s="5">
        <v>31803</v>
      </c>
      <c r="D113" s="4" t="s">
        <v>101</v>
      </c>
      <c r="E113" s="4" t="s">
        <v>39</v>
      </c>
      <c r="F113" s="4" t="s">
        <v>79</v>
      </c>
      <c r="G113" s="6">
        <v>1386</v>
      </c>
      <c r="H113" s="7">
        <v>138556</v>
      </c>
      <c r="I113" s="145">
        <f t="shared" ca="1" si="4"/>
        <v>37</v>
      </c>
      <c r="J113" s="8" t="b">
        <f t="shared" ca="1" si="5"/>
        <v>1</v>
      </c>
      <c r="K113" s="8" t="b">
        <f t="shared" ca="1" si="6"/>
        <v>0</v>
      </c>
      <c r="L113" s="8">
        <f t="shared" ca="1" si="7"/>
        <v>0</v>
      </c>
    </row>
    <row r="114" spans="1:12" ht="15.75" customHeight="1" x14ac:dyDescent="0.25">
      <c r="A114" s="4">
        <v>20893</v>
      </c>
      <c r="B114" s="4" t="s">
        <v>24</v>
      </c>
      <c r="C114" s="5">
        <v>30662</v>
      </c>
      <c r="D114" s="4" t="s">
        <v>60</v>
      </c>
      <c r="E114" s="4" t="s">
        <v>20</v>
      </c>
      <c r="F114" s="4" t="s">
        <v>15</v>
      </c>
      <c r="G114" s="6">
        <v>1379</v>
      </c>
      <c r="H114" s="7">
        <v>137860</v>
      </c>
      <c r="I114" s="145">
        <f t="shared" ca="1" si="4"/>
        <v>40</v>
      </c>
      <c r="J114" s="8" t="b">
        <f t="shared" ca="1" si="5"/>
        <v>0</v>
      </c>
      <c r="K114" s="8" t="b">
        <f t="shared" ca="1" si="6"/>
        <v>1</v>
      </c>
      <c r="L114" s="8">
        <f t="shared" ca="1" si="7"/>
        <v>0</v>
      </c>
    </row>
    <row r="115" spans="1:12" ht="15.75" customHeight="1" x14ac:dyDescent="0.25">
      <c r="A115" s="4">
        <v>123827</v>
      </c>
      <c r="B115" s="4" t="s">
        <v>12</v>
      </c>
      <c r="C115" s="5">
        <v>31941</v>
      </c>
      <c r="D115" s="4" t="s">
        <v>27</v>
      </c>
      <c r="E115" s="4" t="s">
        <v>28</v>
      </c>
      <c r="F115" s="4" t="s">
        <v>23</v>
      </c>
      <c r="G115" s="6">
        <v>1377</v>
      </c>
      <c r="H115" s="7">
        <v>137747</v>
      </c>
      <c r="I115" s="145">
        <f t="shared" ca="1" si="4"/>
        <v>37</v>
      </c>
      <c r="J115" s="8" t="b">
        <f t="shared" ca="1" si="5"/>
        <v>1</v>
      </c>
      <c r="K115" s="8" t="b">
        <f t="shared" ca="1" si="6"/>
        <v>0</v>
      </c>
      <c r="L115" s="8">
        <f t="shared" ca="1" si="7"/>
        <v>0</v>
      </c>
    </row>
    <row r="116" spans="1:12" ht="15.75" customHeight="1" x14ac:dyDescent="0.25">
      <c r="A116" s="4">
        <v>22349</v>
      </c>
      <c r="B116" s="4" t="s">
        <v>12</v>
      </c>
      <c r="C116" s="5">
        <v>29350</v>
      </c>
      <c r="D116" s="4" t="s">
        <v>102</v>
      </c>
      <c r="E116" s="4" t="s">
        <v>84</v>
      </c>
      <c r="F116" s="4" t="s">
        <v>40</v>
      </c>
      <c r="G116" s="6">
        <v>1339</v>
      </c>
      <c r="H116" s="7">
        <v>133864</v>
      </c>
      <c r="I116" s="145">
        <f t="shared" ca="1" si="4"/>
        <v>44</v>
      </c>
      <c r="J116" s="8" t="b">
        <f t="shared" ca="1" si="5"/>
        <v>0</v>
      </c>
      <c r="K116" s="8" t="b">
        <f t="shared" ca="1" si="6"/>
        <v>0</v>
      </c>
      <c r="L116" s="8">
        <f t="shared" ca="1" si="7"/>
        <v>0</v>
      </c>
    </row>
    <row r="117" spans="1:12" ht="15.75" customHeight="1" x14ac:dyDescent="0.25">
      <c r="A117" s="4">
        <v>134219</v>
      </c>
      <c r="B117" s="4" t="s">
        <v>12</v>
      </c>
      <c r="C117" s="5">
        <v>27912</v>
      </c>
      <c r="D117" s="4" t="s">
        <v>41</v>
      </c>
      <c r="E117" s="4" t="s">
        <v>20</v>
      </c>
      <c r="F117" s="4" t="s">
        <v>15</v>
      </c>
      <c r="G117" s="6">
        <v>1333</v>
      </c>
      <c r="H117" s="7">
        <v>133300</v>
      </c>
      <c r="I117" s="145">
        <f t="shared" ca="1" si="4"/>
        <v>48</v>
      </c>
      <c r="J117" s="8" t="b">
        <f t="shared" ca="1" si="5"/>
        <v>0</v>
      </c>
      <c r="K117" s="8" t="b">
        <f t="shared" ca="1" si="6"/>
        <v>0</v>
      </c>
      <c r="L117" s="8">
        <f t="shared" ca="1" si="7"/>
        <v>0</v>
      </c>
    </row>
    <row r="118" spans="1:12" ht="15.75" customHeight="1" x14ac:dyDescent="0.25">
      <c r="A118" s="4">
        <v>20800</v>
      </c>
      <c r="B118" s="4" t="s">
        <v>12</v>
      </c>
      <c r="C118" s="5">
        <v>25210</v>
      </c>
      <c r="D118" s="4" t="s">
        <v>48</v>
      </c>
      <c r="E118" s="4" t="s">
        <v>20</v>
      </c>
      <c r="F118" s="4" t="s">
        <v>15</v>
      </c>
      <c r="G118" s="6">
        <v>1323</v>
      </c>
      <c r="H118" s="7">
        <v>132345</v>
      </c>
      <c r="I118" s="145">
        <f t="shared" ca="1" si="4"/>
        <v>55</v>
      </c>
      <c r="J118" s="8" t="b">
        <f t="shared" ca="1" si="5"/>
        <v>0</v>
      </c>
      <c r="K118" s="8" t="b">
        <f t="shared" ca="1" si="6"/>
        <v>0</v>
      </c>
      <c r="L118" s="8">
        <f t="shared" ca="1" si="7"/>
        <v>0</v>
      </c>
    </row>
    <row r="119" spans="1:12" ht="15.75" customHeight="1" x14ac:dyDescent="0.25">
      <c r="A119" s="4">
        <v>133051</v>
      </c>
      <c r="B119" s="4" t="s">
        <v>12</v>
      </c>
      <c r="C119" s="5">
        <v>27358</v>
      </c>
      <c r="D119" s="4" t="s">
        <v>103</v>
      </c>
      <c r="E119" s="4" t="s">
        <v>39</v>
      </c>
      <c r="F119" s="4" t="s">
        <v>40</v>
      </c>
      <c r="G119" s="6">
        <v>1320</v>
      </c>
      <c r="H119" s="7">
        <v>132000</v>
      </c>
      <c r="I119" s="145">
        <f t="shared" ca="1" si="4"/>
        <v>49</v>
      </c>
      <c r="J119" s="8" t="b">
        <f t="shared" ca="1" si="5"/>
        <v>0</v>
      </c>
      <c r="K119" s="8" t="b">
        <f t="shared" ca="1" si="6"/>
        <v>0</v>
      </c>
      <c r="L119" s="8">
        <f t="shared" ca="1" si="7"/>
        <v>0</v>
      </c>
    </row>
    <row r="120" spans="1:12" ht="15.75" customHeight="1" x14ac:dyDescent="0.25">
      <c r="A120" s="4">
        <v>24629</v>
      </c>
      <c r="B120" s="4" t="s">
        <v>12</v>
      </c>
      <c r="C120" s="5">
        <v>24500</v>
      </c>
      <c r="D120" s="4" t="s">
        <v>25</v>
      </c>
      <c r="E120" s="4" t="s">
        <v>26</v>
      </c>
      <c r="F120" s="4" t="s">
        <v>23</v>
      </c>
      <c r="G120" s="6">
        <v>1297</v>
      </c>
      <c r="H120" s="7">
        <v>129708</v>
      </c>
      <c r="I120" s="145">
        <f t="shared" ca="1" si="4"/>
        <v>57</v>
      </c>
      <c r="J120" s="8" t="b">
        <f t="shared" ca="1" si="5"/>
        <v>0</v>
      </c>
      <c r="K120" s="8" t="b">
        <f t="shared" ca="1" si="6"/>
        <v>0</v>
      </c>
      <c r="L120" s="8">
        <f t="shared" ca="1" si="7"/>
        <v>0</v>
      </c>
    </row>
    <row r="121" spans="1:12" ht="15.75" customHeight="1" x14ac:dyDescent="0.25">
      <c r="A121" s="4">
        <v>20528</v>
      </c>
      <c r="B121" s="4" t="s">
        <v>12</v>
      </c>
      <c r="C121" s="5">
        <v>31819</v>
      </c>
      <c r="D121" s="4" t="s">
        <v>50</v>
      </c>
      <c r="E121" s="4" t="s">
        <v>20</v>
      </c>
      <c r="F121" s="4" t="s">
        <v>15</v>
      </c>
      <c r="G121" s="6">
        <v>1290</v>
      </c>
      <c r="H121" s="7">
        <v>128968</v>
      </c>
      <c r="I121" s="145">
        <f t="shared" ca="1" si="4"/>
        <v>37</v>
      </c>
      <c r="J121" s="8" t="b">
        <f t="shared" ca="1" si="5"/>
        <v>1</v>
      </c>
      <c r="K121" s="8" t="b">
        <f t="shared" ca="1" si="6"/>
        <v>0</v>
      </c>
      <c r="L121" s="8">
        <f t="shared" ca="1" si="7"/>
        <v>0</v>
      </c>
    </row>
    <row r="122" spans="1:12" ht="15.75" customHeight="1" x14ac:dyDescent="0.25">
      <c r="A122" s="4">
        <v>21620</v>
      </c>
      <c r="B122" s="4" t="s">
        <v>12</v>
      </c>
      <c r="C122" s="5">
        <v>27069</v>
      </c>
      <c r="D122" s="4" t="s">
        <v>73</v>
      </c>
      <c r="E122" s="4" t="s">
        <v>74</v>
      </c>
      <c r="F122" s="4" t="s">
        <v>23</v>
      </c>
      <c r="G122" s="6">
        <v>1274</v>
      </c>
      <c r="H122" s="7">
        <v>127367</v>
      </c>
      <c r="I122" s="145">
        <f t="shared" ca="1" si="4"/>
        <v>50</v>
      </c>
      <c r="J122" s="8" t="b">
        <f t="shared" ca="1" si="5"/>
        <v>0</v>
      </c>
      <c r="K122" s="8" t="b">
        <f t="shared" ca="1" si="6"/>
        <v>0</v>
      </c>
      <c r="L122" s="8">
        <f t="shared" ca="1" si="7"/>
        <v>0</v>
      </c>
    </row>
    <row r="123" spans="1:12" ht="15.75" customHeight="1" x14ac:dyDescent="0.25">
      <c r="A123" s="4">
        <v>20879</v>
      </c>
      <c r="B123" s="4" t="s">
        <v>12</v>
      </c>
      <c r="C123" s="5">
        <v>24480</v>
      </c>
      <c r="D123" s="4" t="s">
        <v>48</v>
      </c>
      <c r="E123" s="4" t="s">
        <v>20</v>
      </c>
      <c r="F123" s="4" t="s">
        <v>15</v>
      </c>
      <c r="G123" s="6">
        <v>1259</v>
      </c>
      <c r="H123" s="7">
        <v>125895</v>
      </c>
      <c r="I123" s="145">
        <f t="shared" ca="1" si="4"/>
        <v>57</v>
      </c>
      <c r="J123" s="8" t="b">
        <f t="shared" ca="1" si="5"/>
        <v>0</v>
      </c>
      <c r="K123" s="8" t="b">
        <f t="shared" ca="1" si="6"/>
        <v>0</v>
      </c>
      <c r="L123" s="8">
        <f t="shared" ca="1" si="7"/>
        <v>0</v>
      </c>
    </row>
    <row r="124" spans="1:12" ht="15.75" customHeight="1" x14ac:dyDescent="0.25">
      <c r="A124" s="4">
        <v>27533</v>
      </c>
      <c r="B124" s="4" t="s">
        <v>12</v>
      </c>
      <c r="C124" s="5">
        <v>30792</v>
      </c>
      <c r="D124" s="4" t="s">
        <v>104</v>
      </c>
      <c r="E124" s="4" t="s">
        <v>55</v>
      </c>
      <c r="F124" s="4" t="s">
        <v>18</v>
      </c>
      <c r="G124" s="6">
        <v>1251</v>
      </c>
      <c r="H124" s="7">
        <v>125139</v>
      </c>
      <c r="I124" s="145">
        <f t="shared" ca="1" si="4"/>
        <v>40</v>
      </c>
      <c r="J124" s="8" t="b">
        <f t="shared" ca="1" si="5"/>
        <v>0</v>
      </c>
      <c r="K124" s="8" t="b">
        <f t="shared" ca="1" si="6"/>
        <v>0</v>
      </c>
      <c r="L124" s="8">
        <f t="shared" ca="1" si="7"/>
        <v>0</v>
      </c>
    </row>
    <row r="125" spans="1:12" ht="15.75" customHeight="1" x14ac:dyDescent="0.25">
      <c r="A125" s="4">
        <v>133794</v>
      </c>
      <c r="B125" s="4" t="s">
        <v>24</v>
      </c>
      <c r="C125" s="5">
        <v>31784</v>
      </c>
      <c r="D125" s="4" t="s">
        <v>105</v>
      </c>
      <c r="E125" s="4" t="s">
        <v>26</v>
      </c>
      <c r="F125" s="4" t="s">
        <v>23</v>
      </c>
      <c r="G125" s="6">
        <v>1250</v>
      </c>
      <c r="H125" s="7">
        <v>125000</v>
      </c>
      <c r="I125" s="145">
        <f t="shared" ca="1" si="4"/>
        <v>37</v>
      </c>
      <c r="J125" s="8" t="b">
        <f t="shared" ca="1" si="5"/>
        <v>0</v>
      </c>
      <c r="K125" s="8" t="b">
        <f t="shared" ca="1" si="6"/>
        <v>1</v>
      </c>
      <c r="L125" s="8">
        <f t="shared" ca="1" si="7"/>
        <v>0</v>
      </c>
    </row>
    <row r="126" spans="1:12" ht="15.75" customHeight="1" x14ac:dyDescent="0.25">
      <c r="A126" s="4">
        <v>140822</v>
      </c>
      <c r="B126" s="4" t="s">
        <v>24</v>
      </c>
      <c r="C126" s="5">
        <v>26884</v>
      </c>
      <c r="D126" s="4" t="s">
        <v>46</v>
      </c>
      <c r="E126" s="4" t="s">
        <v>35</v>
      </c>
      <c r="F126" s="4" t="s">
        <v>15</v>
      </c>
      <c r="G126" s="6">
        <v>1245</v>
      </c>
      <c r="H126" s="7">
        <v>124465</v>
      </c>
      <c r="I126" s="145">
        <f t="shared" ca="1" si="4"/>
        <v>50</v>
      </c>
      <c r="J126" s="8" t="b">
        <f t="shared" ca="1" si="5"/>
        <v>0</v>
      </c>
      <c r="K126" s="8" t="b">
        <f t="shared" ca="1" si="6"/>
        <v>0</v>
      </c>
      <c r="L126" s="8">
        <f t="shared" ca="1" si="7"/>
        <v>0</v>
      </c>
    </row>
    <row r="127" spans="1:12" ht="15.75" customHeight="1" x14ac:dyDescent="0.25">
      <c r="A127" s="4">
        <v>23197</v>
      </c>
      <c r="B127" s="4" t="s">
        <v>12</v>
      </c>
      <c r="C127" s="5">
        <v>33143</v>
      </c>
      <c r="D127" s="4" t="s">
        <v>106</v>
      </c>
      <c r="E127" s="4" t="s">
        <v>55</v>
      </c>
      <c r="F127" s="4" t="s">
        <v>18</v>
      </c>
      <c r="G127" s="6">
        <v>1240</v>
      </c>
      <c r="H127" s="7">
        <v>124000</v>
      </c>
      <c r="I127" s="145">
        <f t="shared" ca="1" si="4"/>
        <v>33</v>
      </c>
      <c r="J127" s="8" t="b">
        <f t="shared" ca="1" si="5"/>
        <v>1</v>
      </c>
      <c r="K127" s="8" t="b">
        <f t="shared" ca="1" si="6"/>
        <v>0</v>
      </c>
      <c r="L127" s="8">
        <f t="shared" ca="1" si="7"/>
        <v>0</v>
      </c>
    </row>
    <row r="128" spans="1:12" ht="15.75" customHeight="1" x14ac:dyDescent="0.25">
      <c r="A128" s="4">
        <v>21202</v>
      </c>
      <c r="B128" s="4" t="s">
        <v>24</v>
      </c>
      <c r="C128" s="5">
        <v>32845</v>
      </c>
      <c r="D128" s="4" t="s">
        <v>107</v>
      </c>
      <c r="E128" s="4" t="s">
        <v>55</v>
      </c>
      <c r="F128" s="4" t="s">
        <v>18</v>
      </c>
      <c r="G128" s="6">
        <v>1240</v>
      </c>
      <c r="H128" s="7">
        <v>123970</v>
      </c>
      <c r="I128" s="145">
        <f t="shared" ca="1" si="4"/>
        <v>34</v>
      </c>
      <c r="J128" s="8" t="b">
        <f t="shared" ca="1" si="5"/>
        <v>0</v>
      </c>
      <c r="K128" s="8" t="b">
        <f t="shared" ca="1" si="6"/>
        <v>1</v>
      </c>
      <c r="L128" s="8">
        <f t="shared" ca="1" si="7"/>
        <v>0</v>
      </c>
    </row>
    <row r="129" spans="1:12" ht="15.75" customHeight="1" x14ac:dyDescent="0.25">
      <c r="A129" s="4">
        <v>21374</v>
      </c>
      <c r="B129" s="4" t="s">
        <v>12</v>
      </c>
      <c r="C129" s="5">
        <v>31274</v>
      </c>
      <c r="D129" s="4" t="s">
        <v>108</v>
      </c>
      <c r="E129" s="4" t="s">
        <v>74</v>
      </c>
      <c r="F129" s="4" t="s">
        <v>79</v>
      </c>
      <c r="G129" s="6">
        <v>1224</v>
      </c>
      <c r="H129" s="7">
        <v>122360</v>
      </c>
      <c r="I129" s="145">
        <f t="shared" ca="1" si="4"/>
        <v>38</v>
      </c>
      <c r="J129" s="8" t="b">
        <f t="shared" ca="1" si="5"/>
        <v>1</v>
      </c>
      <c r="K129" s="8" t="b">
        <f t="shared" ca="1" si="6"/>
        <v>0</v>
      </c>
      <c r="L129" s="8">
        <f t="shared" ca="1" si="7"/>
        <v>0</v>
      </c>
    </row>
    <row r="130" spans="1:12" ht="15.75" customHeight="1" x14ac:dyDescent="0.25">
      <c r="A130" s="4">
        <v>23022</v>
      </c>
      <c r="B130" s="4" t="s">
        <v>12</v>
      </c>
      <c r="C130" s="5">
        <v>30211</v>
      </c>
      <c r="D130" s="4" t="s">
        <v>49</v>
      </c>
      <c r="E130" s="4" t="s">
        <v>20</v>
      </c>
      <c r="F130" s="4" t="s">
        <v>15</v>
      </c>
      <c r="G130" s="6">
        <v>1221</v>
      </c>
      <c r="H130" s="7">
        <v>122112</v>
      </c>
      <c r="I130" s="145">
        <f t="shared" ca="1" si="4"/>
        <v>41</v>
      </c>
      <c r="J130" s="8" t="b">
        <f t="shared" ca="1" si="5"/>
        <v>0</v>
      </c>
      <c r="K130" s="8" t="b">
        <f t="shared" ca="1" si="6"/>
        <v>0</v>
      </c>
      <c r="L130" s="8">
        <f t="shared" ca="1" si="7"/>
        <v>0</v>
      </c>
    </row>
    <row r="131" spans="1:12" ht="15.75" customHeight="1" x14ac:dyDescent="0.25">
      <c r="A131" s="4">
        <v>126990</v>
      </c>
      <c r="B131" s="4" t="s">
        <v>12</v>
      </c>
      <c r="C131" s="5">
        <v>31956</v>
      </c>
      <c r="D131" s="4" t="s">
        <v>36</v>
      </c>
      <c r="E131" s="4" t="s">
        <v>37</v>
      </c>
      <c r="F131" s="4" t="s">
        <v>18</v>
      </c>
      <c r="G131" s="6">
        <v>1218</v>
      </c>
      <c r="H131" s="7">
        <v>121800</v>
      </c>
      <c r="I131" s="145">
        <f t="shared" ref="I131:I194" ca="1" si="8">DATEDIF(C131,TODAY(),"y")</f>
        <v>37</v>
      </c>
      <c r="J131" s="8" t="b">
        <f t="shared" ref="J131:J194" ca="1" si="9">AND(B131="Male",I131&lt;40)</f>
        <v>1</v>
      </c>
      <c r="K131" s="8" t="b">
        <f t="shared" ref="K131:K194" ca="1" si="10">AND(B131="Female",I131&lt;50)</f>
        <v>0</v>
      </c>
      <c r="L131" s="8">
        <f t="shared" ref="L131:L194" ca="1" si="11">IF(AND(B131="Female",OR(I131&lt;25,I131&gt;50)),10000,0)</f>
        <v>0</v>
      </c>
    </row>
    <row r="132" spans="1:12" ht="15.75" customHeight="1" x14ac:dyDescent="0.25">
      <c r="A132" s="4">
        <v>38732</v>
      </c>
      <c r="B132" s="4" t="s">
        <v>12</v>
      </c>
      <c r="C132" s="5">
        <v>24746</v>
      </c>
      <c r="D132" s="4" t="s">
        <v>109</v>
      </c>
      <c r="E132" s="4" t="s">
        <v>26</v>
      </c>
      <c r="F132" s="4" t="s">
        <v>23</v>
      </c>
      <c r="G132" s="6">
        <v>1215</v>
      </c>
      <c r="H132" s="7">
        <v>121481</v>
      </c>
      <c r="I132" s="145">
        <f t="shared" ca="1" si="8"/>
        <v>56</v>
      </c>
      <c r="J132" s="8" t="b">
        <f t="shared" ca="1" si="9"/>
        <v>0</v>
      </c>
      <c r="K132" s="8" t="b">
        <f t="shared" ca="1" si="10"/>
        <v>0</v>
      </c>
      <c r="L132" s="8">
        <f t="shared" ca="1" si="11"/>
        <v>0</v>
      </c>
    </row>
    <row r="133" spans="1:12" ht="15.75" customHeight="1" x14ac:dyDescent="0.25">
      <c r="A133" s="4">
        <v>141756</v>
      </c>
      <c r="B133" s="4" t="s">
        <v>12</v>
      </c>
      <c r="C133" s="5">
        <v>25772</v>
      </c>
      <c r="D133" s="4" t="s">
        <v>48</v>
      </c>
      <c r="E133" s="4" t="s">
        <v>20</v>
      </c>
      <c r="F133" s="4" t="s">
        <v>15</v>
      </c>
      <c r="G133" s="6">
        <v>1200</v>
      </c>
      <c r="H133" s="7">
        <v>120000</v>
      </c>
      <c r="I133" s="145">
        <f t="shared" ca="1" si="8"/>
        <v>53</v>
      </c>
      <c r="J133" s="8" t="b">
        <f t="shared" ca="1" si="9"/>
        <v>0</v>
      </c>
      <c r="K133" s="8" t="b">
        <f t="shared" ca="1" si="10"/>
        <v>0</v>
      </c>
      <c r="L133" s="8">
        <f t="shared" ca="1" si="11"/>
        <v>0</v>
      </c>
    </row>
    <row r="134" spans="1:12" ht="15.75" customHeight="1" x14ac:dyDescent="0.25">
      <c r="A134" s="4">
        <v>50460</v>
      </c>
      <c r="B134" s="4" t="s">
        <v>12</v>
      </c>
      <c r="C134" s="5">
        <v>25308</v>
      </c>
      <c r="D134" s="4" t="s">
        <v>41</v>
      </c>
      <c r="E134" s="4" t="s">
        <v>20</v>
      </c>
      <c r="F134" s="4" t="s">
        <v>15</v>
      </c>
      <c r="G134" s="6">
        <v>1197</v>
      </c>
      <c r="H134" s="7">
        <v>119700</v>
      </c>
      <c r="I134" s="145">
        <f t="shared" ca="1" si="8"/>
        <v>55</v>
      </c>
      <c r="J134" s="8" t="b">
        <f t="shared" ca="1" si="9"/>
        <v>0</v>
      </c>
      <c r="K134" s="8" t="b">
        <f t="shared" ca="1" si="10"/>
        <v>0</v>
      </c>
      <c r="L134" s="8">
        <f t="shared" ca="1" si="11"/>
        <v>0</v>
      </c>
    </row>
    <row r="135" spans="1:12" ht="15.75" customHeight="1" x14ac:dyDescent="0.25">
      <c r="A135" s="4">
        <v>22394</v>
      </c>
      <c r="B135" s="4" t="s">
        <v>12</v>
      </c>
      <c r="C135" s="5">
        <v>25474</v>
      </c>
      <c r="D135" s="4" t="s">
        <v>110</v>
      </c>
      <c r="E135" s="4" t="s">
        <v>111</v>
      </c>
      <c r="F135" s="4" t="s">
        <v>18</v>
      </c>
      <c r="G135" s="6">
        <v>1197</v>
      </c>
      <c r="H135" s="7">
        <v>119700</v>
      </c>
      <c r="I135" s="145">
        <f t="shared" ca="1" si="8"/>
        <v>54</v>
      </c>
      <c r="J135" s="8" t="b">
        <f t="shared" ca="1" si="9"/>
        <v>0</v>
      </c>
      <c r="K135" s="8" t="b">
        <f t="shared" ca="1" si="10"/>
        <v>0</v>
      </c>
      <c r="L135" s="8">
        <f t="shared" ca="1" si="11"/>
        <v>0</v>
      </c>
    </row>
    <row r="136" spans="1:12" ht="15.75" customHeight="1" x14ac:dyDescent="0.25">
      <c r="A136" s="4">
        <v>32590</v>
      </c>
      <c r="B136" s="4" t="s">
        <v>12</v>
      </c>
      <c r="C136" s="5">
        <v>20941</v>
      </c>
      <c r="D136" s="4" t="s">
        <v>57</v>
      </c>
      <c r="E136" s="4" t="s">
        <v>35</v>
      </c>
      <c r="F136" s="4" t="s">
        <v>15</v>
      </c>
      <c r="G136" s="6">
        <v>1157</v>
      </c>
      <c r="H136" s="7">
        <v>115668</v>
      </c>
      <c r="I136" s="145">
        <f t="shared" ca="1" si="8"/>
        <v>67</v>
      </c>
      <c r="J136" s="8" t="b">
        <f t="shared" ca="1" si="9"/>
        <v>0</v>
      </c>
      <c r="K136" s="8" t="b">
        <f t="shared" ca="1" si="10"/>
        <v>0</v>
      </c>
      <c r="L136" s="8">
        <f t="shared" ca="1" si="11"/>
        <v>0</v>
      </c>
    </row>
    <row r="137" spans="1:12" ht="15.75" customHeight="1" x14ac:dyDescent="0.25">
      <c r="A137" s="4">
        <v>128548</v>
      </c>
      <c r="B137" s="4" t="s">
        <v>12</v>
      </c>
      <c r="C137" s="5">
        <v>29774</v>
      </c>
      <c r="D137" s="4" t="s">
        <v>49</v>
      </c>
      <c r="E137" s="4" t="s">
        <v>20</v>
      </c>
      <c r="F137" s="4" t="s">
        <v>15</v>
      </c>
      <c r="G137" s="6">
        <v>1152</v>
      </c>
      <c r="H137" s="7">
        <v>115180</v>
      </c>
      <c r="I137" s="145">
        <f t="shared" ca="1" si="8"/>
        <v>42</v>
      </c>
      <c r="J137" s="8" t="b">
        <f t="shared" ca="1" si="9"/>
        <v>0</v>
      </c>
      <c r="K137" s="8" t="b">
        <f t="shared" ca="1" si="10"/>
        <v>0</v>
      </c>
      <c r="L137" s="8">
        <f t="shared" ca="1" si="11"/>
        <v>0</v>
      </c>
    </row>
    <row r="138" spans="1:12" ht="15.75" customHeight="1" x14ac:dyDescent="0.25">
      <c r="A138" s="4">
        <v>127152</v>
      </c>
      <c r="B138" s="4" t="s">
        <v>12</v>
      </c>
      <c r="C138" s="5">
        <v>33600</v>
      </c>
      <c r="D138" s="4" t="s">
        <v>60</v>
      </c>
      <c r="E138" s="4" t="s">
        <v>20</v>
      </c>
      <c r="F138" s="4" t="s">
        <v>15</v>
      </c>
      <c r="G138" s="6">
        <v>1133</v>
      </c>
      <c r="H138" s="7">
        <v>113346</v>
      </c>
      <c r="I138" s="145">
        <f t="shared" ca="1" si="8"/>
        <v>32</v>
      </c>
      <c r="J138" s="8" t="b">
        <f t="shared" ca="1" si="9"/>
        <v>1</v>
      </c>
      <c r="K138" s="8" t="b">
        <f t="shared" ca="1" si="10"/>
        <v>0</v>
      </c>
      <c r="L138" s="8">
        <f t="shared" ca="1" si="11"/>
        <v>0</v>
      </c>
    </row>
    <row r="139" spans="1:12" ht="15.75" customHeight="1" x14ac:dyDescent="0.25">
      <c r="A139" s="4">
        <v>23699</v>
      </c>
      <c r="B139" s="4" t="s">
        <v>24</v>
      </c>
      <c r="C139" s="5">
        <v>28186</v>
      </c>
      <c r="D139" s="4" t="s">
        <v>25</v>
      </c>
      <c r="E139" s="4" t="s">
        <v>26</v>
      </c>
      <c r="F139" s="4" t="s">
        <v>23</v>
      </c>
      <c r="G139" s="6">
        <v>1119</v>
      </c>
      <c r="H139" s="7">
        <v>111890</v>
      </c>
      <c r="I139" s="145">
        <f t="shared" ca="1" si="8"/>
        <v>47</v>
      </c>
      <c r="J139" s="8" t="b">
        <f t="shared" ca="1" si="9"/>
        <v>0</v>
      </c>
      <c r="K139" s="8" t="b">
        <f t="shared" ca="1" si="10"/>
        <v>1</v>
      </c>
      <c r="L139" s="8">
        <f t="shared" ca="1" si="11"/>
        <v>0</v>
      </c>
    </row>
    <row r="140" spans="1:12" ht="15.75" customHeight="1" x14ac:dyDescent="0.25">
      <c r="A140" s="4">
        <v>129289</v>
      </c>
      <c r="B140" s="4" t="s">
        <v>12</v>
      </c>
      <c r="C140" s="5">
        <v>28765</v>
      </c>
      <c r="D140" s="4" t="s">
        <v>98</v>
      </c>
      <c r="E140" s="4" t="s">
        <v>28</v>
      </c>
      <c r="F140" s="4" t="s">
        <v>23</v>
      </c>
      <c r="G140" s="6">
        <v>1112</v>
      </c>
      <c r="H140" s="7">
        <v>111180</v>
      </c>
      <c r="I140" s="145">
        <f t="shared" ca="1" si="8"/>
        <v>45</v>
      </c>
      <c r="J140" s="8" t="b">
        <f t="shared" ca="1" si="9"/>
        <v>0</v>
      </c>
      <c r="K140" s="8" t="b">
        <f t="shared" ca="1" si="10"/>
        <v>0</v>
      </c>
      <c r="L140" s="8">
        <f t="shared" ca="1" si="11"/>
        <v>0</v>
      </c>
    </row>
    <row r="141" spans="1:12" ht="15.75" customHeight="1" x14ac:dyDescent="0.25">
      <c r="A141" s="4">
        <v>21920</v>
      </c>
      <c r="B141" s="4" t="s">
        <v>24</v>
      </c>
      <c r="C141" s="5">
        <v>30458</v>
      </c>
      <c r="D141" s="4" t="s">
        <v>30</v>
      </c>
      <c r="E141" s="4" t="s">
        <v>20</v>
      </c>
      <c r="F141" s="4" t="s">
        <v>15</v>
      </c>
      <c r="G141" s="6">
        <v>1109</v>
      </c>
      <c r="H141" s="7">
        <v>110920</v>
      </c>
      <c r="I141" s="145">
        <f t="shared" ca="1" si="8"/>
        <v>41</v>
      </c>
      <c r="J141" s="8" t="b">
        <f t="shared" ca="1" si="9"/>
        <v>0</v>
      </c>
      <c r="K141" s="8" t="b">
        <f t="shared" ca="1" si="10"/>
        <v>1</v>
      </c>
      <c r="L141" s="8">
        <f t="shared" ca="1" si="11"/>
        <v>0</v>
      </c>
    </row>
    <row r="142" spans="1:12" ht="15.75" customHeight="1" x14ac:dyDescent="0.25">
      <c r="A142" s="4">
        <v>133475</v>
      </c>
      <c r="B142" s="4" t="s">
        <v>12</v>
      </c>
      <c r="C142" s="5">
        <v>23923</v>
      </c>
      <c r="D142" s="4" t="s">
        <v>112</v>
      </c>
      <c r="E142" s="4" t="s">
        <v>86</v>
      </c>
      <c r="F142" s="4" t="s">
        <v>40</v>
      </c>
      <c r="G142" s="6">
        <v>1100</v>
      </c>
      <c r="H142" s="7">
        <v>110000</v>
      </c>
      <c r="I142" s="145">
        <f t="shared" ca="1" si="8"/>
        <v>59</v>
      </c>
      <c r="J142" s="8" t="b">
        <f t="shared" ca="1" si="9"/>
        <v>0</v>
      </c>
      <c r="K142" s="8" t="b">
        <f t="shared" ca="1" si="10"/>
        <v>0</v>
      </c>
      <c r="L142" s="8">
        <f t="shared" ca="1" si="11"/>
        <v>0</v>
      </c>
    </row>
    <row r="143" spans="1:12" ht="15.75" customHeight="1" x14ac:dyDescent="0.25">
      <c r="A143" s="4">
        <v>24744</v>
      </c>
      <c r="B143" s="4" t="s">
        <v>12</v>
      </c>
      <c r="C143" s="5">
        <v>32981</v>
      </c>
      <c r="D143" s="4" t="s">
        <v>48</v>
      </c>
      <c r="E143" s="4" t="s">
        <v>20</v>
      </c>
      <c r="F143" s="4" t="s">
        <v>15</v>
      </c>
      <c r="G143" s="6">
        <v>1088</v>
      </c>
      <c r="H143" s="7">
        <v>108801</v>
      </c>
      <c r="I143" s="145">
        <f t="shared" ca="1" si="8"/>
        <v>34</v>
      </c>
      <c r="J143" s="8" t="b">
        <f t="shared" ca="1" si="9"/>
        <v>1</v>
      </c>
      <c r="K143" s="8" t="b">
        <f t="shared" ca="1" si="10"/>
        <v>0</v>
      </c>
      <c r="L143" s="8">
        <f t="shared" ca="1" si="11"/>
        <v>0</v>
      </c>
    </row>
    <row r="144" spans="1:12" ht="15.75" customHeight="1" x14ac:dyDescent="0.25">
      <c r="A144" s="4">
        <v>128012</v>
      </c>
      <c r="B144" s="4" t="s">
        <v>12</v>
      </c>
      <c r="C144" s="5">
        <v>33936</v>
      </c>
      <c r="D144" s="4" t="s">
        <v>89</v>
      </c>
      <c r="E144" s="4" t="s">
        <v>39</v>
      </c>
      <c r="F144" s="4" t="s">
        <v>40</v>
      </c>
      <c r="G144" s="6">
        <v>1085</v>
      </c>
      <c r="H144" s="7">
        <v>108480</v>
      </c>
      <c r="I144" s="145">
        <f t="shared" ca="1" si="8"/>
        <v>31</v>
      </c>
      <c r="J144" s="8" t="b">
        <f t="shared" ca="1" si="9"/>
        <v>1</v>
      </c>
      <c r="K144" s="8" t="b">
        <f t="shared" ca="1" si="10"/>
        <v>0</v>
      </c>
      <c r="L144" s="8">
        <f t="shared" ca="1" si="11"/>
        <v>0</v>
      </c>
    </row>
    <row r="145" spans="1:12" ht="15.75" customHeight="1" x14ac:dyDescent="0.25">
      <c r="A145" s="4">
        <v>22465</v>
      </c>
      <c r="B145" s="4" t="s">
        <v>12</v>
      </c>
      <c r="C145" s="5">
        <v>31134</v>
      </c>
      <c r="D145" s="4" t="s">
        <v>48</v>
      </c>
      <c r="E145" s="4" t="s">
        <v>20</v>
      </c>
      <c r="F145" s="4" t="s">
        <v>15</v>
      </c>
      <c r="G145" s="6">
        <v>1084</v>
      </c>
      <c r="H145" s="7">
        <v>108375</v>
      </c>
      <c r="I145" s="145">
        <f t="shared" ca="1" si="8"/>
        <v>39</v>
      </c>
      <c r="J145" s="8" t="b">
        <f t="shared" ca="1" si="9"/>
        <v>1</v>
      </c>
      <c r="K145" s="8" t="b">
        <f t="shared" ca="1" si="10"/>
        <v>0</v>
      </c>
      <c r="L145" s="8">
        <f t="shared" ca="1" si="11"/>
        <v>0</v>
      </c>
    </row>
    <row r="146" spans="1:12" ht="15.75" customHeight="1" x14ac:dyDescent="0.25">
      <c r="A146" s="4">
        <v>131866</v>
      </c>
      <c r="B146" s="4" t="s">
        <v>12</v>
      </c>
      <c r="C146" s="5">
        <v>24691</v>
      </c>
      <c r="D146" s="4" t="s">
        <v>113</v>
      </c>
      <c r="E146" s="4" t="s">
        <v>35</v>
      </c>
      <c r="F146" s="4" t="s">
        <v>15</v>
      </c>
      <c r="G146" s="6">
        <v>1080</v>
      </c>
      <c r="H146" s="7">
        <v>107950</v>
      </c>
      <c r="I146" s="145">
        <f t="shared" ca="1" si="8"/>
        <v>56</v>
      </c>
      <c r="J146" s="8" t="b">
        <f t="shared" ca="1" si="9"/>
        <v>0</v>
      </c>
      <c r="K146" s="8" t="b">
        <f t="shared" ca="1" si="10"/>
        <v>0</v>
      </c>
      <c r="L146" s="8">
        <f t="shared" ca="1" si="11"/>
        <v>0</v>
      </c>
    </row>
    <row r="147" spans="1:12" ht="15.75" customHeight="1" x14ac:dyDescent="0.25">
      <c r="A147" s="4">
        <v>137759</v>
      </c>
      <c r="B147" s="4" t="s">
        <v>12</v>
      </c>
      <c r="C147" s="5">
        <v>29857</v>
      </c>
      <c r="D147" s="4" t="s">
        <v>114</v>
      </c>
      <c r="E147" s="4" t="s">
        <v>17</v>
      </c>
      <c r="F147" s="4" t="s">
        <v>18</v>
      </c>
      <c r="G147" s="6">
        <v>1062</v>
      </c>
      <c r="H147" s="7">
        <v>106218</v>
      </c>
      <c r="I147" s="145">
        <f t="shared" ca="1" si="8"/>
        <v>42</v>
      </c>
      <c r="J147" s="8" t="b">
        <f t="shared" ca="1" si="9"/>
        <v>0</v>
      </c>
      <c r="K147" s="8" t="b">
        <f t="shared" ca="1" si="10"/>
        <v>0</v>
      </c>
      <c r="L147" s="8">
        <f t="shared" ca="1" si="11"/>
        <v>0</v>
      </c>
    </row>
    <row r="148" spans="1:12" ht="15.75" customHeight="1" x14ac:dyDescent="0.25">
      <c r="A148" s="4">
        <v>133441</v>
      </c>
      <c r="B148" s="4" t="s">
        <v>12</v>
      </c>
      <c r="C148" s="5">
        <v>26575</v>
      </c>
      <c r="D148" s="4" t="s">
        <v>50</v>
      </c>
      <c r="E148" s="4" t="s">
        <v>20</v>
      </c>
      <c r="F148" s="4" t="s">
        <v>15</v>
      </c>
      <c r="G148" s="6">
        <v>1053</v>
      </c>
      <c r="H148" s="7">
        <v>105280</v>
      </c>
      <c r="I148" s="145">
        <f t="shared" ca="1" si="8"/>
        <v>51</v>
      </c>
      <c r="J148" s="8" t="b">
        <f t="shared" ca="1" si="9"/>
        <v>0</v>
      </c>
      <c r="K148" s="8" t="b">
        <f t="shared" ca="1" si="10"/>
        <v>0</v>
      </c>
      <c r="L148" s="8">
        <f t="shared" ca="1" si="11"/>
        <v>0</v>
      </c>
    </row>
    <row r="149" spans="1:12" ht="15.75" customHeight="1" x14ac:dyDescent="0.25">
      <c r="A149" s="4">
        <v>128016</v>
      </c>
      <c r="B149" s="4" t="s">
        <v>12</v>
      </c>
      <c r="C149" s="5">
        <v>28692</v>
      </c>
      <c r="D149" s="4" t="s">
        <v>68</v>
      </c>
      <c r="E149" s="4" t="s">
        <v>28</v>
      </c>
      <c r="F149" s="4" t="s">
        <v>23</v>
      </c>
      <c r="G149" s="6">
        <v>1027</v>
      </c>
      <c r="H149" s="7">
        <v>102660</v>
      </c>
      <c r="I149" s="145">
        <f t="shared" ca="1" si="8"/>
        <v>45</v>
      </c>
      <c r="J149" s="8" t="b">
        <f t="shared" ca="1" si="9"/>
        <v>0</v>
      </c>
      <c r="K149" s="8" t="b">
        <f t="shared" ca="1" si="10"/>
        <v>0</v>
      </c>
      <c r="L149" s="8">
        <f t="shared" ca="1" si="11"/>
        <v>0</v>
      </c>
    </row>
    <row r="150" spans="1:12" ht="15.75" customHeight="1" x14ac:dyDescent="0.25">
      <c r="A150" s="4">
        <v>128577</v>
      </c>
      <c r="B150" s="4" t="s">
        <v>24</v>
      </c>
      <c r="C150" s="5">
        <v>32564</v>
      </c>
      <c r="D150" s="4" t="s">
        <v>46</v>
      </c>
      <c r="E150" s="4" t="s">
        <v>35</v>
      </c>
      <c r="F150" s="4" t="s">
        <v>15</v>
      </c>
      <c r="G150" s="6">
        <v>1020</v>
      </c>
      <c r="H150" s="7">
        <v>102000</v>
      </c>
      <c r="I150" s="145">
        <f t="shared" ca="1" si="8"/>
        <v>35</v>
      </c>
      <c r="J150" s="8" t="b">
        <f t="shared" ca="1" si="9"/>
        <v>0</v>
      </c>
      <c r="K150" s="8" t="b">
        <f t="shared" ca="1" si="10"/>
        <v>1</v>
      </c>
      <c r="L150" s="8">
        <f t="shared" ca="1" si="11"/>
        <v>0</v>
      </c>
    </row>
    <row r="151" spans="1:12" ht="15.75" customHeight="1" x14ac:dyDescent="0.25">
      <c r="A151" s="4">
        <v>21960</v>
      </c>
      <c r="B151" s="4" t="s">
        <v>24</v>
      </c>
      <c r="C151" s="5">
        <v>33348</v>
      </c>
      <c r="D151" s="4" t="s">
        <v>115</v>
      </c>
      <c r="E151" s="4" t="s">
        <v>116</v>
      </c>
      <c r="F151" s="4" t="s">
        <v>18</v>
      </c>
      <c r="G151" s="6">
        <v>1015</v>
      </c>
      <c r="H151" s="7">
        <v>101530</v>
      </c>
      <c r="I151" s="145">
        <f t="shared" ca="1" si="8"/>
        <v>33</v>
      </c>
      <c r="J151" s="8" t="b">
        <f t="shared" ca="1" si="9"/>
        <v>0</v>
      </c>
      <c r="K151" s="8" t="b">
        <f t="shared" ca="1" si="10"/>
        <v>1</v>
      </c>
      <c r="L151" s="8">
        <f t="shared" ca="1" si="11"/>
        <v>0</v>
      </c>
    </row>
    <row r="152" spans="1:12" ht="15.75" customHeight="1" x14ac:dyDescent="0.25">
      <c r="A152" s="4">
        <v>25925</v>
      </c>
      <c r="B152" s="4" t="s">
        <v>12</v>
      </c>
      <c r="C152" s="5">
        <v>33064</v>
      </c>
      <c r="D152" s="4" t="s">
        <v>117</v>
      </c>
      <c r="E152" s="4" t="s">
        <v>39</v>
      </c>
      <c r="F152" s="4" t="s">
        <v>40</v>
      </c>
      <c r="G152" s="6">
        <v>1015</v>
      </c>
      <c r="H152" s="7">
        <v>101466</v>
      </c>
      <c r="I152" s="145">
        <f t="shared" ca="1" si="8"/>
        <v>33</v>
      </c>
      <c r="J152" s="8" t="b">
        <f t="shared" ca="1" si="9"/>
        <v>1</v>
      </c>
      <c r="K152" s="8" t="b">
        <f t="shared" ca="1" si="10"/>
        <v>0</v>
      </c>
      <c r="L152" s="8">
        <f t="shared" ca="1" si="11"/>
        <v>0</v>
      </c>
    </row>
    <row r="153" spans="1:12" ht="15.75" customHeight="1" x14ac:dyDescent="0.25">
      <c r="A153" s="4">
        <v>21509</v>
      </c>
      <c r="B153" s="4" t="s">
        <v>24</v>
      </c>
      <c r="C153" s="5">
        <v>29486</v>
      </c>
      <c r="D153" s="4" t="s">
        <v>94</v>
      </c>
      <c r="E153" s="4" t="s">
        <v>28</v>
      </c>
      <c r="F153" s="4" t="s">
        <v>23</v>
      </c>
      <c r="G153" s="6">
        <v>1005</v>
      </c>
      <c r="H153" s="7">
        <v>100500</v>
      </c>
      <c r="I153" s="145">
        <f t="shared" ca="1" si="8"/>
        <v>43</v>
      </c>
      <c r="J153" s="8" t="b">
        <f t="shared" ca="1" si="9"/>
        <v>0</v>
      </c>
      <c r="K153" s="8" t="b">
        <f t="shared" ca="1" si="10"/>
        <v>1</v>
      </c>
      <c r="L153" s="8">
        <f t="shared" ca="1" si="11"/>
        <v>0</v>
      </c>
    </row>
    <row r="154" spans="1:12" ht="15.75" customHeight="1" x14ac:dyDescent="0.25">
      <c r="A154" s="4">
        <v>20507</v>
      </c>
      <c r="B154" s="4" t="s">
        <v>12</v>
      </c>
      <c r="C154" s="5">
        <v>26110</v>
      </c>
      <c r="D154" s="4" t="s">
        <v>50</v>
      </c>
      <c r="E154" s="4" t="s">
        <v>20</v>
      </c>
      <c r="F154" s="4" t="s">
        <v>15</v>
      </c>
      <c r="G154" s="6">
        <v>995</v>
      </c>
      <c r="H154" s="7">
        <v>99450</v>
      </c>
      <c r="I154" s="145">
        <f t="shared" ca="1" si="8"/>
        <v>53</v>
      </c>
      <c r="J154" s="8" t="b">
        <f t="shared" ca="1" si="9"/>
        <v>0</v>
      </c>
      <c r="K154" s="8" t="b">
        <f t="shared" ca="1" si="10"/>
        <v>0</v>
      </c>
      <c r="L154" s="8">
        <f t="shared" ca="1" si="11"/>
        <v>0</v>
      </c>
    </row>
    <row r="155" spans="1:12" ht="15.75" customHeight="1" x14ac:dyDescent="0.25">
      <c r="A155" s="4">
        <v>23736</v>
      </c>
      <c r="B155" s="4" t="s">
        <v>12</v>
      </c>
      <c r="C155" s="5">
        <v>25480</v>
      </c>
      <c r="D155" s="4" t="s">
        <v>75</v>
      </c>
      <c r="E155" s="4" t="s">
        <v>20</v>
      </c>
      <c r="F155" s="4" t="s">
        <v>15</v>
      </c>
      <c r="G155" s="6">
        <v>986</v>
      </c>
      <c r="H155" s="7">
        <v>98600</v>
      </c>
      <c r="I155" s="145">
        <f t="shared" ca="1" si="8"/>
        <v>54</v>
      </c>
      <c r="J155" s="8" t="b">
        <f t="shared" ca="1" si="9"/>
        <v>0</v>
      </c>
      <c r="K155" s="8" t="b">
        <f t="shared" ca="1" si="10"/>
        <v>0</v>
      </c>
      <c r="L155" s="8">
        <f t="shared" ca="1" si="11"/>
        <v>0</v>
      </c>
    </row>
    <row r="156" spans="1:12" ht="15.75" customHeight="1" x14ac:dyDescent="0.25">
      <c r="A156" s="4">
        <v>121525</v>
      </c>
      <c r="B156" s="4" t="s">
        <v>12</v>
      </c>
      <c r="C156" s="5">
        <v>32213</v>
      </c>
      <c r="D156" s="4" t="s">
        <v>118</v>
      </c>
      <c r="E156" s="4" t="s">
        <v>20</v>
      </c>
      <c r="F156" s="4" t="s">
        <v>15</v>
      </c>
      <c r="G156" s="6">
        <v>972</v>
      </c>
      <c r="H156" s="7">
        <v>97152</v>
      </c>
      <c r="I156" s="145">
        <f t="shared" ca="1" si="8"/>
        <v>36</v>
      </c>
      <c r="J156" s="8" t="b">
        <f t="shared" ca="1" si="9"/>
        <v>1</v>
      </c>
      <c r="K156" s="8" t="b">
        <f t="shared" ca="1" si="10"/>
        <v>0</v>
      </c>
      <c r="L156" s="8">
        <f t="shared" ca="1" si="11"/>
        <v>0</v>
      </c>
    </row>
    <row r="157" spans="1:12" ht="15.75" customHeight="1" x14ac:dyDescent="0.25">
      <c r="A157" s="4">
        <v>124685</v>
      </c>
      <c r="B157" s="4" t="s">
        <v>12</v>
      </c>
      <c r="C157" s="5">
        <v>33082</v>
      </c>
      <c r="D157" s="4" t="s">
        <v>46</v>
      </c>
      <c r="E157" s="4" t="s">
        <v>35</v>
      </c>
      <c r="F157" s="4" t="s">
        <v>15</v>
      </c>
      <c r="G157" s="6">
        <v>956</v>
      </c>
      <c r="H157" s="7">
        <v>95550</v>
      </c>
      <c r="I157" s="145">
        <f t="shared" ca="1" si="8"/>
        <v>33</v>
      </c>
      <c r="J157" s="8" t="b">
        <f t="shared" ca="1" si="9"/>
        <v>1</v>
      </c>
      <c r="K157" s="8" t="b">
        <f t="shared" ca="1" si="10"/>
        <v>0</v>
      </c>
      <c r="L157" s="8">
        <f t="shared" ca="1" si="11"/>
        <v>0</v>
      </c>
    </row>
    <row r="158" spans="1:12" ht="15.75" customHeight="1" x14ac:dyDescent="0.25">
      <c r="A158" s="4">
        <v>120830</v>
      </c>
      <c r="B158" s="4" t="s">
        <v>12</v>
      </c>
      <c r="C158" s="5">
        <v>28030</v>
      </c>
      <c r="D158" s="4" t="s">
        <v>65</v>
      </c>
      <c r="E158" s="4" t="s">
        <v>17</v>
      </c>
      <c r="F158" s="4" t="s">
        <v>23</v>
      </c>
      <c r="G158" s="6">
        <v>942</v>
      </c>
      <c r="H158" s="7">
        <v>94176</v>
      </c>
      <c r="I158" s="145">
        <f t="shared" ca="1" si="8"/>
        <v>47</v>
      </c>
      <c r="J158" s="8" t="b">
        <f t="shared" ca="1" si="9"/>
        <v>0</v>
      </c>
      <c r="K158" s="8" t="b">
        <f t="shared" ca="1" si="10"/>
        <v>0</v>
      </c>
      <c r="L158" s="8">
        <f t="shared" ca="1" si="11"/>
        <v>0</v>
      </c>
    </row>
    <row r="159" spans="1:12" ht="15.75" customHeight="1" x14ac:dyDescent="0.25">
      <c r="A159" s="4">
        <v>26313</v>
      </c>
      <c r="B159" s="4" t="s">
        <v>12</v>
      </c>
      <c r="C159" s="5">
        <v>32565</v>
      </c>
      <c r="D159" s="4" t="s">
        <v>21</v>
      </c>
      <c r="E159" s="4" t="s">
        <v>22</v>
      </c>
      <c r="F159" s="4" t="s">
        <v>23</v>
      </c>
      <c r="G159" s="6">
        <v>935</v>
      </c>
      <c r="H159" s="7">
        <v>93492</v>
      </c>
      <c r="I159" s="145">
        <f t="shared" ca="1" si="8"/>
        <v>35</v>
      </c>
      <c r="J159" s="8" t="b">
        <f t="shared" ca="1" si="9"/>
        <v>1</v>
      </c>
      <c r="K159" s="8" t="b">
        <f t="shared" ca="1" si="10"/>
        <v>0</v>
      </c>
      <c r="L159" s="8">
        <f t="shared" ca="1" si="11"/>
        <v>0</v>
      </c>
    </row>
    <row r="160" spans="1:12" ht="15.75" customHeight="1" x14ac:dyDescent="0.25">
      <c r="A160" s="4">
        <v>47952</v>
      </c>
      <c r="B160" s="4" t="s">
        <v>12</v>
      </c>
      <c r="C160" s="5">
        <v>36079</v>
      </c>
      <c r="D160" s="4" t="s">
        <v>54</v>
      </c>
      <c r="E160" s="4" t="s">
        <v>55</v>
      </c>
      <c r="F160" s="4" t="s">
        <v>18</v>
      </c>
      <c r="G160" s="6">
        <v>923</v>
      </c>
      <c r="H160" s="7">
        <v>92318</v>
      </c>
      <c r="I160" s="145">
        <f t="shared" ca="1" si="8"/>
        <v>25</v>
      </c>
      <c r="J160" s="8" t="b">
        <f t="shared" ca="1" si="9"/>
        <v>1</v>
      </c>
      <c r="K160" s="8" t="b">
        <f t="shared" ca="1" si="10"/>
        <v>0</v>
      </c>
      <c r="L160" s="8">
        <f t="shared" ca="1" si="11"/>
        <v>0</v>
      </c>
    </row>
    <row r="161" spans="1:12" ht="15.75" customHeight="1" x14ac:dyDescent="0.25">
      <c r="A161" s="4">
        <v>20928</v>
      </c>
      <c r="B161" s="4" t="s">
        <v>24</v>
      </c>
      <c r="C161" s="5">
        <v>28537</v>
      </c>
      <c r="D161" s="4" t="s">
        <v>70</v>
      </c>
      <c r="E161" s="4" t="s">
        <v>55</v>
      </c>
      <c r="F161" s="4" t="s">
        <v>18</v>
      </c>
      <c r="G161" s="6">
        <v>914</v>
      </c>
      <c r="H161" s="7">
        <v>91439</v>
      </c>
      <c r="I161" s="145">
        <f t="shared" ca="1" si="8"/>
        <v>46</v>
      </c>
      <c r="J161" s="8" t="b">
        <f t="shared" ca="1" si="9"/>
        <v>0</v>
      </c>
      <c r="K161" s="8" t="b">
        <f t="shared" ca="1" si="10"/>
        <v>1</v>
      </c>
      <c r="L161" s="8">
        <f t="shared" ca="1" si="11"/>
        <v>0</v>
      </c>
    </row>
    <row r="162" spans="1:12" ht="15.75" customHeight="1" x14ac:dyDescent="0.25">
      <c r="A162" s="4">
        <v>21854</v>
      </c>
      <c r="B162" s="4" t="s">
        <v>24</v>
      </c>
      <c r="C162" s="5">
        <v>32907</v>
      </c>
      <c r="D162" s="4" t="s">
        <v>60</v>
      </c>
      <c r="E162" s="4" t="s">
        <v>20</v>
      </c>
      <c r="F162" s="4" t="s">
        <v>15</v>
      </c>
      <c r="G162" s="6">
        <v>900</v>
      </c>
      <c r="H162" s="7">
        <v>90000</v>
      </c>
      <c r="I162" s="145">
        <f t="shared" ca="1" si="8"/>
        <v>34</v>
      </c>
      <c r="J162" s="8" t="b">
        <f t="shared" ca="1" si="9"/>
        <v>0</v>
      </c>
      <c r="K162" s="8" t="b">
        <f t="shared" ca="1" si="10"/>
        <v>1</v>
      </c>
      <c r="L162" s="8">
        <f t="shared" ca="1" si="11"/>
        <v>0</v>
      </c>
    </row>
    <row r="163" spans="1:12" ht="15.75" customHeight="1" x14ac:dyDescent="0.25">
      <c r="A163" s="4">
        <v>20646</v>
      </c>
      <c r="B163" s="4" t="s">
        <v>12</v>
      </c>
      <c r="C163" s="5">
        <v>24136</v>
      </c>
      <c r="D163" s="4" t="s">
        <v>54</v>
      </c>
      <c r="E163" s="4" t="s">
        <v>55</v>
      </c>
      <c r="F163" s="4" t="s">
        <v>18</v>
      </c>
      <c r="G163" s="6">
        <v>894</v>
      </c>
      <c r="H163" s="7">
        <v>89400</v>
      </c>
      <c r="I163" s="145">
        <f t="shared" ca="1" si="8"/>
        <v>58</v>
      </c>
      <c r="J163" s="8" t="b">
        <f t="shared" ca="1" si="9"/>
        <v>0</v>
      </c>
      <c r="K163" s="8" t="b">
        <f t="shared" ca="1" si="10"/>
        <v>0</v>
      </c>
      <c r="L163" s="8">
        <f t="shared" ca="1" si="11"/>
        <v>0</v>
      </c>
    </row>
    <row r="164" spans="1:12" ht="15.75" customHeight="1" x14ac:dyDescent="0.25">
      <c r="A164" s="4">
        <v>130329</v>
      </c>
      <c r="B164" s="4" t="s">
        <v>12</v>
      </c>
      <c r="C164" s="5">
        <v>28205</v>
      </c>
      <c r="D164" s="4" t="s">
        <v>59</v>
      </c>
      <c r="E164" s="4" t="s">
        <v>28</v>
      </c>
      <c r="F164" s="4" t="s">
        <v>23</v>
      </c>
      <c r="G164" s="6">
        <v>887</v>
      </c>
      <c r="H164" s="7">
        <v>88722</v>
      </c>
      <c r="I164" s="145">
        <f t="shared" ca="1" si="8"/>
        <v>47</v>
      </c>
      <c r="J164" s="8" t="b">
        <f t="shared" ca="1" si="9"/>
        <v>0</v>
      </c>
      <c r="K164" s="8" t="b">
        <f t="shared" ca="1" si="10"/>
        <v>0</v>
      </c>
      <c r="L164" s="8">
        <f t="shared" ca="1" si="11"/>
        <v>0</v>
      </c>
    </row>
    <row r="165" spans="1:12" ht="15.75" customHeight="1" x14ac:dyDescent="0.25">
      <c r="A165" s="4">
        <v>22396</v>
      </c>
      <c r="B165" s="4" t="s">
        <v>12</v>
      </c>
      <c r="C165" s="5">
        <v>29682</v>
      </c>
      <c r="D165" s="4" t="s">
        <v>45</v>
      </c>
      <c r="E165" s="4" t="s">
        <v>28</v>
      </c>
      <c r="F165" s="4" t="s">
        <v>23</v>
      </c>
      <c r="G165" s="6">
        <v>875</v>
      </c>
      <c r="H165" s="7">
        <v>87503</v>
      </c>
      <c r="I165" s="145">
        <f t="shared" ca="1" si="8"/>
        <v>43</v>
      </c>
      <c r="J165" s="8" t="b">
        <f t="shared" ca="1" si="9"/>
        <v>0</v>
      </c>
      <c r="K165" s="8" t="b">
        <f t="shared" ca="1" si="10"/>
        <v>0</v>
      </c>
      <c r="L165" s="8">
        <f t="shared" ca="1" si="11"/>
        <v>0</v>
      </c>
    </row>
    <row r="166" spans="1:12" ht="15.75" customHeight="1" x14ac:dyDescent="0.25">
      <c r="A166" s="4">
        <v>24603</v>
      </c>
      <c r="B166" s="4" t="s">
        <v>24</v>
      </c>
      <c r="C166" s="5">
        <v>26052</v>
      </c>
      <c r="D166" s="4" t="s">
        <v>48</v>
      </c>
      <c r="E166" s="4" t="s">
        <v>20</v>
      </c>
      <c r="F166" s="4" t="s">
        <v>15</v>
      </c>
      <c r="G166" s="6">
        <v>868</v>
      </c>
      <c r="H166" s="7">
        <v>86800</v>
      </c>
      <c r="I166" s="145">
        <f t="shared" ca="1" si="8"/>
        <v>53</v>
      </c>
      <c r="J166" s="8" t="b">
        <f t="shared" ca="1" si="9"/>
        <v>0</v>
      </c>
      <c r="K166" s="8" t="b">
        <f t="shared" ca="1" si="10"/>
        <v>0</v>
      </c>
      <c r="L166" s="8">
        <f t="shared" ca="1" si="11"/>
        <v>10000</v>
      </c>
    </row>
    <row r="167" spans="1:12" ht="15.75" customHeight="1" x14ac:dyDescent="0.25">
      <c r="A167" s="4">
        <v>21211</v>
      </c>
      <c r="B167" s="4" t="s">
        <v>24</v>
      </c>
      <c r="C167" s="5">
        <v>24170</v>
      </c>
      <c r="D167" s="4" t="s">
        <v>48</v>
      </c>
      <c r="E167" s="4" t="s">
        <v>20</v>
      </c>
      <c r="F167" s="4" t="s">
        <v>15</v>
      </c>
      <c r="G167" s="6">
        <v>862</v>
      </c>
      <c r="H167" s="7">
        <v>86150</v>
      </c>
      <c r="I167" s="145">
        <f t="shared" ca="1" si="8"/>
        <v>58</v>
      </c>
      <c r="J167" s="8" t="b">
        <f t="shared" ca="1" si="9"/>
        <v>0</v>
      </c>
      <c r="K167" s="8" t="b">
        <f t="shared" ca="1" si="10"/>
        <v>0</v>
      </c>
      <c r="L167" s="8">
        <f t="shared" ca="1" si="11"/>
        <v>10000</v>
      </c>
    </row>
    <row r="168" spans="1:12" ht="15.75" customHeight="1" x14ac:dyDescent="0.25">
      <c r="A168" s="4">
        <v>136940</v>
      </c>
      <c r="B168" s="4" t="s">
        <v>12</v>
      </c>
      <c r="C168" s="5">
        <v>28493</v>
      </c>
      <c r="D168" s="4" t="s">
        <v>77</v>
      </c>
      <c r="E168" s="4" t="s">
        <v>26</v>
      </c>
      <c r="F168" s="4" t="s">
        <v>23</v>
      </c>
      <c r="G168" s="6">
        <v>854</v>
      </c>
      <c r="H168" s="7">
        <v>85400</v>
      </c>
      <c r="I168" s="145">
        <f t="shared" ca="1" si="8"/>
        <v>46</v>
      </c>
      <c r="J168" s="8" t="b">
        <f t="shared" ca="1" si="9"/>
        <v>0</v>
      </c>
      <c r="K168" s="8" t="b">
        <f t="shared" ca="1" si="10"/>
        <v>0</v>
      </c>
      <c r="L168" s="8">
        <f t="shared" ca="1" si="11"/>
        <v>0</v>
      </c>
    </row>
    <row r="169" spans="1:12" ht="15.75" customHeight="1" x14ac:dyDescent="0.25">
      <c r="A169" s="4">
        <v>21274</v>
      </c>
      <c r="B169" s="4" t="s">
        <v>24</v>
      </c>
      <c r="C169" s="5">
        <v>27670</v>
      </c>
      <c r="D169" s="4" t="s">
        <v>13</v>
      </c>
      <c r="E169" s="4" t="s">
        <v>14</v>
      </c>
      <c r="F169" s="4" t="s">
        <v>15</v>
      </c>
      <c r="G169" s="6">
        <v>842</v>
      </c>
      <c r="H169" s="7">
        <v>84175</v>
      </c>
      <c r="I169" s="145">
        <f t="shared" ca="1" si="8"/>
        <v>48</v>
      </c>
      <c r="J169" s="8" t="b">
        <f t="shared" ca="1" si="9"/>
        <v>0</v>
      </c>
      <c r="K169" s="8" t="b">
        <f t="shared" ca="1" si="10"/>
        <v>1</v>
      </c>
      <c r="L169" s="8">
        <f t="shared" ca="1" si="11"/>
        <v>0</v>
      </c>
    </row>
    <row r="170" spans="1:12" ht="15.75" customHeight="1" x14ac:dyDescent="0.25">
      <c r="A170" s="4">
        <v>20757</v>
      </c>
      <c r="B170" s="4" t="s">
        <v>12</v>
      </c>
      <c r="C170" s="5">
        <v>25764</v>
      </c>
      <c r="D170" s="4" t="s">
        <v>46</v>
      </c>
      <c r="E170" s="4" t="s">
        <v>35</v>
      </c>
      <c r="F170" s="4" t="s">
        <v>15</v>
      </c>
      <c r="G170" s="6">
        <v>841</v>
      </c>
      <c r="H170" s="7">
        <v>84075</v>
      </c>
      <c r="I170" s="145">
        <f t="shared" ca="1" si="8"/>
        <v>53</v>
      </c>
      <c r="J170" s="8" t="b">
        <f t="shared" ca="1" si="9"/>
        <v>0</v>
      </c>
      <c r="K170" s="8" t="b">
        <f t="shared" ca="1" si="10"/>
        <v>0</v>
      </c>
      <c r="L170" s="8">
        <f t="shared" ca="1" si="11"/>
        <v>0</v>
      </c>
    </row>
    <row r="171" spans="1:12" ht="15.75" customHeight="1" x14ac:dyDescent="0.25">
      <c r="A171" s="4">
        <v>20965</v>
      </c>
      <c r="B171" s="4" t="s">
        <v>12</v>
      </c>
      <c r="C171" s="5">
        <v>28786</v>
      </c>
      <c r="D171" s="4" t="s">
        <v>119</v>
      </c>
      <c r="E171" s="4" t="s">
        <v>14</v>
      </c>
      <c r="F171" s="4" t="s">
        <v>15</v>
      </c>
      <c r="G171" s="6">
        <v>840</v>
      </c>
      <c r="H171" s="7">
        <v>84000</v>
      </c>
      <c r="I171" s="145">
        <f t="shared" ca="1" si="8"/>
        <v>45</v>
      </c>
      <c r="J171" s="8" t="b">
        <f t="shared" ca="1" si="9"/>
        <v>0</v>
      </c>
      <c r="K171" s="8" t="b">
        <f t="shared" ca="1" si="10"/>
        <v>0</v>
      </c>
      <c r="L171" s="8">
        <f t="shared" ca="1" si="11"/>
        <v>0</v>
      </c>
    </row>
    <row r="172" spans="1:12" ht="15.75" customHeight="1" x14ac:dyDescent="0.25">
      <c r="A172" s="4">
        <v>22403</v>
      </c>
      <c r="B172" s="4" t="s">
        <v>12</v>
      </c>
      <c r="C172" s="5">
        <v>22922</v>
      </c>
      <c r="D172" s="4" t="s">
        <v>32</v>
      </c>
      <c r="E172" s="4" t="s">
        <v>20</v>
      </c>
      <c r="F172" s="4" t="s">
        <v>15</v>
      </c>
      <c r="G172" s="6">
        <v>839</v>
      </c>
      <c r="H172" s="7">
        <v>83900</v>
      </c>
      <c r="I172" s="145">
        <f t="shared" ca="1" si="8"/>
        <v>61</v>
      </c>
      <c r="J172" s="8" t="b">
        <f t="shared" ca="1" si="9"/>
        <v>0</v>
      </c>
      <c r="K172" s="8" t="b">
        <f t="shared" ca="1" si="10"/>
        <v>0</v>
      </c>
      <c r="L172" s="8">
        <f t="shared" ca="1" si="11"/>
        <v>0</v>
      </c>
    </row>
    <row r="173" spans="1:12" ht="15.75" customHeight="1" x14ac:dyDescent="0.25">
      <c r="A173" s="4">
        <v>137765</v>
      </c>
      <c r="B173" s="4" t="s">
        <v>12</v>
      </c>
      <c r="C173" s="5">
        <v>31687</v>
      </c>
      <c r="D173" s="4" t="s">
        <v>120</v>
      </c>
      <c r="E173" s="4" t="s">
        <v>28</v>
      </c>
      <c r="F173" s="4" t="s">
        <v>23</v>
      </c>
      <c r="G173" s="6">
        <v>838</v>
      </c>
      <c r="H173" s="7">
        <v>83810</v>
      </c>
      <c r="I173" s="145">
        <f t="shared" ca="1" si="8"/>
        <v>37</v>
      </c>
      <c r="J173" s="8" t="b">
        <f t="shared" ca="1" si="9"/>
        <v>1</v>
      </c>
      <c r="K173" s="8" t="b">
        <f t="shared" ca="1" si="10"/>
        <v>0</v>
      </c>
      <c r="L173" s="8">
        <f t="shared" ca="1" si="11"/>
        <v>0</v>
      </c>
    </row>
    <row r="174" spans="1:12" ht="15.75" customHeight="1" x14ac:dyDescent="0.25">
      <c r="A174" s="4">
        <v>129792</v>
      </c>
      <c r="B174" s="4" t="s">
        <v>12</v>
      </c>
      <c r="C174" s="5">
        <v>25479</v>
      </c>
      <c r="D174" s="4" t="s">
        <v>61</v>
      </c>
      <c r="E174" s="4" t="s">
        <v>26</v>
      </c>
      <c r="F174" s="4" t="s">
        <v>23</v>
      </c>
      <c r="G174" s="6">
        <v>832</v>
      </c>
      <c r="H174" s="7">
        <v>83216</v>
      </c>
      <c r="I174" s="145">
        <f t="shared" ca="1" si="8"/>
        <v>54</v>
      </c>
      <c r="J174" s="8" t="b">
        <f t="shared" ca="1" si="9"/>
        <v>0</v>
      </c>
      <c r="K174" s="8" t="b">
        <f t="shared" ca="1" si="10"/>
        <v>0</v>
      </c>
      <c r="L174" s="8">
        <f t="shared" ca="1" si="11"/>
        <v>0</v>
      </c>
    </row>
    <row r="175" spans="1:12" ht="15.75" customHeight="1" x14ac:dyDescent="0.25">
      <c r="A175" s="4">
        <v>137115</v>
      </c>
      <c r="B175" s="4" t="s">
        <v>24</v>
      </c>
      <c r="C175" s="5">
        <v>18807</v>
      </c>
      <c r="D175" s="4" t="s">
        <v>25</v>
      </c>
      <c r="E175" s="4" t="s">
        <v>26</v>
      </c>
      <c r="F175" s="4" t="s">
        <v>23</v>
      </c>
      <c r="G175" s="6">
        <v>830</v>
      </c>
      <c r="H175" s="7">
        <v>82956</v>
      </c>
      <c r="I175" s="145">
        <f t="shared" ca="1" si="8"/>
        <v>73</v>
      </c>
      <c r="J175" s="8" t="b">
        <f t="shared" ca="1" si="9"/>
        <v>0</v>
      </c>
      <c r="K175" s="8" t="b">
        <f t="shared" ca="1" si="10"/>
        <v>0</v>
      </c>
      <c r="L175" s="8">
        <f t="shared" ca="1" si="11"/>
        <v>10000</v>
      </c>
    </row>
    <row r="176" spans="1:12" ht="15.75" customHeight="1" x14ac:dyDescent="0.25">
      <c r="A176" s="4">
        <v>26523</v>
      </c>
      <c r="B176" s="4" t="s">
        <v>12</v>
      </c>
      <c r="C176" s="5">
        <v>27287</v>
      </c>
      <c r="D176" s="4" t="s">
        <v>50</v>
      </c>
      <c r="E176" s="4" t="s">
        <v>20</v>
      </c>
      <c r="F176" s="4" t="s">
        <v>15</v>
      </c>
      <c r="G176" s="6">
        <v>815</v>
      </c>
      <c r="H176" s="7">
        <v>81522</v>
      </c>
      <c r="I176" s="145">
        <f t="shared" ca="1" si="8"/>
        <v>49</v>
      </c>
      <c r="J176" s="8" t="b">
        <f t="shared" ca="1" si="9"/>
        <v>0</v>
      </c>
      <c r="K176" s="8" t="b">
        <f t="shared" ca="1" si="10"/>
        <v>0</v>
      </c>
      <c r="L176" s="8">
        <f t="shared" ca="1" si="11"/>
        <v>0</v>
      </c>
    </row>
    <row r="177" spans="1:12" ht="15.75" customHeight="1" x14ac:dyDescent="0.25">
      <c r="A177" s="4">
        <v>140383</v>
      </c>
      <c r="B177" s="4" t="s">
        <v>24</v>
      </c>
      <c r="C177" s="5">
        <v>26782</v>
      </c>
      <c r="D177" s="4" t="s">
        <v>30</v>
      </c>
      <c r="E177" s="4" t="s">
        <v>20</v>
      </c>
      <c r="F177" s="4" t="s">
        <v>15</v>
      </c>
      <c r="G177" s="6">
        <v>813</v>
      </c>
      <c r="H177" s="7">
        <v>81345</v>
      </c>
      <c r="I177" s="145">
        <f t="shared" ca="1" si="8"/>
        <v>51</v>
      </c>
      <c r="J177" s="8" t="b">
        <f t="shared" ca="1" si="9"/>
        <v>0</v>
      </c>
      <c r="K177" s="8" t="b">
        <f t="shared" ca="1" si="10"/>
        <v>0</v>
      </c>
      <c r="L177" s="8">
        <f t="shared" ca="1" si="11"/>
        <v>10000</v>
      </c>
    </row>
    <row r="178" spans="1:12" ht="15.75" customHeight="1" x14ac:dyDescent="0.25">
      <c r="A178" s="4">
        <v>125074</v>
      </c>
      <c r="B178" s="4" t="s">
        <v>12</v>
      </c>
      <c r="C178" s="5">
        <v>31603</v>
      </c>
      <c r="D178" s="4" t="s">
        <v>75</v>
      </c>
      <c r="E178" s="4" t="s">
        <v>20</v>
      </c>
      <c r="F178" s="4" t="s">
        <v>15</v>
      </c>
      <c r="G178" s="6">
        <v>804</v>
      </c>
      <c r="H178" s="7">
        <v>80400</v>
      </c>
      <c r="I178" s="145">
        <f t="shared" ca="1" si="8"/>
        <v>37</v>
      </c>
      <c r="J178" s="8" t="b">
        <f t="shared" ca="1" si="9"/>
        <v>1</v>
      </c>
      <c r="K178" s="8" t="b">
        <f t="shared" ca="1" si="10"/>
        <v>0</v>
      </c>
      <c r="L178" s="8">
        <f t="shared" ca="1" si="11"/>
        <v>0</v>
      </c>
    </row>
    <row r="179" spans="1:12" ht="15.75" customHeight="1" x14ac:dyDescent="0.25">
      <c r="A179" s="4">
        <v>20512</v>
      </c>
      <c r="B179" s="4" t="s">
        <v>24</v>
      </c>
      <c r="C179" s="5">
        <v>33527</v>
      </c>
      <c r="D179" s="4" t="s">
        <v>81</v>
      </c>
      <c r="E179" s="4" t="s">
        <v>39</v>
      </c>
      <c r="F179" s="4" t="s">
        <v>40</v>
      </c>
      <c r="G179" s="6">
        <v>770</v>
      </c>
      <c r="H179" s="7">
        <v>77000</v>
      </c>
      <c r="I179" s="145">
        <f t="shared" ca="1" si="8"/>
        <v>32</v>
      </c>
      <c r="J179" s="8" t="b">
        <f t="shared" ca="1" si="9"/>
        <v>0</v>
      </c>
      <c r="K179" s="8" t="b">
        <f t="shared" ca="1" si="10"/>
        <v>1</v>
      </c>
      <c r="L179" s="8">
        <f t="shared" ca="1" si="11"/>
        <v>0</v>
      </c>
    </row>
    <row r="180" spans="1:12" ht="15.75" customHeight="1" x14ac:dyDescent="0.25">
      <c r="A180" s="4">
        <v>123434</v>
      </c>
      <c r="B180" s="4" t="s">
        <v>12</v>
      </c>
      <c r="C180" s="5">
        <v>27239</v>
      </c>
      <c r="D180" s="4" t="s">
        <v>70</v>
      </c>
      <c r="E180" s="4" t="s">
        <v>55</v>
      </c>
      <c r="F180" s="4" t="s">
        <v>18</v>
      </c>
      <c r="G180" s="6">
        <v>765</v>
      </c>
      <c r="H180" s="7">
        <v>76505</v>
      </c>
      <c r="I180" s="145">
        <f t="shared" ca="1" si="8"/>
        <v>49</v>
      </c>
      <c r="J180" s="8" t="b">
        <f t="shared" ca="1" si="9"/>
        <v>0</v>
      </c>
      <c r="K180" s="8" t="b">
        <f t="shared" ca="1" si="10"/>
        <v>0</v>
      </c>
      <c r="L180" s="8">
        <f t="shared" ca="1" si="11"/>
        <v>0</v>
      </c>
    </row>
    <row r="181" spans="1:12" ht="15.75" customHeight="1" x14ac:dyDescent="0.25">
      <c r="A181" s="4">
        <v>26481</v>
      </c>
      <c r="B181" s="4" t="s">
        <v>12</v>
      </c>
      <c r="C181" s="5">
        <v>28030</v>
      </c>
      <c r="D181" s="4" t="s">
        <v>49</v>
      </c>
      <c r="E181" s="4" t="s">
        <v>20</v>
      </c>
      <c r="F181" s="4" t="s">
        <v>15</v>
      </c>
      <c r="G181" s="6">
        <v>765</v>
      </c>
      <c r="H181" s="7">
        <v>76500</v>
      </c>
      <c r="I181" s="145">
        <f t="shared" ca="1" si="8"/>
        <v>47</v>
      </c>
      <c r="J181" s="8" t="b">
        <f t="shared" ca="1" si="9"/>
        <v>0</v>
      </c>
      <c r="K181" s="8" t="b">
        <f t="shared" ca="1" si="10"/>
        <v>0</v>
      </c>
      <c r="L181" s="8">
        <f t="shared" ca="1" si="11"/>
        <v>0</v>
      </c>
    </row>
    <row r="182" spans="1:12" ht="15.75" customHeight="1" x14ac:dyDescent="0.25">
      <c r="A182" s="4">
        <v>126829</v>
      </c>
      <c r="B182" s="4" t="s">
        <v>24</v>
      </c>
      <c r="C182" s="5">
        <v>33066</v>
      </c>
      <c r="D182" s="4" t="s">
        <v>19</v>
      </c>
      <c r="E182" s="4" t="s">
        <v>20</v>
      </c>
      <c r="F182" s="4" t="s">
        <v>15</v>
      </c>
      <c r="G182" s="6">
        <v>762</v>
      </c>
      <c r="H182" s="7">
        <v>76232</v>
      </c>
      <c r="I182" s="145">
        <f t="shared" ca="1" si="8"/>
        <v>33</v>
      </c>
      <c r="J182" s="8" t="b">
        <f t="shared" ca="1" si="9"/>
        <v>0</v>
      </c>
      <c r="K182" s="8" t="b">
        <f t="shared" ca="1" si="10"/>
        <v>1</v>
      </c>
      <c r="L182" s="8">
        <f t="shared" ca="1" si="11"/>
        <v>0</v>
      </c>
    </row>
    <row r="183" spans="1:12" ht="15.75" customHeight="1" x14ac:dyDescent="0.25">
      <c r="A183" s="4">
        <v>20765</v>
      </c>
      <c r="B183" s="4" t="s">
        <v>12</v>
      </c>
      <c r="C183" s="5">
        <v>32470</v>
      </c>
      <c r="D183" s="4" t="s">
        <v>121</v>
      </c>
      <c r="E183" s="4" t="s">
        <v>14</v>
      </c>
      <c r="F183" s="4" t="s">
        <v>15</v>
      </c>
      <c r="G183" s="6">
        <v>756</v>
      </c>
      <c r="H183" s="7">
        <v>75579</v>
      </c>
      <c r="I183" s="145">
        <f t="shared" ca="1" si="8"/>
        <v>35</v>
      </c>
      <c r="J183" s="8" t="b">
        <f t="shared" ca="1" si="9"/>
        <v>1</v>
      </c>
      <c r="K183" s="8" t="b">
        <f t="shared" ca="1" si="10"/>
        <v>0</v>
      </c>
      <c r="L183" s="8">
        <f t="shared" ca="1" si="11"/>
        <v>0</v>
      </c>
    </row>
    <row r="184" spans="1:12" ht="15.75" customHeight="1" x14ac:dyDescent="0.25">
      <c r="A184" s="4">
        <v>27415</v>
      </c>
      <c r="B184" s="4" t="s">
        <v>12</v>
      </c>
      <c r="C184" s="5">
        <v>32811</v>
      </c>
      <c r="D184" s="4" t="s">
        <v>122</v>
      </c>
      <c r="E184" s="4" t="s">
        <v>123</v>
      </c>
      <c r="F184" s="4" t="s">
        <v>40</v>
      </c>
      <c r="G184" s="6">
        <v>755</v>
      </c>
      <c r="H184" s="7">
        <v>75500</v>
      </c>
      <c r="I184" s="145">
        <f t="shared" ca="1" si="8"/>
        <v>34</v>
      </c>
      <c r="J184" s="8" t="b">
        <f t="shared" ca="1" si="9"/>
        <v>1</v>
      </c>
      <c r="K184" s="8" t="b">
        <f t="shared" ca="1" si="10"/>
        <v>0</v>
      </c>
      <c r="L184" s="8">
        <f t="shared" ca="1" si="11"/>
        <v>0</v>
      </c>
    </row>
    <row r="185" spans="1:12" ht="15.75" customHeight="1" x14ac:dyDescent="0.25">
      <c r="A185" s="4">
        <v>20942</v>
      </c>
      <c r="B185" s="4" t="s">
        <v>12</v>
      </c>
      <c r="C185" s="5">
        <v>33320</v>
      </c>
      <c r="D185" s="4" t="s">
        <v>29</v>
      </c>
      <c r="E185" s="4" t="s">
        <v>14</v>
      </c>
      <c r="F185" s="4" t="s">
        <v>15</v>
      </c>
      <c r="G185" s="6">
        <v>753</v>
      </c>
      <c r="H185" s="7">
        <v>75270</v>
      </c>
      <c r="I185" s="145">
        <f t="shared" ca="1" si="8"/>
        <v>33</v>
      </c>
      <c r="J185" s="8" t="b">
        <f t="shared" ca="1" si="9"/>
        <v>1</v>
      </c>
      <c r="K185" s="8" t="b">
        <f t="shared" ca="1" si="10"/>
        <v>0</v>
      </c>
      <c r="L185" s="8">
        <f t="shared" ca="1" si="11"/>
        <v>0</v>
      </c>
    </row>
    <row r="186" spans="1:12" ht="15.75" customHeight="1" x14ac:dyDescent="0.25">
      <c r="A186" s="4">
        <v>129923</v>
      </c>
      <c r="B186" s="4" t="s">
        <v>12</v>
      </c>
      <c r="C186" s="5">
        <v>32120</v>
      </c>
      <c r="D186" s="4" t="s">
        <v>61</v>
      </c>
      <c r="E186" s="4" t="s">
        <v>26</v>
      </c>
      <c r="F186" s="4" t="s">
        <v>23</v>
      </c>
      <c r="G186" s="6">
        <v>751</v>
      </c>
      <c r="H186" s="7">
        <v>75096</v>
      </c>
      <c r="I186" s="145">
        <f t="shared" ca="1" si="8"/>
        <v>36</v>
      </c>
      <c r="J186" s="8" t="b">
        <f t="shared" ca="1" si="9"/>
        <v>1</v>
      </c>
      <c r="K186" s="8" t="b">
        <f t="shared" ca="1" si="10"/>
        <v>0</v>
      </c>
      <c r="L186" s="8">
        <f t="shared" ca="1" si="11"/>
        <v>0</v>
      </c>
    </row>
    <row r="187" spans="1:12" ht="15.75" customHeight="1" x14ac:dyDescent="0.25">
      <c r="A187" s="4">
        <v>131568</v>
      </c>
      <c r="B187" s="4" t="s">
        <v>12</v>
      </c>
      <c r="C187" s="5">
        <v>27168</v>
      </c>
      <c r="D187" s="4" t="s">
        <v>60</v>
      </c>
      <c r="E187" s="4" t="s">
        <v>20</v>
      </c>
      <c r="F187" s="4" t="s">
        <v>15</v>
      </c>
      <c r="G187" s="6">
        <v>748</v>
      </c>
      <c r="H187" s="7">
        <v>74772</v>
      </c>
      <c r="I187" s="145">
        <f t="shared" ca="1" si="8"/>
        <v>50</v>
      </c>
      <c r="J187" s="8" t="b">
        <f t="shared" ca="1" si="9"/>
        <v>0</v>
      </c>
      <c r="K187" s="8" t="b">
        <f t="shared" ca="1" si="10"/>
        <v>0</v>
      </c>
      <c r="L187" s="8">
        <f t="shared" ca="1" si="11"/>
        <v>0</v>
      </c>
    </row>
    <row r="188" spans="1:12" ht="15.75" customHeight="1" x14ac:dyDescent="0.25">
      <c r="A188" s="4">
        <v>20908</v>
      </c>
      <c r="B188" s="4" t="s">
        <v>24</v>
      </c>
      <c r="C188" s="5">
        <v>24768</v>
      </c>
      <c r="D188" s="4" t="s">
        <v>114</v>
      </c>
      <c r="E188" s="4" t="s">
        <v>17</v>
      </c>
      <c r="F188" s="4" t="s">
        <v>18</v>
      </c>
      <c r="G188" s="6">
        <v>741</v>
      </c>
      <c r="H188" s="7">
        <v>74124</v>
      </c>
      <c r="I188" s="145">
        <f t="shared" ca="1" si="8"/>
        <v>56</v>
      </c>
      <c r="J188" s="8" t="b">
        <f t="shared" ca="1" si="9"/>
        <v>0</v>
      </c>
      <c r="K188" s="8" t="b">
        <f t="shared" ca="1" si="10"/>
        <v>0</v>
      </c>
      <c r="L188" s="8">
        <f t="shared" ca="1" si="11"/>
        <v>10000</v>
      </c>
    </row>
    <row r="189" spans="1:12" ht="15.75" customHeight="1" x14ac:dyDescent="0.25">
      <c r="A189" s="4">
        <v>21895</v>
      </c>
      <c r="B189" s="4" t="s">
        <v>24</v>
      </c>
      <c r="C189" s="5">
        <v>32994</v>
      </c>
      <c r="D189" s="4" t="s">
        <v>45</v>
      </c>
      <c r="E189" s="4" t="s">
        <v>28</v>
      </c>
      <c r="F189" s="4" t="s">
        <v>23</v>
      </c>
      <c r="G189" s="6">
        <v>731</v>
      </c>
      <c r="H189" s="7">
        <v>73060</v>
      </c>
      <c r="I189" s="145">
        <f t="shared" ca="1" si="8"/>
        <v>34</v>
      </c>
      <c r="J189" s="8" t="b">
        <f t="shared" ca="1" si="9"/>
        <v>0</v>
      </c>
      <c r="K189" s="8" t="b">
        <f t="shared" ca="1" si="10"/>
        <v>1</v>
      </c>
      <c r="L189" s="8">
        <f t="shared" ca="1" si="11"/>
        <v>0</v>
      </c>
    </row>
    <row r="190" spans="1:12" ht="15.75" customHeight="1" x14ac:dyDescent="0.25">
      <c r="A190" s="4">
        <v>21159</v>
      </c>
      <c r="B190" s="4" t="s">
        <v>12</v>
      </c>
      <c r="C190" s="5">
        <v>31231</v>
      </c>
      <c r="D190" s="4" t="s">
        <v>78</v>
      </c>
      <c r="E190" s="4" t="s">
        <v>74</v>
      </c>
      <c r="F190" s="4" t="s">
        <v>79</v>
      </c>
      <c r="G190" s="6">
        <v>715</v>
      </c>
      <c r="H190" s="7">
        <v>71460</v>
      </c>
      <c r="I190" s="145">
        <f t="shared" ca="1" si="8"/>
        <v>39</v>
      </c>
      <c r="J190" s="8" t="b">
        <f t="shared" ca="1" si="9"/>
        <v>1</v>
      </c>
      <c r="K190" s="8" t="b">
        <f t="shared" ca="1" si="10"/>
        <v>0</v>
      </c>
      <c r="L190" s="8">
        <f t="shared" ca="1" si="11"/>
        <v>0</v>
      </c>
    </row>
    <row r="191" spans="1:12" ht="15.75" customHeight="1" x14ac:dyDescent="0.25">
      <c r="A191" s="4">
        <v>22335</v>
      </c>
      <c r="B191" s="4" t="s">
        <v>12</v>
      </c>
      <c r="C191" s="5">
        <v>30021</v>
      </c>
      <c r="D191" s="4" t="s">
        <v>41</v>
      </c>
      <c r="E191" s="4" t="s">
        <v>20</v>
      </c>
      <c r="F191" s="4" t="s">
        <v>15</v>
      </c>
      <c r="G191" s="6">
        <v>707</v>
      </c>
      <c r="H191" s="7">
        <v>70680</v>
      </c>
      <c r="I191" s="145">
        <f t="shared" ca="1" si="8"/>
        <v>42</v>
      </c>
      <c r="J191" s="8" t="b">
        <f t="shared" ca="1" si="9"/>
        <v>0</v>
      </c>
      <c r="K191" s="8" t="b">
        <f t="shared" ca="1" si="10"/>
        <v>0</v>
      </c>
      <c r="L191" s="8">
        <f t="shared" ca="1" si="11"/>
        <v>0</v>
      </c>
    </row>
    <row r="192" spans="1:12" ht="15.75" customHeight="1" x14ac:dyDescent="0.25">
      <c r="A192" s="4">
        <v>22543</v>
      </c>
      <c r="B192" s="4" t="s">
        <v>12</v>
      </c>
      <c r="C192" s="5">
        <v>23944</v>
      </c>
      <c r="D192" s="4" t="s">
        <v>124</v>
      </c>
      <c r="E192" s="4" t="s">
        <v>14</v>
      </c>
      <c r="F192" s="4" t="s">
        <v>15</v>
      </c>
      <c r="G192" s="6">
        <v>684</v>
      </c>
      <c r="H192" s="7">
        <v>68440</v>
      </c>
      <c r="I192" s="145">
        <f t="shared" ca="1" si="8"/>
        <v>58</v>
      </c>
      <c r="J192" s="8" t="b">
        <f t="shared" ca="1" si="9"/>
        <v>0</v>
      </c>
      <c r="K192" s="8" t="b">
        <f t="shared" ca="1" si="10"/>
        <v>0</v>
      </c>
      <c r="L192" s="8">
        <f t="shared" ca="1" si="11"/>
        <v>0</v>
      </c>
    </row>
    <row r="193" spans="1:12" ht="15.75" customHeight="1" x14ac:dyDescent="0.25">
      <c r="A193" s="4">
        <v>22757</v>
      </c>
      <c r="B193" s="4" t="s">
        <v>24</v>
      </c>
      <c r="C193" s="5">
        <v>29497</v>
      </c>
      <c r="D193" s="4" t="s">
        <v>125</v>
      </c>
      <c r="E193" s="4" t="s">
        <v>35</v>
      </c>
      <c r="F193" s="4" t="s">
        <v>15</v>
      </c>
      <c r="G193" s="6">
        <v>683</v>
      </c>
      <c r="H193" s="7">
        <v>68328</v>
      </c>
      <c r="I193" s="145">
        <f t="shared" ca="1" si="8"/>
        <v>43</v>
      </c>
      <c r="J193" s="8" t="b">
        <f t="shared" ca="1" si="9"/>
        <v>0</v>
      </c>
      <c r="K193" s="8" t="b">
        <f t="shared" ca="1" si="10"/>
        <v>1</v>
      </c>
      <c r="L193" s="8">
        <f t="shared" ca="1" si="11"/>
        <v>0</v>
      </c>
    </row>
    <row r="194" spans="1:12" ht="15.75" customHeight="1" x14ac:dyDescent="0.25">
      <c r="A194" s="4">
        <v>134753</v>
      </c>
      <c r="B194" s="4" t="s">
        <v>24</v>
      </c>
      <c r="C194" s="5">
        <v>22603</v>
      </c>
      <c r="D194" s="4" t="s">
        <v>75</v>
      </c>
      <c r="E194" s="4" t="s">
        <v>20</v>
      </c>
      <c r="F194" s="4" t="s">
        <v>15</v>
      </c>
      <c r="G194" s="6">
        <v>679</v>
      </c>
      <c r="H194" s="7">
        <v>67914</v>
      </c>
      <c r="I194" s="145">
        <f t="shared" ca="1" si="8"/>
        <v>62</v>
      </c>
      <c r="J194" s="8" t="b">
        <f t="shared" ca="1" si="9"/>
        <v>0</v>
      </c>
      <c r="K194" s="8" t="b">
        <f t="shared" ca="1" si="10"/>
        <v>0</v>
      </c>
      <c r="L194" s="8">
        <f t="shared" ca="1" si="11"/>
        <v>10000</v>
      </c>
    </row>
    <row r="195" spans="1:12" ht="15.75" customHeight="1" x14ac:dyDescent="0.25">
      <c r="A195" s="4">
        <v>123238</v>
      </c>
      <c r="B195" s="4" t="s">
        <v>12</v>
      </c>
      <c r="C195" s="5">
        <v>32140</v>
      </c>
      <c r="D195" s="4" t="s">
        <v>49</v>
      </c>
      <c r="E195" s="4" t="s">
        <v>20</v>
      </c>
      <c r="F195" s="4" t="s">
        <v>15</v>
      </c>
      <c r="G195" s="6">
        <v>673</v>
      </c>
      <c r="H195" s="7">
        <v>67320</v>
      </c>
      <c r="I195" s="145">
        <f t="shared" ref="I195:I258" ca="1" si="12">DATEDIF(C195,TODAY(),"y")</f>
        <v>36</v>
      </c>
      <c r="J195" s="8" t="b">
        <f t="shared" ref="J195:J258" ca="1" si="13">AND(B195="Male",I195&lt;40)</f>
        <v>1</v>
      </c>
      <c r="K195" s="8" t="b">
        <f t="shared" ref="K195:K258" ca="1" si="14">AND(B195="Female",I195&lt;50)</f>
        <v>0</v>
      </c>
      <c r="L195" s="8">
        <f t="shared" ref="L195:L258" ca="1" si="15">IF(AND(B195="Female",OR(I195&lt;25,I195&gt;50)),10000,0)</f>
        <v>0</v>
      </c>
    </row>
    <row r="196" spans="1:12" ht="15.75" customHeight="1" x14ac:dyDescent="0.25">
      <c r="A196" s="4">
        <v>123387</v>
      </c>
      <c r="B196" s="4" t="s">
        <v>24</v>
      </c>
      <c r="C196" s="5">
        <v>25377</v>
      </c>
      <c r="D196" s="4" t="s">
        <v>54</v>
      </c>
      <c r="E196" s="4" t="s">
        <v>55</v>
      </c>
      <c r="F196" s="4" t="s">
        <v>18</v>
      </c>
      <c r="G196" s="6">
        <v>672</v>
      </c>
      <c r="H196" s="7">
        <v>67204</v>
      </c>
      <c r="I196" s="145">
        <f t="shared" ca="1" si="12"/>
        <v>55</v>
      </c>
      <c r="J196" s="8" t="b">
        <f t="shared" ca="1" si="13"/>
        <v>0</v>
      </c>
      <c r="K196" s="8" t="b">
        <f t="shared" ca="1" si="14"/>
        <v>0</v>
      </c>
      <c r="L196" s="8">
        <f t="shared" ca="1" si="15"/>
        <v>10000</v>
      </c>
    </row>
    <row r="197" spans="1:12" ht="15.75" customHeight="1" x14ac:dyDescent="0.25">
      <c r="A197" s="4">
        <v>25850</v>
      </c>
      <c r="B197" s="4" t="s">
        <v>12</v>
      </c>
      <c r="C197" s="5">
        <v>21030</v>
      </c>
      <c r="D197" s="4" t="s">
        <v>92</v>
      </c>
      <c r="E197" s="4" t="s">
        <v>35</v>
      </c>
      <c r="F197" s="4" t="s">
        <v>15</v>
      </c>
      <c r="G197" s="6">
        <v>670</v>
      </c>
      <c r="H197" s="7">
        <v>67000</v>
      </c>
      <c r="I197" s="145">
        <f t="shared" ca="1" si="12"/>
        <v>66</v>
      </c>
      <c r="J197" s="8" t="b">
        <f t="shared" ca="1" si="13"/>
        <v>0</v>
      </c>
      <c r="K197" s="8" t="b">
        <f t="shared" ca="1" si="14"/>
        <v>0</v>
      </c>
      <c r="L197" s="8">
        <f t="shared" ca="1" si="15"/>
        <v>0</v>
      </c>
    </row>
    <row r="198" spans="1:12" ht="15.75" customHeight="1" x14ac:dyDescent="0.25">
      <c r="A198" s="4">
        <v>122569</v>
      </c>
      <c r="B198" s="4" t="s">
        <v>12</v>
      </c>
      <c r="C198" s="5">
        <v>33334</v>
      </c>
      <c r="D198" s="4" t="s">
        <v>126</v>
      </c>
      <c r="E198" s="4" t="s">
        <v>22</v>
      </c>
      <c r="F198" s="4" t="s">
        <v>23</v>
      </c>
      <c r="G198" s="6">
        <v>662</v>
      </c>
      <c r="H198" s="7">
        <v>66192</v>
      </c>
      <c r="I198" s="145">
        <f t="shared" ca="1" si="12"/>
        <v>33</v>
      </c>
      <c r="J198" s="8" t="b">
        <f t="shared" ca="1" si="13"/>
        <v>1</v>
      </c>
      <c r="K198" s="8" t="b">
        <f t="shared" ca="1" si="14"/>
        <v>0</v>
      </c>
      <c r="L198" s="8">
        <f t="shared" ca="1" si="15"/>
        <v>0</v>
      </c>
    </row>
    <row r="199" spans="1:12" ht="15.75" customHeight="1" x14ac:dyDescent="0.25">
      <c r="A199" s="4">
        <v>20618</v>
      </c>
      <c r="B199" s="4" t="s">
        <v>24</v>
      </c>
      <c r="C199" s="5">
        <v>20725</v>
      </c>
      <c r="D199" s="4" t="s">
        <v>127</v>
      </c>
      <c r="E199" s="4" t="s">
        <v>37</v>
      </c>
      <c r="F199" s="4" t="s">
        <v>18</v>
      </c>
      <c r="G199" s="6">
        <v>661</v>
      </c>
      <c r="H199" s="7">
        <v>66120</v>
      </c>
      <c r="I199" s="145">
        <f t="shared" ca="1" si="12"/>
        <v>67</v>
      </c>
      <c r="J199" s="8" t="b">
        <f t="shared" ca="1" si="13"/>
        <v>0</v>
      </c>
      <c r="K199" s="8" t="b">
        <f t="shared" ca="1" si="14"/>
        <v>0</v>
      </c>
      <c r="L199" s="8">
        <f t="shared" ca="1" si="15"/>
        <v>10000</v>
      </c>
    </row>
    <row r="200" spans="1:12" ht="15.75" customHeight="1" x14ac:dyDescent="0.25">
      <c r="A200" s="4">
        <v>22244</v>
      </c>
      <c r="B200" s="4" t="s">
        <v>12</v>
      </c>
      <c r="C200" s="5">
        <v>24637</v>
      </c>
      <c r="D200" s="4" t="s">
        <v>120</v>
      </c>
      <c r="E200" s="4" t="s">
        <v>28</v>
      </c>
      <c r="F200" s="4" t="s">
        <v>23</v>
      </c>
      <c r="G200" s="6">
        <v>660</v>
      </c>
      <c r="H200" s="7">
        <v>66000</v>
      </c>
      <c r="I200" s="145">
        <f t="shared" ca="1" si="12"/>
        <v>57</v>
      </c>
      <c r="J200" s="8" t="b">
        <f t="shared" ca="1" si="13"/>
        <v>0</v>
      </c>
      <c r="K200" s="8" t="b">
        <f t="shared" ca="1" si="14"/>
        <v>0</v>
      </c>
      <c r="L200" s="8">
        <f t="shared" ca="1" si="15"/>
        <v>0</v>
      </c>
    </row>
    <row r="201" spans="1:12" ht="15.75" customHeight="1" x14ac:dyDescent="0.25">
      <c r="A201" s="4">
        <v>21780</v>
      </c>
      <c r="B201" s="4" t="s">
        <v>12</v>
      </c>
      <c r="C201" s="5">
        <v>29310</v>
      </c>
      <c r="D201" s="4" t="s">
        <v>92</v>
      </c>
      <c r="E201" s="4" t="s">
        <v>35</v>
      </c>
      <c r="F201" s="4" t="s">
        <v>15</v>
      </c>
      <c r="G201" s="6">
        <v>659</v>
      </c>
      <c r="H201" s="7">
        <v>65892</v>
      </c>
      <c r="I201" s="145">
        <f t="shared" ca="1" si="12"/>
        <v>44</v>
      </c>
      <c r="J201" s="8" t="b">
        <f t="shared" ca="1" si="13"/>
        <v>0</v>
      </c>
      <c r="K201" s="8" t="b">
        <f t="shared" ca="1" si="14"/>
        <v>0</v>
      </c>
      <c r="L201" s="8">
        <f t="shared" ca="1" si="15"/>
        <v>0</v>
      </c>
    </row>
    <row r="202" spans="1:12" ht="15.75" customHeight="1" x14ac:dyDescent="0.25">
      <c r="A202" s="4">
        <v>129058</v>
      </c>
      <c r="B202" s="4" t="s">
        <v>24</v>
      </c>
      <c r="C202" s="5">
        <v>31451</v>
      </c>
      <c r="D202" s="4" t="s">
        <v>31</v>
      </c>
      <c r="E202" s="4" t="s">
        <v>20</v>
      </c>
      <c r="F202" s="4" t="s">
        <v>15</v>
      </c>
      <c r="G202" s="6">
        <v>653</v>
      </c>
      <c r="H202" s="7">
        <v>65325</v>
      </c>
      <c r="I202" s="145">
        <f t="shared" ca="1" si="12"/>
        <v>38</v>
      </c>
      <c r="J202" s="8" t="b">
        <f t="shared" ca="1" si="13"/>
        <v>0</v>
      </c>
      <c r="K202" s="8" t="b">
        <f t="shared" ca="1" si="14"/>
        <v>1</v>
      </c>
      <c r="L202" s="8">
        <f t="shared" ca="1" si="15"/>
        <v>0</v>
      </c>
    </row>
    <row r="203" spans="1:12" ht="15.75" customHeight="1" x14ac:dyDescent="0.25">
      <c r="A203" s="4">
        <v>35391</v>
      </c>
      <c r="B203" s="4" t="s">
        <v>12</v>
      </c>
      <c r="C203" s="5">
        <v>33709</v>
      </c>
      <c r="D203" s="4" t="s">
        <v>48</v>
      </c>
      <c r="E203" s="4" t="s">
        <v>20</v>
      </c>
      <c r="F203" s="4" t="s">
        <v>15</v>
      </c>
      <c r="G203" s="6">
        <v>649</v>
      </c>
      <c r="H203" s="7">
        <v>64935</v>
      </c>
      <c r="I203" s="145">
        <f t="shared" ca="1" si="12"/>
        <v>32</v>
      </c>
      <c r="J203" s="8" t="b">
        <f t="shared" ca="1" si="13"/>
        <v>1</v>
      </c>
      <c r="K203" s="8" t="b">
        <f t="shared" ca="1" si="14"/>
        <v>0</v>
      </c>
      <c r="L203" s="8">
        <f t="shared" ca="1" si="15"/>
        <v>0</v>
      </c>
    </row>
    <row r="204" spans="1:12" ht="15.75" customHeight="1" x14ac:dyDescent="0.25">
      <c r="A204" s="4">
        <v>26437</v>
      </c>
      <c r="B204" s="4" t="s">
        <v>24</v>
      </c>
      <c r="C204" s="5">
        <v>28593</v>
      </c>
      <c r="D204" s="4" t="s">
        <v>128</v>
      </c>
      <c r="E204" s="4" t="s">
        <v>129</v>
      </c>
      <c r="F204" s="4" t="s">
        <v>18</v>
      </c>
      <c r="G204" s="6">
        <v>640</v>
      </c>
      <c r="H204" s="7">
        <v>64000</v>
      </c>
      <c r="I204" s="145">
        <f t="shared" ca="1" si="12"/>
        <v>46</v>
      </c>
      <c r="J204" s="8" t="b">
        <f t="shared" ca="1" si="13"/>
        <v>0</v>
      </c>
      <c r="K204" s="8" t="b">
        <f t="shared" ca="1" si="14"/>
        <v>1</v>
      </c>
      <c r="L204" s="8">
        <f t="shared" ca="1" si="15"/>
        <v>0</v>
      </c>
    </row>
    <row r="205" spans="1:12" ht="15.75" customHeight="1" x14ac:dyDescent="0.25">
      <c r="A205" s="4">
        <v>31488</v>
      </c>
      <c r="B205" s="4" t="s">
        <v>24</v>
      </c>
      <c r="C205" s="5">
        <v>25315</v>
      </c>
      <c r="D205" s="4" t="s">
        <v>130</v>
      </c>
      <c r="E205" s="4" t="s">
        <v>20</v>
      </c>
      <c r="F205" s="4" t="s">
        <v>15</v>
      </c>
      <c r="G205" s="6">
        <v>636</v>
      </c>
      <c r="H205" s="7">
        <v>63612</v>
      </c>
      <c r="I205" s="145">
        <f t="shared" ca="1" si="12"/>
        <v>55</v>
      </c>
      <c r="J205" s="8" t="b">
        <f t="shared" ca="1" si="13"/>
        <v>0</v>
      </c>
      <c r="K205" s="8" t="b">
        <f t="shared" ca="1" si="14"/>
        <v>0</v>
      </c>
      <c r="L205" s="8">
        <f t="shared" ca="1" si="15"/>
        <v>10000</v>
      </c>
    </row>
    <row r="206" spans="1:12" ht="15.75" customHeight="1" x14ac:dyDescent="0.25">
      <c r="A206" s="4">
        <v>20678</v>
      </c>
      <c r="B206" s="4" t="s">
        <v>12</v>
      </c>
      <c r="C206" s="5">
        <v>29646</v>
      </c>
      <c r="D206" s="4" t="s">
        <v>48</v>
      </c>
      <c r="E206" s="4" t="s">
        <v>20</v>
      </c>
      <c r="F206" s="4" t="s">
        <v>15</v>
      </c>
      <c r="G206" s="6">
        <v>627</v>
      </c>
      <c r="H206" s="7">
        <v>62700</v>
      </c>
      <c r="I206" s="145">
        <f t="shared" ca="1" si="12"/>
        <v>43</v>
      </c>
      <c r="J206" s="8" t="b">
        <f t="shared" ca="1" si="13"/>
        <v>0</v>
      </c>
      <c r="K206" s="8" t="b">
        <f t="shared" ca="1" si="14"/>
        <v>0</v>
      </c>
      <c r="L206" s="8">
        <f t="shared" ca="1" si="15"/>
        <v>0</v>
      </c>
    </row>
    <row r="207" spans="1:12" ht="15.75" customHeight="1" x14ac:dyDescent="0.25">
      <c r="A207" s="4">
        <v>26647</v>
      </c>
      <c r="B207" s="4" t="s">
        <v>24</v>
      </c>
      <c r="C207" s="5">
        <v>29285</v>
      </c>
      <c r="D207" s="4" t="s">
        <v>98</v>
      </c>
      <c r="E207" s="4" t="s">
        <v>28</v>
      </c>
      <c r="F207" s="4" t="s">
        <v>23</v>
      </c>
      <c r="G207" s="6">
        <v>620</v>
      </c>
      <c r="H207" s="7">
        <v>62000</v>
      </c>
      <c r="I207" s="145">
        <f t="shared" ca="1" si="12"/>
        <v>44</v>
      </c>
      <c r="J207" s="8" t="b">
        <f t="shared" ca="1" si="13"/>
        <v>0</v>
      </c>
      <c r="K207" s="8" t="b">
        <f t="shared" ca="1" si="14"/>
        <v>1</v>
      </c>
      <c r="L207" s="8">
        <f t="shared" ca="1" si="15"/>
        <v>0</v>
      </c>
    </row>
    <row r="208" spans="1:12" ht="15.75" customHeight="1" x14ac:dyDescent="0.25">
      <c r="A208" s="4">
        <v>21190</v>
      </c>
      <c r="B208" s="4" t="s">
        <v>12</v>
      </c>
      <c r="C208" s="5">
        <v>31257</v>
      </c>
      <c r="D208" s="4" t="s">
        <v>131</v>
      </c>
      <c r="E208" s="4" t="s">
        <v>74</v>
      </c>
      <c r="F208" s="4" t="s">
        <v>79</v>
      </c>
      <c r="G208" s="6">
        <v>616</v>
      </c>
      <c r="H208" s="7">
        <v>61600</v>
      </c>
      <c r="I208" s="145">
        <f t="shared" ca="1" si="12"/>
        <v>38</v>
      </c>
      <c r="J208" s="8" t="b">
        <f t="shared" ca="1" si="13"/>
        <v>1</v>
      </c>
      <c r="K208" s="8" t="b">
        <f t="shared" ca="1" si="14"/>
        <v>0</v>
      </c>
      <c r="L208" s="8">
        <f t="shared" ca="1" si="15"/>
        <v>0</v>
      </c>
    </row>
    <row r="209" spans="1:12" ht="15.75" customHeight="1" x14ac:dyDescent="0.25">
      <c r="A209" s="4">
        <v>125442</v>
      </c>
      <c r="B209" s="4" t="s">
        <v>12</v>
      </c>
      <c r="C209" s="5">
        <v>31819</v>
      </c>
      <c r="D209" s="4" t="s">
        <v>57</v>
      </c>
      <c r="E209" s="4" t="s">
        <v>35</v>
      </c>
      <c r="F209" s="4" t="s">
        <v>15</v>
      </c>
      <c r="G209" s="6">
        <v>616</v>
      </c>
      <c r="H209" s="7">
        <v>61566</v>
      </c>
      <c r="I209" s="145">
        <f t="shared" ca="1" si="12"/>
        <v>37</v>
      </c>
      <c r="J209" s="8" t="b">
        <f t="shared" ca="1" si="13"/>
        <v>1</v>
      </c>
      <c r="K209" s="8" t="b">
        <f t="shared" ca="1" si="14"/>
        <v>0</v>
      </c>
      <c r="L209" s="8">
        <f t="shared" ca="1" si="15"/>
        <v>0</v>
      </c>
    </row>
    <row r="210" spans="1:12" ht="15.75" customHeight="1" x14ac:dyDescent="0.25">
      <c r="A210" s="4">
        <v>22915</v>
      </c>
      <c r="B210" s="4" t="s">
        <v>24</v>
      </c>
      <c r="C210" s="5">
        <v>32842</v>
      </c>
      <c r="D210" s="4" t="s">
        <v>48</v>
      </c>
      <c r="E210" s="4" t="s">
        <v>20</v>
      </c>
      <c r="F210" s="4" t="s">
        <v>15</v>
      </c>
      <c r="G210" s="6">
        <v>616</v>
      </c>
      <c r="H210" s="7">
        <v>61566</v>
      </c>
      <c r="I210" s="145">
        <f t="shared" ca="1" si="12"/>
        <v>34</v>
      </c>
      <c r="J210" s="8" t="b">
        <f t="shared" ca="1" si="13"/>
        <v>0</v>
      </c>
      <c r="K210" s="8" t="b">
        <f t="shared" ca="1" si="14"/>
        <v>1</v>
      </c>
      <c r="L210" s="8">
        <f t="shared" ca="1" si="15"/>
        <v>0</v>
      </c>
    </row>
    <row r="211" spans="1:12" ht="15.75" customHeight="1" x14ac:dyDescent="0.25">
      <c r="A211" s="4">
        <v>138260</v>
      </c>
      <c r="B211" s="4" t="s">
        <v>12</v>
      </c>
      <c r="C211" s="5">
        <v>22732</v>
      </c>
      <c r="D211" s="4" t="s">
        <v>109</v>
      </c>
      <c r="E211" s="4" t="s">
        <v>26</v>
      </c>
      <c r="F211" s="4" t="s">
        <v>23</v>
      </c>
      <c r="G211" s="6">
        <v>610</v>
      </c>
      <c r="H211" s="7">
        <v>60958</v>
      </c>
      <c r="I211" s="145">
        <f t="shared" ca="1" si="12"/>
        <v>62</v>
      </c>
      <c r="J211" s="8" t="b">
        <f t="shared" ca="1" si="13"/>
        <v>0</v>
      </c>
      <c r="K211" s="8" t="b">
        <f t="shared" ca="1" si="14"/>
        <v>0</v>
      </c>
      <c r="L211" s="8">
        <f t="shared" ca="1" si="15"/>
        <v>0</v>
      </c>
    </row>
    <row r="212" spans="1:12" ht="15.75" customHeight="1" x14ac:dyDescent="0.25">
      <c r="A212" s="4">
        <v>124350</v>
      </c>
      <c r="B212" s="4" t="s">
        <v>12</v>
      </c>
      <c r="C212" s="5">
        <v>32809</v>
      </c>
      <c r="D212" s="4" t="s">
        <v>132</v>
      </c>
      <c r="E212" s="4" t="s">
        <v>84</v>
      </c>
      <c r="F212" s="4" t="s">
        <v>40</v>
      </c>
      <c r="G212" s="6">
        <v>604</v>
      </c>
      <c r="H212" s="7">
        <v>60367</v>
      </c>
      <c r="I212" s="145">
        <f t="shared" ca="1" si="12"/>
        <v>34</v>
      </c>
      <c r="J212" s="8" t="b">
        <f t="shared" ca="1" si="13"/>
        <v>1</v>
      </c>
      <c r="K212" s="8" t="b">
        <f t="shared" ca="1" si="14"/>
        <v>0</v>
      </c>
      <c r="L212" s="8">
        <f t="shared" ca="1" si="15"/>
        <v>0</v>
      </c>
    </row>
    <row r="213" spans="1:12" ht="15.75" customHeight="1" x14ac:dyDescent="0.25">
      <c r="A213" s="4">
        <v>20912</v>
      </c>
      <c r="B213" s="4" t="s">
        <v>24</v>
      </c>
      <c r="C213" s="5">
        <v>30266</v>
      </c>
      <c r="D213" s="4" t="s">
        <v>57</v>
      </c>
      <c r="E213" s="4" t="s">
        <v>35</v>
      </c>
      <c r="F213" s="4" t="s">
        <v>15</v>
      </c>
      <c r="G213" s="6">
        <v>599</v>
      </c>
      <c r="H213" s="7">
        <v>59904</v>
      </c>
      <c r="I213" s="145">
        <f t="shared" ca="1" si="12"/>
        <v>41</v>
      </c>
      <c r="J213" s="8" t="b">
        <f t="shared" ca="1" si="13"/>
        <v>0</v>
      </c>
      <c r="K213" s="8" t="b">
        <f t="shared" ca="1" si="14"/>
        <v>1</v>
      </c>
      <c r="L213" s="8">
        <f t="shared" ca="1" si="15"/>
        <v>0</v>
      </c>
    </row>
    <row r="214" spans="1:12" ht="15.75" customHeight="1" x14ac:dyDescent="0.25">
      <c r="A214" s="4">
        <v>125612</v>
      </c>
      <c r="B214" s="4" t="s">
        <v>12</v>
      </c>
      <c r="C214" s="5">
        <v>23709</v>
      </c>
      <c r="D214" s="4" t="s">
        <v>103</v>
      </c>
      <c r="E214" s="4" t="s">
        <v>39</v>
      </c>
      <c r="F214" s="4" t="s">
        <v>40</v>
      </c>
      <c r="G214" s="6">
        <v>594</v>
      </c>
      <c r="H214" s="7">
        <v>59400</v>
      </c>
      <c r="I214" s="145">
        <f t="shared" ca="1" si="12"/>
        <v>59</v>
      </c>
      <c r="J214" s="8" t="b">
        <f t="shared" ca="1" si="13"/>
        <v>0</v>
      </c>
      <c r="K214" s="8" t="b">
        <f t="shared" ca="1" si="14"/>
        <v>0</v>
      </c>
      <c r="L214" s="8">
        <f t="shared" ca="1" si="15"/>
        <v>0</v>
      </c>
    </row>
    <row r="215" spans="1:12" ht="15.75" customHeight="1" x14ac:dyDescent="0.25">
      <c r="A215" s="4">
        <v>20740</v>
      </c>
      <c r="B215" s="4" t="s">
        <v>24</v>
      </c>
      <c r="C215" s="5">
        <v>30449</v>
      </c>
      <c r="D215" s="4" t="s">
        <v>48</v>
      </c>
      <c r="E215" s="4" t="s">
        <v>20</v>
      </c>
      <c r="F215" s="4" t="s">
        <v>15</v>
      </c>
      <c r="G215" s="6">
        <v>592</v>
      </c>
      <c r="H215" s="7">
        <v>59220</v>
      </c>
      <c r="I215" s="145">
        <f t="shared" ca="1" si="12"/>
        <v>41</v>
      </c>
      <c r="J215" s="8" t="b">
        <f t="shared" ca="1" si="13"/>
        <v>0</v>
      </c>
      <c r="K215" s="8" t="b">
        <f t="shared" ca="1" si="14"/>
        <v>1</v>
      </c>
      <c r="L215" s="8">
        <f t="shared" ca="1" si="15"/>
        <v>0</v>
      </c>
    </row>
    <row r="216" spans="1:12" ht="15.75" customHeight="1" x14ac:dyDescent="0.25">
      <c r="A216" s="4">
        <v>26936</v>
      </c>
      <c r="B216" s="4" t="s">
        <v>12</v>
      </c>
      <c r="C216" s="5">
        <v>19264</v>
      </c>
      <c r="D216" s="4" t="s">
        <v>92</v>
      </c>
      <c r="E216" s="4" t="s">
        <v>35</v>
      </c>
      <c r="F216" s="4" t="s">
        <v>15</v>
      </c>
      <c r="G216" s="6">
        <v>581</v>
      </c>
      <c r="H216" s="7">
        <v>58050</v>
      </c>
      <c r="I216" s="145">
        <f t="shared" ca="1" si="12"/>
        <v>71</v>
      </c>
      <c r="J216" s="8" t="b">
        <f t="shared" ca="1" si="13"/>
        <v>0</v>
      </c>
      <c r="K216" s="8" t="b">
        <f t="shared" ca="1" si="14"/>
        <v>0</v>
      </c>
      <c r="L216" s="8">
        <f t="shared" ca="1" si="15"/>
        <v>0</v>
      </c>
    </row>
    <row r="217" spans="1:12" ht="15.75" customHeight="1" x14ac:dyDescent="0.25">
      <c r="A217" s="4">
        <v>22375</v>
      </c>
      <c r="B217" s="4" t="s">
        <v>12</v>
      </c>
      <c r="C217" s="5">
        <v>24925</v>
      </c>
      <c r="D217" s="4" t="s">
        <v>48</v>
      </c>
      <c r="E217" s="4" t="s">
        <v>20</v>
      </c>
      <c r="F217" s="4" t="s">
        <v>15</v>
      </c>
      <c r="G217" s="6">
        <v>580</v>
      </c>
      <c r="H217" s="7">
        <v>58000</v>
      </c>
      <c r="I217" s="145">
        <f t="shared" ca="1" si="12"/>
        <v>56</v>
      </c>
      <c r="J217" s="8" t="b">
        <f t="shared" ca="1" si="13"/>
        <v>0</v>
      </c>
      <c r="K217" s="8" t="b">
        <f t="shared" ca="1" si="14"/>
        <v>0</v>
      </c>
      <c r="L217" s="8">
        <f t="shared" ca="1" si="15"/>
        <v>0</v>
      </c>
    </row>
    <row r="218" spans="1:12" ht="15.75" customHeight="1" x14ac:dyDescent="0.25">
      <c r="A218" s="4">
        <v>122961</v>
      </c>
      <c r="B218" s="4" t="s">
        <v>24</v>
      </c>
      <c r="C218" s="5">
        <v>19917</v>
      </c>
      <c r="D218" s="4" t="s">
        <v>108</v>
      </c>
      <c r="E218" s="4" t="s">
        <v>74</v>
      </c>
      <c r="F218" s="4" t="s">
        <v>79</v>
      </c>
      <c r="G218" s="6">
        <v>580</v>
      </c>
      <c r="H218" s="7">
        <v>58000</v>
      </c>
      <c r="I218" s="145">
        <f t="shared" ca="1" si="12"/>
        <v>69</v>
      </c>
      <c r="J218" s="8" t="b">
        <f t="shared" ca="1" si="13"/>
        <v>0</v>
      </c>
      <c r="K218" s="8" t="b">
        <f t="shared" ca="1" si="14"/>
        <v>0</v>
      </c>
      <c r="L218" s="8">
        <f t="shared" ca="1" si="15"/>
        <v>10000</v>
      </c>
    </row>
    <row r="219" spans="1:12" ht="15.75" customHeight="1" x14ac:dyDescent="0.25">
      <c r="A219" s="4">
        <v>21996</v>
      </c>
      <c r="B219" s="4" t="s">
        <v>12</v>
      </c>
      <c r="C219" s="5">
        <v>30853</v>
      </c>
      <c r="D219" s="4" t="s">
        <v>133</v>
      </c>
      <c r="E219" s="4" t="s">
        <v>14</v>
      </c>
      <c r="F219" s="4" t="s">
        <v>15</v>
      </c>
      <c r="G219" s="6">
        <v>572</v>
      </c>
      <c r="H219" s="7">
        <v>57200</v>
      </c>
      <c r="I219" s="145">
        <f t="shared" ca="1" si="12"/>
        <v>40</v>
      </c>
      <c r="J219" s="8" t="b">
        <f t="shared" ca="1" si="13"/>
        <v>0</v>
      </c>
      <c r="K219" s="8" t="b">
        <f t="shared" ca="1" si="14"/>
        <v>0</v>
      </c>
      <c r="L219" s="8">
        <f t="shared" ca="1" si="15"/>
        <v>0</v>
      </c>
    </row>
    <row r="220" spans="1:12" ht="15.75" customHeight="1" x14ac:dyDescent="0.25">
      <c r="A220" s="4">
        <v>136414</v>
      </c>
      <c r="B220" s="4" t="s">
        <v>12</v>
      </c>
      <c r="C220" s="5">
        <v>31498</v>
      </c>
      <c r="D220" s="4" t="s">
        <v>91</v>
      </c>
      <c r="E220" s="4" t="s">
        <v>22</v>
      </c>
      <c r="F220" s="4" t="s">
        <v>23</v>
      </c>
      <c r="G220" s="6">
        <v>570</v>
      </c>
      <c r="H220" s="7">
        <v>57000</v>
      </c>
      <c r="I220" s="145">
        <f t="shared" ca="1" si="12"/>
        <v>38</v>
      </c>
      <c r="J220" s="8" t="b">
        <f t="shared" ca="1" si="13"/>
        <v>1</v>
      </c>
      <c r="K220" s="8" t="b">
        <f t="shared" ca="1" si="14"/>
        <v>0</v>
      </c>
      <c r="L220" s="8">
        <f t="shared" ca="1" si="15"/>
        <v>0</v>
      </c>
    </row>
    <row r="221" spans="1:12" ht="15.75" customHeight="1" x14ac:dyDescent="0.25">
      <c r="A221" s="4">
        <v>23092</v>
      </c>
      <c r="B221" s="4" t="s">
        <v>24</v>
      </c>
      <c r="C221" s="5">
        <v>27054</v>
      </c>
      <c r="D221" s="4" t="s">
        <v>45</v>
      </c>
      <c r="E221" s="4" t="s">
        <v>28</v>
      </c>
      <c r="F221" s="4" t="s">
        <v>23</v>
      </c>
      <c r="G221" s="6">
        <v>570</v>
      </c>
      <c r="H221" s="7">
        <v>57000</v>
      </c>
      <c r="I221" s="145">
        <f t="shared" ca="1" si="12"/>
        <v>50</v>
      </c>
      <c r="J221" s="8" t="b">
        <f t="shared" ca="1" si="13"/>
        <v>0</v>
      </c>
      <c r="K221" s="8" t="b">
        <f t="shared" ca="1" si="14"/>
        <v>0</v>
      </c>
      <c r="L221" s="8">
        <f t="shared" ca="1" si="15"/>
        <v>0</v>
      </c>
    </row>
    <row r="222" spans="1:12" ht="15.75" customHeight="1" x14ac:dyDescent="0.25">
      <c r="A222" s="4">
        <v>131851</v>
      </c>
      <c r="B222" s="4" t="s">
        <v>24</v>
      </c>
      <c r="C222" s="5">
        <v>32135</v>
      </c>
      <c r="D222" s="4" t="s">
        <v>13</v>
      </c>
      <c r="E222" s="4" t="s">
        <v>14</v>
      </c>
      <c r="F222" s="4" t="s">
        <v>15</v>
      </c>
      <c r="G222" s="6">
        <v>570</v>
      </c>
      <c r="H222" s="7">
        <v>57000</v>
      </c>
      <c r="I222" s="145">
        <f t="shared" ca="1" si="12"/>
        <v>36</v>
      </c>
      <c r="J222" s="8" t="b">
        <f t="shared" ca="1" si="13"/>
        <v>0</v>
      </c>
      <c r="K222" s="8" t="b">
        <f t="shared" ca="1" si="14"/>
        <v>1</v>
      </c>
      <c r="L222" s="8">
        <f t="shared" ca="1" si="15"/>
        <v>0</v>
      </c>
    </row>
    <row r="223" spans="1:12" ht="15.75" customHeight="1" x14ac:dyDescent="0.25">
      <c r="A223" s="4">
        <v>21767</v>
      </c>
      <c r="B223" s="4" t="s">
        <v>12</v>
      </c>
      <c r="C223" s="5">
        <v>34664</v>
      </c>
      <c r="D223" s="4" t="s">
        <v>134</v>
      </c>
      <c r="E223" s="4" t="s">
        <v>135</v>
      </c>
      <c r="F223" s="4" t="s">
        <v>18</v>
      </c>
      <c r="G223" s="6">
        <v>569</v>
      </c>
      <c r="H223" s="7">
        <v>56886</v>
      </c>
      <c r="I223" s="145">
        <f t="shared" ca="1" si="12"/>
        <v>29</v>
      </c>
      <c r="J223" s="8" t="b">
        <f t="shared" ca="1" si="13"/>
        <v>1</v>
      </c>
      <c r="K223" s="8" t="b">
        <f t="shared" ca="1" si="14"/>
        <v>0</v>
      </c>
      <c r="L223" s="8">
        <f t="shared" ca="1" si="15"/>
        <v>0</v>
      </c>
    </row>
    <row r="224" spans="1:12" ht="15.75" customHeight="1" x14ac:dyDescent="0.25">
      <c r="A224" s="4">
        <v>22352</v>
      </c>
      <c r="B224" s="4" t="s">
        <v>12</v>
      </c>
      <c r="C224" s="5">
        <v>33677</v>
      </c>
      <c r="D224" s="4" t="s">
        <v>77</v>
      </c>
      <c r="E224" s="4" t="s">
        <v>26</v>
      </c>
      <c r="F224" s="4" t="s">
        <v>23</v>
      </c>
      <c r="G224" s="6">
        <v>560</v>
      </c>
      <c r="H224" s="7">
        <v>56000</v>
      </c>
      <c r="I224" s="145">
        <f t="shared" ca="1" si="12"/>
        <v>32</v>
      </c>
      <c r="J224" s="8" t="b">
        <f t="shared" ca="1" si="13"/>
        <v>1</v>
      </c>
      <c r="K224" s="8" t="b">
        <f t="shared" ca="1" si="14"/>
        <v>0</v>
      </c>
      <c r="L224" s="8">
        <f t="shared" ca="1" si="15"/>
        <v>0</v>
      </c>
    </row>
    <row r="225" spans="1:12" ht="15.75" customHeight="1" x14ac:dyDescent="0.25">
      <c r="A225" s="4">
        <v>20718</v>
      </c>
      <c r="B225" s="4" t="s">
        <v>12</v>
      </c>
      <c r="C225" s="5">
        <v>31395</v>
      </c>
      <c r="D225" s="4" t="s">
        <v>136</v>
      </c>
      <c r="E225" s="4" t="s">
        <v>26</v>
      </c>
      <c r="F225" s="4" t="s">
        <v>23</v>
      </c>
      <c r="G225" s="6">
        <v>557</v>
      </c>
      <c r="H225" s="7">
        <v>55744</v>
      </c>
      <c r="I225" s="145">
        <f t="shared" ca="1" si="12"/>
        <v>38</v>
      </c>
      <c r="J225" s="8" t="b">
        <f t="shared" ca="1" si="13"/>
        <v>1</v>
      </c>
      <c r="K225" s="8" t="b">
        <f t="shared" ca="1" si="14"/>
        <v>0</v>
      </c>
      <c r="L225" s="8">
        <f t="shared" ca="1" si="15"/>
        <v>0</v>
      </c>
    </row>
    <row r="226" spans="1:12" ht="15.75" customHeight="1" x14ac:dyDescent="0.25">
      <c r="A226" s="4">
        <v>20784</v>
      </c>
      <c r="B226" s="4" t="s">
        <v>12</v>
      </c>
      <c r="C226" s="5">
        <v>31683</v>
      </c>
      <c r="D226" s="4" t="s">
        <v>54</v>
      </c>
      <c r="E226" s="4" t="s">
        <v>55</v>
      </c>
      <c r="F226" s="4" t="s">
        <v>18</v>
      </c>
      <c r="G226" s="6">
        <v>551</v>
      </c>
      <c r="H226" s="7">
        <v>55140</v>
      </c>
      <c r="I226" s="145">
        <f t="shared" ca="1" si="12"/>
        <v>37</v>
      </c>
      <c r="J226" s="8" t="b">
        <f t="shared" ca="1" si="13"/>
        <v>1</v>
      </c>
      <c r="K226" s="8" t="b">
        <f t="shared" ca="1" si="14"/>
        <v>0</v>
      </c>
      <c r="L226" s="8">
        <f t="shared" ca="1" si="15"/>
        <v>0</v>
      </c>
    </row>
    <row r="227" spans="1:12" ht="15.75" customHeight="1" x14ac:dyDescent="0.25">
      <c r="A227" s="4">
        <v>20611</v>
      </c>
      <c r="B227" s="4" t="s">
        <v>12</v>
      </c>
      <c r="C227" s="5">
        <v>31245</v>
      </c>
      <c r="D227" s="4" t="s">
        <v>61</v>
      </c>
      <c r="E227" s="4" t="s">
        <v>26</v>
      </c>
      <c r="F227" s="4" t="s">
        <v>23</v>
      </c>
      <c r="G227" s="6">
        <v>544</v>
      </c>
      <c r="H227" s="7">
        <v>54431</v>
      </c>
      <c r="I227" s="145">
        <f t="shared" ca="1" si="12"/>
        <v>38</v>
      </c>
      <c r="J227" s="8" t="b">
        <f t="shared" ca="1" si="13"/>
        <v>1</v>
      </c>
      <c r="K227" s="8" t="b">
        <f t="shared" ca="1" si="14"/>
        <v>0</v>
      </c>
      <c r="L227" s="8">
        <f t="shared" ca="1" si="15"/>
        <v>0</v>
      </c>
    </row>
    <row r="228" spans="1:12" ht="15.75" customHeight="1" x14ac:dyDescent="0.25">
      <c r="A228" s="4">
        <v>22758</v>
      </c>
      <c r="B228" s="4" t="s">
        <v>12</v>
      </c>
      <c r="C228" s="5">
        <v>33880</v>
      </c>
      <c r="D228" s="4" t="s">
        <v>137</v>
      </c>
      <c r="E228" s="4" t="s">
        <v>39</v>
      </c>
      <c r="F228" s="4" t="s">
        <v>40</v>
      </c>
      <c r="G228" s="6">
        <v>531</v>
      </c>
      <c r="H228" s="7">
        <v>53100</v>
      </c>
      <c r="I228" s="145">
        <f t="shared" ca="1" si="12"/>
        <v>31</v>
      </c>
      <c r="J228" s="8" t="b">
        <f t="shared" ca="1" si="13"/>
        <v>1</v>
      </c>
      <c r="K228" s="8" t="b">
        <f t="shared" ca="1" si="14"/>
        <v>0</v>
      </c>
      <c r="L228" s="8">
        <f t="shared" ca="1" si="15"/>
        <v>0</v>
      </c>
    </row>
    <row r="229" spans="1:12" ht="15.75" customHeight="1" x14ac:dyDescent="0.25">
      <c r="A229" s="4">
        <v>23546</v>
      </c>
      <c r="B229" s="4" t="s">
        <v>24</v>
      </c>
      <c r="C229" s="5">
        <v>28731</v>
      </c>
      <c r="D229" s="4" t="s">
        <v>75</v>
      </c>
      <c r="E229" s="4" t="s">
        <v>20</v>
      </c>
      <c r="F229" s="4" t="s">
        <v>15</v>
      </c>
      <c r="G229" s="6">
        <v>530</v>
      </c>
      <c r="H229" s="7">
        <v>53000</v>
      </c>
      <c r="I229" s="145">
        <f t="shared" ca="1" si="12"/>
        <v>45</v>
      </c>
      <c r="J229" s="8" t="b">
        <f t="shared" ca="1" si="13"/>
        <v>0</v>
      </c>
      <c r="K229" s="8" t="b">
        <f t="shared" ca="1" si="14"/>
        <v>1</v>
      </c>
      <c r="L229" s="8">
        <f t="shared" ca="1" si="15"/>
        <v>0</v>
      </c>
    </row>
    <row r="230" spans="1:12" ht="15.75" customHeight="1" x14ac:dyDescent="0.25">
      <c r="A230" s="4">
        <v>20580</v>
      </c>
      <c r="B230" s="4" t="s">
        <v>24</v>
      </c>
      <c r="C230" s="5">
        <v>26164</v>
      </c>
      <c r="D230" s="4" t="s">
        <v>13</v>
      </c>
      <c r="E230" s="4" t="s">
        <v>14</v>
      </c>
      <c r="F230" s="4" t="s">
        <v>15</v>
      </c>
      <c r="G230" s="6">
        <v>530</v>
      </c>
      <c r="H230" s="7">
        <v>52982</v>
      </c>
      <c r="I230" s="145">
        <f t="shared" ca="1" si="12"/>
        <v>52</v>
      </c>
      <c r="J230" s="8" t="b">
        <f t="shared" ca="1" si="13"/>
        <v>0</v>
      </c>
      <c r="K230" s="8" t="b">
        <f t="shared" ca="1" si="14"/>
        <v>0</v>
      </c>
      <c r="L230" s="8">
        <f t="shared" ca="1" si="15"/>
        <v>10000</v>
      </c>
    </row>
    <row r="231" spans="1:12" ht="15.75" customHeight="1" x14ac:dyDescent="0.25">
      <c r="A231" s="4">
        <v>26583</v>
      </c>
      <c r="B231" s="4" t="s">
        <v>24</v>
      </c>
      <c r="C231" s="5">
        <v>24569</v>
      </c>
      <c r="D231" s="4" t="s">
        <v>138</v>
      </c>
      <c r="E231" s="4" t="s">
        <v>55</v>
      </c>
      <c r="F231" s="4" t="s">
        <v>18</v>
      </c>
      <c r="G231" s="6">
        <v>525</v>
      </c>
      <c r="H231" s="7">
        <v>52544</v>
      </c>
      <c r="I231" s="145">
        <f t="shared" ca="1" si="12"/>
        <v>57</v>
      </c>
      <c r="J231" s="8" t="b">
        <f t="shared" ca="1" si="13"/>
        <v>0</v>
      </c>
      <c r="K231" s="8" t="b">
        <f t="shared" ca="1" si="14"/>
        <v>0</v>
      </c>
      <c r="L231" s="8">
        <f t="shared" ca="1" si="15"/>
        <v>10000</v>
      </c>
    </row>
    <row r="232" spans="1:12" ht="15.75" customHeight="1" x14ac:dyDescent="0.25">
      <c r="A232" s="4">
        <v>24052</v>
      </c>
      <c r="B232" s="4" t="s">
        <v>24</v>
      </c>
      <c r="C232" s="5">
        <v>24837</v>
      </c>
      <c r="D232" s="4" t="s">
        <v>100</v>
      </c>
      <c r="E232" s="4" t="s">
        <v>14</v>
      </c>
      <c r="F232" s="4" t="s">
        <v>15</v>
      </c>
      <c r="G232" s="6">
        <v>520</v>
      </c>
      <c r="H232" s="7">
        <v>52000</v>
      </c>
      <c r="I232" s="145">
        <f t="shared" ca="1" si="12"/>
        <v>56</v>
      </c>
      <c r="J232" s="8" t="b">
        <f t="shared" ca="1" si="13"/>
        <v>0</v>
      </c>
      <c r="K232" s="8" t="b">
        <f t="shared" ca="1" si="14"/>
        <v>0</v>
      </c>
      <c r="L232" s="8">
        <f t="shared" ca="1" si="15"/>
        <v>10000</v>
      </c>
    </row>
    <row r="233" spans="1:12" ht="15.75" customHeight="1" x14ac:dyDescent="0.25">
      <c r="A233" s="4">
        <v>136793</v>
      </c>
      <c r="B233" s="4" t="s">
        <v>24</v>
      </c>
      <c r="C233" s="5">
        <v>19964</v>
      </c>
      <c r="D233" s="4" t="s">
        <v>138</v>
      </c>
      <c r="E233" s="4" t="s">
        <v>55</v>
      </c>
      <c r="F233" s="4" t="s">
        <v>18</v>
      </c>
      <c r="G233" s="6">
        <v>516</v>
      </c>
      <c r="H233" s="7">
        <v>51642</v>
      </c>
      <c r="I233" s="145">
        <f t="shared" ca="1" si="12"/>
        <v>69</v>
      </c>
      <c r="J233" s="8" t="b">
        <f t="shared" ca="1" si="13"/>
        <v>0</v>
      </c>
      <c r="K233" s="8" t="b">
        <f t="shared" ca="1" si="14"/>
        <v>0</v>
      </c>
      <c r="L233" s="8">
        <f t="shared" ca="1" si="15"/>
        <v>10000</v>
      </c>
    </row>
    <row r="234" spans="1:12" ht="15.75" customHeight="1" x14ac:dyDescent="0.25">
      <c r="A234" s="4">
        <v>27589</v>
      </c>
      <c r="B234" s="4" t="s">
        <v>24</v>
      </c>
      <c r="C234" s="5">
        <v>31431</v>
      </c>
      <c r="D234" s="4" t="s">
        <v>41</v>
      </c>
      <c r="E234" s="4" t="s">
        <v>20</v>
      </c>
      <c r="F234" s="4" t="s">
        <v>15</v>
      </c>
      <c r="G234" s="6">
        <v>515</v>
      </c>
      <c r="H234" s="7">
        <v>51471</v>
      </c>
      <c r="I234" s="145">
        <f t="shared" ca="1" si="12"/>
        <v>38</v>
      </c>
      <c r="J234" s="8" t="b">
        <f t="shared" ca="1" si="13"/>
        <v>0</v>
      </c>
      <c r="K234" s="8" t="b">
        <f t="shared" ca="1" si="14"/>
        <v>1</v>
      </c>
      <c r="L234" s="8">
        <f t="shared" ca="1" si="15"/>
        <v>0</v>
      </c>
    </row>
    <row r="235" spans="1:12" ht="15.75" customHeight="1" x14ac:dyDescent="0.25">
      <c r="A235" s="4">
        <v>128890</v>
      </c>
      <c r="B235" s="4" t="s">
        <v>12</v>
      </c>
      <c r="C235" s="5">
        <v>26569</v>
      </c>
      <c r="D235" s="4" t="s">
        <v>139</v>
      </c>
      <c r="E235" s="4" t="s">
        <v>74</v>
      </c>
      <c r="F235" s="4" t="s">
        <v>79</v>
      </c>
      <c r="G235" s="6">
        <v>510</v>
      </c>
      <c r="H235" s="7">
        <v>50987</v>
      </c>
      <c r="I235" s="145">
        <f t="shared" ca="1" si="12"/>
        <v>51</v>
      </c>
      <c r="J235" s="8" t="b">
        <f t="shared" ca="1" si="13"/>
        <v>0</v>
      </c>
      <c r="K235" s="8" t="b">
        <f t="shared" ca="1" si="14"/>
        <v>0</v>
      </c>
      <c r="L235" s="8">
        <f t="shared" ca="1" si="15"/>
        <v>0</v>
      </c>
    </row>
    <row r="236" spans="1:12" ht="15.75" customHeight="1" x14ac:dyDescent="0.25">
      <c r="A236" s="4">
        <v>128338</v>
      </c>
      <c r="B236" s="4" t="s">
        <v>12</v>
      </c>
      <c r="C236" s="5">
        <v>19583</v>
      </c>
      <c r="D236" s="4" t="s">
        <v>130</v>
      </c>
      <c r="E236" s="4" t="s">
        <v>20</v>
      </c>
      <c r="F236" s="4" t="s">
        <v>15</v>
      </c>
      <c r="G236" s="6">
        <v>502</v>
      </c>
      <c r="H236" s="7">
        <v>50203</v>
      </c>
      <c r="I236" s="145">
        <f t="shared" ca="1" si="12"/>
        <v>70</v>
      </c>
      <c r="J236" s="8" t="b">
        <f t="shared" ca="1" si="13"/>
        <v>0</v>
      </c>
      <c r="K236" s="8" t="b">
        <f t="shared" ca="1" si="14"/>
        <v>0</v>
      </c>
      <c r="L236" s="8">
        <f t="shared" ca="1" si="15"/>
        <v>0</v>
      </c>
    </row>
    <row r="237" spans="1:12" ht="15.75" customHeight="1" x14ac:dyDescent="0.25">
      <c r="A237" s="4">
        <v>122029</v>
      </c>
      <c r="B237" s="4" t="s">
        <v>24</v>
      </c>
      <c r="C237" s="5">
        <v>34400</v>
      </c>
      <c r="D237" s="4" t="s">
        <v>99</v>
      </c>
      <c r="E237" s="4" t="s">
        <v>74</v>
      </c>
      <c r="F237" s="4" t="s">
        <v>79</v>
      </c>
      <c r="G237" s="6">
        <v>501</v>
      </c>
      <c r="H237" s="7">
        <v>50085</v>
      </c>
      <c r="I237" s="145">
        <f t="shared" ca="1" si="12"/>
        <v>30</v>
      </c>
      <c r="J237" s="8" t="b">
        <f t="shared" ca="1" si="13"/>
        <v>0</v>
      </c>
      <c r="K237" s="8" t="b">
        <f t="shared" ca="1" si="14"/>
        <v>1</v>
      </c>
      <c r="L237" s="8">
        <f t="shared" ca="1" si="15"/>
        <v>0</v>
      </c>
    </row>
    <row r="238" spans="1:12" ht="15.75" customHeight="1" x14ac:dyDescent="0.25">
      <c r="A238" s="4">
        <v>24918</v>
      </c>
      <c r="B238" s="4" t="s">
        <v>12</v>
      </c>
      <c r="C238" s="5">
        <v>32048</v>
      </c>
      <c r="D238" s="4" t="s">
        <v>53</v>
      </c>
      <c r="E238" s="4" t="s">
        <v>37</v>
      </c>
      <c r="F238" s="4" t="s">
        <v>18</v>
      </c>
      <c r="G238" s="6">
        <v>497</v>
      </c>
      <c r="H238" s="7">
        <v>49714</v>
      </c>
      <c r="I238" s="145">
        <f t="shared" ca="1" si="12"/>
        <v>36</v>
      </c>
      <c r="J238" s="8" t="b">
        <f t="shared" ca="1" si="13"/>
        <v>1</v>
      </c>
      <c r="K238" s="8" t="b">
        <f t="shared" ca="1" si="14"/>
        <v>0</v>
      </c>
      <c r="L238" s="8">
        <f t="shared" ca="1" si="15"/>
        <v>0</v>
      </c>
    </row>
    <row r="239" spans="1:12" ht="15.75" customHeight="1" x14ac:dyDescent="0.25">
      <c r="A239" s="4">
        <v>126464</v>
      </c>
      <c r="B239" s="4" t="s">
        <v>24</v>
      </c>
      <c r="C239" s="5">
        <v>30316</v>
      </c>
      <c r="D239" s="4" t="s">
        <v>93</v>
      </c>
      <c r="E239" s="4" t="s">
        <v>14</v>
      </c>
      <c r="F239" s="4" t="s">
        <v>15</v>
      </c>
      <c r="G239" s="6">
        <v>496</v>
      </c>
      <c r="H239" s="7">
        <v>49600</v>
      </c>
      <c r="I239" s="145">
        <f t="shared" ca="1" si="12"/>
        <v>41</v>
      </c>
      <c r="J239" s="8" t="b">
        <f t="shared" ca="1" si="13"/>
        <v>0</v>
      </c>
      <c r="K239" s="8" t="b">
        <f t="shared" ca="1" si="14"/>
        <v>1</v>
      </c>
      <c r="L239" s="8">
        <f t="shared" ca="1" si="15"/>
        <v>0</v>
      </c>
    </row>
    <row r="240" spans="1:12" ht="15.75" customHeight="1" x14ac:dyDescent="0.25">
      <c r="A240" s="4">
        <v>20920</v>
      </c>
      <c r="B240" s="4" t="s">
        <v>24</v>
      </c>
      <c r="C240" s="5">
        <v>24538</v>
      </c>
      <c r="D240" s="4" t="s">
        <v>140</v>
      </c>
      <c r="E240" s="4" t="s">
        <v>74</v>
      </c>
      <c r="F240" s="4" t="s">
        <v>79</v>
      </c>
      <c r="G240" s="6">
        <v>493</v>
      </c>
      <c r="H240" s="7">
        <v>49329</v>
      </c>
      <c r="I240" s="145">
        <f t="shared" ca="1" si="12"/>
        <v>57</v>
      </c>
      <c r="J240" s="8" t="b">
        <f t="shared" ca="1" si="13"/>
        <v>0</v>
      </c>
      <c r="K240" s="8" t="b">
        <f t="shared" ca="1" si="14"/>
        <v>0</v>
      </c>
      <c r="L240" s="8">
        <f t="shared" ca="1" si="15"/>
        <v>10000</v>
      </c>
    </row>
    <row r="241" spans="1:12" ht="15.75" customHeight="1" x14ac:dyDescent="0.25">
      <c r="A241" s="4">
        <v>138327</v>
      </c>
      <c r="B241" s="4" t="s">
        <v>12</v>
      </c>
      <c r="C241" s="5">
        <v>24073</v>
      </c>
      <c r="D241" s="4" t="s">
        <v>67</v>
      </c>
      <c r="E241" s="4" t="s">
        <v>67</v>
      </c>
      <c r="F241" s="4" t="s">
        <v>23</v>
      </c>
      <c r="G241" s="6">
        <v>484</v>
      </c>
      <c r="H241" s="7">
        <v>48442</v>
      </c>
      <c r="I241" s="145">
        <f t="shared" ca="1" si="12"/>
        <v>58</v>
      </c>
      <c r="J241" s="8" t="b">
        <f t="shared" ca="1" si="13"/>
        <v>0</v>
      </c>
      <c r="K241" s="8" t="b">
        <f t="shared" ca="1" si="14"/>
        <v>0</v>
      </c>
      <c r="L241" s="8">
        <f t="shared" ca="1" si="15"/>
        <v>0</v>
      </c>
    </row>
    <row r="242" spans="1:12" ht="15.75" customHeight="1" x14ac:dyDescent="0.25">
      <c r="A242" s="4">
        <v>20630</v>
      </c>
      <c r="B242" s="4" t="s">
        <v>12</v>
      </c>
      <c r="C242" s="5">
        <v>30398</v>
      </c>
      <c r="D242" s="4" t="s">
        <v>13</v>
      </c>
      <c r="E242" s="4" t="s">
        <v>14</v>
      </c>
      <c r="F242" s="4" t="s">
        <v>15</v>
      </c>
      <c r="G242" s="6">
        <v>478</v>
      </c>
      <c r="H242" s="7">
        <v>47795</v>
      </c>
      <c r="I242" s="145">
        <f t="shared" ca="1" si="12"/>
        <v>41</v>
      </c>
      <c r="J242" s="8" t="b">
        <f t="shared" ca="1" si="13"/>
        <v>0</v>
      </c>
      <c r="K242" s="8" t="b">
        <f t="shared" ca="1" si="14"/>
        <v>0</v>
      </c>
      <c r="L242" s="8">
        <f t="shared" ca="1" si="15"/>
        <v>0</v>
      </c>
    </row>
    <row r="243" spans="1:12" ht="15.75" customHeight="1" x14ac:dyDescent="0.25">
      <c r="A243" s="4">
        <v>131432</v>
      </c>
      <c r="B243" s="4" t="s">
        <v>24</v>
      </c>
      <c r="C243" s="5">
        <v>27452</v>
      </c>
      <c r="D243" s="4" t="s">
        <v>141</v>
      </c>
      <c r="E243" s="4" t="s">
        <v>22</v>
      </c>
      <c r="F243" s="4" t="s">
        <v>23</v>
      </c>
      <c r="G243" s="6">
        <v>475</v>
      </c>
      <c r="H243" s="7">
        <v>47500</v>
      </c>
      <c r="I243" s="145">
        <f t="shared" ca="1" si="12"/>
        <v>49</v>
      </c>
      <c r="J243" s="8" t="b">
        <f t="shared" ca="1" si="13"/>
        <v>0</v>
      </c>
      <c r="K243" s="8" t="b">
        <f t="shared" ca="1" si="14"/>
        <v>1</v>
      </c>
      <c r="L243" s="8">
        <f t="shared" ca="1" si="15"/>
        <v>0</v>
      </c>
    </row>
    <row r="244" spans="1:12" ht="15.75" customHeight="1" x14ac:dyDescent="0.25">
      <c r="A244" s="4">
        <v>128597</v>
      </c>
      <c r="B244" s="4" t="s">
        <v>12</v>
      </c>
      <c r="C244" s="5">
        <v>32640</v>
      </c>
      <c r="D244" s="4" t="s">
        <v>142</v>
      </c>
      <c r="E244" s="4" t="s">
        <v>20</v>
      </c>
      <c r="F244" s="4" t="s">
        <v>15</v>
      </c>
      <c r="G244" s="6">
        <v>474</v>
      </c>
      <c r="H244" s="7">
        <v>47430</v>
      </c>
      <c r="I244" s="145">
        <f t="shared" ca="1" si="12"/>
        <v>35</v>
      </c>
      <c r="J244" s="8" t="b">
        <f t="shared" ca="1" si="13"/>
        <v>1</v>
      </c>
      <c r="K244" s="8" t="b">
        <f t="shared" ca="1" si="14"/>
        <v>0</v>
      </c>
      <c r="L244" s="8">
        <f t="shared" ca="1" si="15"/>
        <v>0</v>
      </c>
    </row>
    <row r="245" spans="1:12" ht="15.75" customHeight="1" x14ac:dyDescent="0.25">
      <c r="A245" s="4">
        <v>121649</v>
      </c>
      <c r="B245" s="4" t="s">
        <v>12</v>
      </c>
      <c r="C245" s="5">
        <v>28497</v>
      </c>
      <c r="D245" s="4" t="s">
        <v>143</v>
      </c>
      <c r="E245" s="4" t="s">
        <v>20</v>
      </c>
      <c r="F245" s="4" t="s">
        <v>15</v>
      </c>
      <c r="G245" s="6">
        <v>472</v>
      </c>
      <c r="H245" s="7">
        <v>47200</v>
      </c>
      <c r="I245" s="145">
        <f t="shared" ca="1" si="12"/>
        <v>46</v>
      </c>
      <c r="J245" s="8" t="b">
        <f t="shared" ca="1" si="13"/>
        <v>0</v>
      </c>
      <c r="K245" s="8" t="b">
        <f t="shared" ca="1" si="14"/>
        <v>0</v>
      </c>
      <c r="L245" s="8">
        <f t="shared" ca="1" si="15"/>
        <v>0</v>
      </c>
    </row>
    <row r="246" spans="1:12" ht="15.75" customHeight="1" x14ac:dyDescent="0.25">
      <c r="A246" s="4">
        <v>136683</v>
      </c>
      <c r="B246" s="4" t="s">
        <v>12</v>
      </c>
      <c r="C246" s="5">
        <v>30011</v>
      </c>
      <c r="D246" s="4" t="s">
        <v>30</v>
      </c>
      <c r="E246" s="4" t="s">
        <v>20</v>
      </c>
      <c r="F246" s="4" t="s">
        <v>15</v>
      </c>
      <c r="G246" s="6">
        <v>472</v>
      </c>
      <c r="H246" s="7">
        <v>47200</v>
      </c>
      <c r="I246" s="145">
        <f t="shared" ca="1" si="12"/>
        <v>42</v>
      </c>
      <c r="J246" s="8" t="b">
        <f t="shared" ca="1" si="13"/>
        <v>0</v>
      </c>
      <c r="K246" s="8" t="b">
        <f t="shared" ca="1" si="14"/>
        <v>0</v>
      </c>
      <c r="L246" s="8">
        <f t="shared" ca="1" si="15"/>
        <v>0</v>
      </c>
    </row>
    <row r="247" spans="1:12" ht="15.75" customHeight="1" x14ac:dyDescent="0.25">
      <c r="A247" s="4">
        <v>135431</v>
      </c>
      <c r="B247" s="4" t="s">
        <v>12</v>
      </c>
      <c r="C247" s="5">
        <v>28956</v>
      </c>
      <c r="D247" s="4" t="s">
        <v>30</v>
      </c>
      <c r="E247" s="4" t="s">
        <v>20</v>
      </c>
      <c r="F247" s="4" t="s">
        <v>15</v>
      </c>
      <c r="G247" s="6">
        <v>470</v>
      </c>
      <c r="H247" s="7">
        <v>46950</v>
      </c>
      <c r="I247" s="145">
        <f t="shared" ca="1" si="12"/>
        <v>45</v>
      </c>
      <c r="J247" s="8" t="b">
        <f t="shared" ca="1" si="13"/>
        <v>0</v>
      </c>
      <c r="K247" s="8" t="b">
        <f t="shared" ca="1" si="14"/>
        <v>0</v>
      </c>
      <c r="L247" s="8">
        <f t="shared" ca="1" si="15"/>
        <v>0</v>
      </c>
    </row>
    <row r="248" spans="1:12" ht="15.75" customHeight="1" x14ac:dyDescent="0.25">
      <c r="A248" s="4">
        <v>139711</v>
      </c>
      <c r="B248" s="4" t="s">
        <v>12</v>
      </c>
      <c r="C248" s="5">
        <v>25594</v>
      </c>
      <c r="D248" s="4" t="s">
        <v>144</v>
      </c>
      <c r="E248" s="4" t="s">
        <v>39</v>
      </c>
      <c r="F248" s="4" t="s">
        <v>40</v>
      </c>
      <c r="G248" s="6">
        <v>467</v>
      </c>
      <c r="H248" s="7">
        <v>46720</v>
      </c>
      <c r="I248" s="145">
        <f t="shared" ca="1" si="12"/>
        <v>54</v>
      </c>
      <c r="J248" s="8" t="b">
        <f t="shared" ca="1" si="13"/>
        <v>0</v>
      </c>
      <c r="K248" s="8" t="b">
        <f t="shared" ca="1" si="14"/>
        <v>0</v>
      </c>
      <c r="L248" s="8">
        <f t="shared" ca="1" si="15"/>
        <v>0</v>
      </c>
    </row>
    <row r="249" spans="1:12" ht="15.75" customHeight="1" x14ac:dyDescent="0.25">
      <c r="A249" s="4">
        <v>24955</v>
      </c>
      <c r="B249" s="4" t="s">
        <v>12</v>
      </c>
      <c r="C249" s="5">
        <v>31536</v>
      </c>
      <c r="D249" s="4" t="s">
        <v>31</v>
      </c>
      <c r="E249" s="4" t="s">
        <v>20</v>
      </c>
      <c r="F249" s="4" t="s">
        <v>15</v>
      </c>
      <c r="G249" s="6">
        <v>464</v>
      </c>
      <c r="H249" s="7">
        <v>46398</v>
      </c>
      <c r="I249" s="145">
        <f t="shared" ca="1" si="12"/>
        <v>38</v>
      </c>
      <c r="J249" s="8" t="b">
        <f t="shared" ca="1" si="13"/>
        <v>1</v>
      </c>
      <c r="K249" s="8" t="b">
        <f t="shared" ca="1" si="14"/>
        <v>0</v>
      </c>
      <c r="L249" s="8">
        <f t="shared" ca="1" si="15"/>
        <v>0</v>
      </c>
    </row>
    <row r="250" spans="1:12" ht="15.75" customHeight="1" x14ac:dyDescent="0.25">
      <c r="A250" s="4">
        <v>25977</v>
      </c>
      <c r="B250" s="4" t="s">
        <v>24</v>
      </c>
      <c r="C250" s="5">
        <v>19540</v>
      </c>
      <c r="D250" s="4" t="s">
        <v>145</v>
      </c>
      <c r="E250" s="4" t="s">
        <v>39</v>
      </c>
      <c r="F250" s="4" t="s">
        <v>40</v>
      </c>
      <c r="G250" s="6">
        <v>462</v>
      </c>
      <c r="H250" s="7">
        <v>46163</v>
      </c>
      <c r="I250" s="145">
        <f t="shared" ca="1" si="12"/>
        <v>71</v>
      </c>
      <c r="J250" s="8" t="b">
        <f t="shared" ca="1" si="13"/>
        <v>0</v>
      </c>
      <c r="K250" s="8" t="b">
        <f t="shared" ca="1" si="14"/>
        <v>0</v>
      </c>
      <c r="L250" s="8">
        <f t="shared" ca="1" si="15"/>
        <v>10000</v>
      </c>
    </row>
    <row r="251" spans="1:12" ht="15.75" customHeight="1" x14ac:dyDescent="0.25">
      <c r="A251" s="4">
        <v>23590</v>
      </c>
      <c r="B251" s="4" t="s">
        <v>12</v>
      </c>
      <c r="C251" s="5">
        <v>31982</v>
      </c>
      <c r="D251" s="4" t="s">
        <v>146</v>
      </c>
      <c r="E251" s="4" t="s">
        <v>74</v>
      </c>
      <c r="F251" s="4" t="s">
        <v>79</v>
      </c>
      <c r="G251" s="6">
        <v>456</v>
      </c>
      <c r="H251" s="7">
        <v>45633</v>
      </c>
      <c r="I251" s="145">
        <f t="shared" ca="1" si="12"/>
        <v>36</v>
      </c>
      <c r="J251" s="8" t="b">
        <f t="shared" ca="1" si="13"/>
        <v>1</v>
      </c>
      <c r="K251" s="8" t="b">
        <f t="shared" ca="1" si="14"/>
        <v>0</v>
      </c>
      <c r="L251" s="8">
        <f t="shared" ca="1" si="15"/>
        <v>0</v>
      </c>
    </row>
    <row r="252" spans="1:12" ht="15.75" customHeight="1" x14ac:dyDescent="0.25">
      <c r="A252" s="4">
        <v>23650</v>
      </c>
      <c r="B252" s="4" t="s">
        <v>12</v>
      </c>
      <c r="C252" s="5">
        <v>27306</v>
      </c>
      <c r="D252" s="4" t="s">
        <v>54</v>
      </c>
      <c r="E252" s="4" t="s">
        <v>55</v>
      </c>
      <c r="F252" s="4" t="s">
        <v>18</v>
      </c>
      <c r="G252" s="6">
        <v>446</v>
      </c>
      <c r="H252" s="7">
        <v>44632</v>
      </c>
      <c r="I252" s="145">
        <f t="shared" ca="1" si="12"/>
        <v>49</v>
      </c>
      <c r="J252" s="8" t="b">
        <f t="shared" ca="1" si="13"/>
        <v>0</v>
      </c>
      <c r="K252" s="8" t="b">
        <f t="shared" ca="1" si="14"/>
        <v>0</v>
      </c>
      <c r="L252" s="8">
        <f t="shared" ca="1" si="15"/>
        <v>0</v>
      </c>
    </row>
    <row r="253" spans="1:12" ht="15.75" customHeight="1" x14ac:dyDescent="0.25">
      <c r="A253" s="4">
        <v>22432</v>
      </c>
      <c r="B253" s="4" t="s">
        <v>24</v>
      </c>
      <c r="C253" s="5">
        <v>14055</v>
      </c>
      <c r="D253" s="4" t="s">
        <v>41</v>
      </c>
      <c r="E253" s="4" t="s">
        <v>20</v>
      </c>
      <c r="F253" s="4" t="s">
        <v>15</v>
      </c>
      <c r="G253" s="6">
        <v>444</v>
      </c>
      <c r="H253" s="7">
        <v>44428</v>
      </c>
      <c r="I253" s="145">
        <f t="shared" ca="1" si="12"/>
        <v>86</v>
      </c>
      <c r="J253" s="8" t="b">
        <f t="shared" ca="1" si="13"/>
        <v>0</v>
      </c>
      <c r="K253" s="8" t="b">
        <f t="shared" ca="1" si="14"/>
        <v>0</v>
      </c>
      <c r="L253" s="8">
        <f t="shared" ca="1" si="15"/>
        <v>10000</v>
      </c>
    </row>
    <row r="254" spans="1:12" ht="15.75" customHeight="1" x14ac:dyDescent="0.25">
      <c r="A254" s="4">
        <v>21935</v>
      </c>
      <c r="B254" s="4" t="s">
        <v>12</v>
      </c>
      <c r="C254" s="5">
        <v>31787</v>
      </c>
      <c r="D254" s="4" t="s">
        <v>147</v>
      </c>
      <c r="E254" s="4" t="s">
        <v>20</v>
      </c>
      <c r="F254" s="4" t="s">
        <v>15</v>
      </c>
      <c r="G254" s="6">
        <v>440</v>
      </c>
      <c r="H254" s="7">
        <v>44020</v>
      </c>
      <c r="I254" s="145">
        <f t="shared" ca="1" si="12"/>
        <v>37</v>
      </c>
      <c r="J254" s="8" t="b">
        <f t="shared" ca="1" si="13"/>
        <v>1</v>
      </c>
      <c r="K254" s="8" t="b">
        <f t="shared" ca="1" si="14"/>
        <v>0</v>
      </c>
      <c r="L254" s="8">
        <f t="shared" ca="1" si="15"/>
        <v>0</v>
      </c>
    </row>
    <row r="255" spans="1:12" ht="15.75" customHeight="1" x14ac:dyDescent="0.25">
      <c r="A255" s="4">
        <v>22924</v>
      </c>
      <c r="B255" s="4" t="s">
        <v>12</v>
      </c>
      <c r="C255" s="5">
        <v>31280</v>
      </c>
      <c r="D255" s="4" t="s">
        <v>87</v>
      </c>
      <c r="E255" s="4" t="s">
        <v>28</v>
      </c>
      <c r="F255" s="4" t="s">
        <v>23</v>
      </c>
      <c r="G255" s="6">
        <v>437</v>
      </c>
      <c r="H255" s="7">
        <v>43674</v>
      </c>
      <c r="I255" s="145">
        <f t="shared" ca="1" si="12"/>
        <v>38</v>
      </c>
      <c r="J255" s="8" t="b">
        <f t="shared" ca="1" si="13"/>
        <v>1</v>
      </c>
      <c r="K255" s="8" t="b">
        <f t="shared" ca="1" si="14"/>
        <v>0</v>
      </c>
      <c r="L255" s="8">
        <f t="shared" ca="1" si="15"/>
        <v>0</v>
      </c>
    </row>
    <row r="256" spans="1:12" ht="15.75" customHeight="1" x14ac:dyDescent="0.25">
      <c r="A256" s="4">
        <v>131726</v>
      </c>
      <c r="B256" s="4" t="s">
        <v>24</v>
      </c>
      <c r="C256" s="5">
        <v>26327</v>
      </c>
      <c r="D256" s="4" t="s">
        <v>148</v>
      </c>
      <c r="E256" s="4" t="s">
        <v>74</v>
      </c>
      <c r="F256" s="4" t="s">
        <v>23</v>
      </c>
      <c r="G256" s="6">
        <v>433</v>
      </c>
      <c r="H256" s="7">
        <v>43340</v>
      </c>
      <c r="I256" s="145">
        <f t="shared" ca="1" si="12"/>
        <v>52</v>
      </c>
      <c r="J256" s="8" t="b">
        <f t="shared" ca="1" si="13"/>
        <v>0</v>
      </c>
      <c r="K256" s="8" t="b">
        <f t="shared" ca="1" si="14"/>
        <v>0</v>
      </c>
      <c r="L256" s="8">
        <f t="shared" ca="1" si="15"/>
        <v>10000</v>
      </c>
    </row>
    <row r="257" spans="1:12" ht="15.75" customHeight="1" x14ac:dyDescent="0.25">
      <c r="A257" s="4">
        <v>131043</v>
      </c>
      <c r="B257" s="4" t="s">
        <v>12</v>
      </c>
      <c r="C257" s="5">
        <v>28741</v>
      </c>
      <c r="D257" s="4" t="s">
        <v>54</v>
      </c>
      <c r="E257" s="4" t="s">
        <v>55</v>
      </c>
      <c r="F257" s="4" t="s">
        <v>18</v>
      </c>
      <c r="G257" s="6">
        <v>431</v>
      </c>
      <c r="H257" s="7">
        <v>43092</v>
      </c>
      <c r="I257" s="145">
        <f t="shared" ca="1" si="12"/>
        <v>45</v>
      </c>
      <c r="J257" s="8" t="b">
        <f t="shared" ca="1" si="13"/>
        <v>0</v>
      </c>
      <c r="K257" s="8" t="b">
        <f t="shared" ca="1" si="14"/>
        <v>0</v>
      </c>
      <c r="L257" s="8">
        <f t="shared" ca="1" si="15"/>
        <v>0</v>
      </c>
    </row>
    <row r="258" spans="1:12" ht="15.75" customHeight="1" x14ac:dyDescent="0.25">
      <c r="A258" s="4">
        <v>27051</v>
      </c>
      <c r="B258" s="4" t="s">
        <v>12</v>
      </c>
      <c r="C258" s="5">
        <v>27393</v>
      </c>
      <c r="D258" s="4" t="s">
        <v>149</v>
      </c>
      <c r="E258" s="4" t="s">
        <v>150</v>
      </c>
      <c r="F258" s="4" t="s">
        <v>40</v>
      </c>
      <c r="G258" s="6">
        <v>430</v>
      </c>
      <c r="H258" s="7">
        <v>43038</v>
      </c>
      <c r="I258" s="145">
        <f t="shared" ca="1" si="12"/>
        <v>49</v>
      </c>
      <c r="J258" s="8" t="b">
        <f t="shared" ca="1" si="13"/>
        <v>0</v>
      </c>
      <c r="K258" s="8" t="b">
        <f t="shared" ca="1" si="14"/>
        <v>0</v>
      </c>
      <c r="L258" s="8">
        <f t="shared" ca="1" si="15"/>
        <v>0</v>
      </c>
    </row>
    <row r="259" spans="1:12" ht="15.75" customHeight="1" x14ac:dyDescent="0.25">
      <c r="A259" s="4">
        <v>119693</v>
      </c>
      <c r="B259" s="4" t="s">
        <v>24</v>
      </c>
      <c r="C259" s="5">
        <v>32761</v>
      </c>
      <c r="D259" s="4" t="s">
        <v>124</v>
      </c>
      <c r="E259" s="4" t="s">
        <v>14</v>
      </c>
      <c r="F259" s="4" t="s">
        <v>15</v>
      </c>
      <c r="G259" s="6">
        <v>429</v>
      </c>
      <c r="H259" s="7">
        <v>42900</v>
      </c>
      <c r="I259" s="145">
        <f t="shared" ref="I259:I322" ca="1" si="16">DATEDIF(C259,TODAY(),"y")</f>
        <v>34</v>
      </c>
      <c r="J259" s="8" t="b">
        <f t="shared" ref="J259:J322" ca="1" si="17">AND(B259="Male",I259&lt;40)</f>
        <v>0</v>
      </c>
      <c r="K259" s="8" t="b">
        <f t="shared" ref="K259:K322" ca="1" si="18">AND(B259="Female",I259&lt;50)</f>
        <v>1</v>
      </c>
      <c r="L259" s="8">
        <f t="shared" ref="L259:L322" ca="1" si="19">IF(AND(B259="Female",OR(I259&lt;25,I259&gt;50)),10000,0)</f>
        <v>0</v>
      </c>
    </row>
    <row r="260" spans="1:12" ht="15.75" customHeight="1" x14ac:dyDescent="0.25">
      <c r="A260" s="4">
        <v>20963</v>
      </c>
      <c r="B260" s="4" t="s">
        <v>24</v>
      </c>
      <c r="C260" s="5">
        <v>32861</v>
      </c>
      <c r="D260" s="4" t="s">
        <v>49</v>
      </c>
      <c r="E260" s="4" t="s">
        <v>20</v>
      </c>
      <c r="F260" s="4" t="s">
        <v>15</v>
      </c>
      <c r="G260" s="6">
        <v>428</v>
      </c>
      <c r="H260" s="7">
        <v>42813</v>
      </c>
      <c r="I260" s="145">
        <f t="shared" ca="1" si="16"/>
        <v>34</v>
      </c>
      <c r="J260" s="8" t="b">
        <f t="shared" ca="1" si="17"/>
        <v>0</v>
      </c>
      <c r="K260" s="8" t="b">
        <f t="shared" ca="1" si="18"/>
        <v>1</v>
      </c>
      <c r="L260" s="8">
        <f t="shared" ca="1" si="19"/>
        <v>0</v>
      </c>
    </row>
    <row r="261" spans="1:12" ht="15.75" customHeight="1" x14ac:dyDescent="0.25">
      <c r="A261" s="4">
        <v>130364</v>
      </c>
      <c r="B261" s="4" t="s">
        <v>12</v>
      </c>
      <c r="C261" s="5">
        <v>33632</v>
      </c>
      <c r="D261" s="4" t="s">
        <v>87</v>
      </c>
      <c r="E261" s="4" t="s">
        <v>28</v>
      </c>
      <c r="F261" s="4" t="s">
        <v>23</v>
      </c>
      <c r="G261" s="6">
        <v>422</v>
      </c>
      <c r="H261" s="7">
        <v>42180</v>
      </c>
      <c r="I261" s="145">
        <f t="shared" ca="1" si="16"/>
        <v>32</v>
      </c>
      <c r="J261" s="8" t="b">
        <f t="shared" ca="1" si="17"/>
        <v>1</v>
      </c>
      <c r="K261" s="8" t="b">
        <f t="shared" ca="1" si="18"/>
        <v>0</v>
      </c>
      <c r="L261" s="8">
        <f t="shared" ca="1" si="19"/>
        <v>0</v>
      </c>
    </row>
    <row r="262" spans="1:12" ht="15.75" customHeight="1" x14ac:dyDescent="0.25">
      <c r="A262" s="4">
        <v>21113</v>
      </c>
      <c r="B262" s="4" t="s">
        <v>12</v>
      </c>
      <c r="C262" s="5">
        <v>28662</v>
      </c>
      <c r="D262" s="4" t="s">
        <v>48</v>
      </c>
      <c r="E262" s="4" t="s">
        <v>20</v>
      </c>
      <c r="F262" s="4" t="s">
        <v>15</v>
      </c>
      <c r="G262" s="6">
        <v>421</v>
      </c>
      <c r="H262" s="7">
        <v>42112</v>
      </c>
      <c r="I262" s="145">
        <f t="shared" ca="1" si="16"/>
        <v>46</v>
      </c>
      <c r="J262" s="8" t="b">
        <f t="shared" ca="1" si="17"/>
        <v>0</v>
      </c>
      <c r="K262" s="8" t="b">
        <f t="shared" ca="1" si="18"/>
        <v>0</v>
      </c>
      <c r="L262" s="8">
        <f t="shared" ca="1" si="19"/>
        <v>0</v>
      </c>
    </row>
    <row r="263" spans="1:12" ht="15.75" customHeight="1" x14ac:dyDescent="0.25">
      <c r="A263" s="4">
        <v>138474</v>
      </c>
      <c r="B263" s="4" t="s">
        <v>24</v>
      </c>
      <c r="C263" s="5">
        <v>24941</v>
      </c>
      <c r="D263" s="4" t="s">
        <v>104</v>
      </c>
      <c r="E263" s="4" t="s">
        <v>55</v>
      </c>
      <c r="F263" s="4" t="s">
        <v>18</v>
      </c>
      <c r="G263" s="6">
        <v>406</v>
      </c>
      <c r="H263" s="7">
        <v>40560</v>
      </c>
      <c r="I263" s="145">
        <f t="shared" ca="1" si="16"/>
        <v>56</v>
      </c>
      <c r="J263" s="8" t="b">
        <f t="shared" ca="1" si="17"/>
        <v>0</v>
      </c>
      <c r="K263" s="8" t="b">
        <f t="shared" ca="1" si="18"/>
        <v>0</v>
      </c>
      <c r="L263" s="8">
        <f t="shared" ca="1" si="19"/>
        <v>10000</v>
      </c>
    </row>
    <row r="264" spans="1:12" ht="15.75" customHeight="1" x14ac:dyDescent="0.25">
      <c r="A264" s="4">
        <v>23925</v>
      </c>
      <c r="B264" s="4" t="s">
        <v>12</v>
      </c>
      <c r="C264" s="5">
        <v>33080</v>
      </c>
      <c r="D264" s="4" t="s">
        <v>96</v>
      </c>
      <c r="E264" s="4" t="s">
        <v>52</v>
      </c>
      <c r="F264" s="4" t="s">
        <v>15</v>
      </c>
      <c r="G264" s="6">
        <v>388</v>
      </c>
      <c r="H264" s="7">
        <v>38760</v>
      </c>
      <c r="I264" s="145">
        <f t="shared" ca="1" si="16"/>
        <v>33</v>
      </c>
      <c r="J264" s="8" t="b">
        <f t="shared" ca="1" si="17"/>
        <v>1</v>
      </c>
      <c r="K264" s="8" t="b">
        <f t="shared" ca="1" si="18"/>
        <v>0</v>
      </c>
      <c r="L264" s="8">
        <f t="shared" ca="1" si="19"/>
        <v>0</v>
      </c>
    </row>
    <row r="265" spans="1:12" ht="15.75" customHeight="1" x14ac:dyDescent="0.25">
      <c r="A265" s="4">
        <v>20801</v>
      </c>
      <c r="B265" s="4" t="s">
        <v>24</v>
      </c>
      <c r="C265" s="5">
        <v>24909</v>
      </c>
      <c r="D265" s="4" t="s">
        <v>50</v>
      </c>
      <c r="E265" s="4" t="s">
        <v>20</v>
      </c>
      <c r="F265" s="4" t="s">
        <v>15</v>
      </c>
      <c r="G265" s="6">
        <v>382</v>
      </c>
      <c r="H265" s="7">
        <v>38247</v>
      </c>
      <c r="I265" s="145">
        <f t="shared" ca="1" si="16"/>
        <v>56</v>
      </c>
      <c r="J265" s="8" t="b">
        <f t="shared" ca="1" si="17"/>
        <v>0</v>
      </c>
      <c r="K265" s="8" t="b">
        <f t="shared" ca="1" si="18"/>
        <v>0</v>
      </c>
      <c r="L265" s="8">
        <f t="shared" ca="1" si="19"/>
        <v>10000</v>
      </c>
    </row>
    <row r="266" spans="1:12" ht="15.75" customHeight="1" x14ac:dyDescent="0.25">
      <c r="A266" s="4">
        <v>22808</v>
      </c>
      <c r="B266" s="4" t="s">
        <v>12</v>
      </c>
      <c r="C266" s="5">
        <v>29185</v>
      </c>
      <c r="D266" s="4" t="s">
        <v>48</v>
      </c>
      <c r="E266" s="4" t="s">
        <v>20</v>
      </c>
      <c r="F266" s="4" t="s">
        <v>15</v>
      </c>
      <c r="G266" s="6">
        <v>382</v>
      </c>
      <c r="H266" s="7">
        <v>38155</v>
      </c>
      <c r="I266" s="145">
        <f t="shared" ca="1" si="16"/>
        <v>44</v>
      </c>
      <c r="J266" s="8" t="b">
        <f t="shared" ca="1" si="17"/>
        <v>0</v>
      </c>
      <c r="K266" s="8" t="b">
        <f t="shared" ca="1" si="18"/>
        <v>0</v>
      </c>
      <c r="L266" s="8">
        <f t="shared" ca="1" si="19"/>
        <v>0</v>
      </c>
    </row>
    <row r="267" spans="1:12" ht="15.75" customHeight="1" x14ac:dyDescent="0.25">
      <c r="A267" s="4">
        <v>20752</v>
      </c>
      <c r="B267" s="4" t="s">
        <v>24</v>
      </c>
      <c r="C267" s="5">
        <v>18540</v>
      </c>
      <c r="D267" s="4" t="s">
        <v>54</v>
      </c>
      <c r="E267" s="4" t="s">
        <v>55</v>
      </c>
      <c r="F267" s="4" t="s">
        <v>18</v>
      </c>
      <c r="G267" s="6">
        <v>378</v>
      </c>
      <c r="H267" s="7">
        <v>37820</v>
      </c>
      <c r="I267" s="145">
        <f t="shared" ca="1" si="16"/>
        <v>73</v>
      </c>
      <c r="J267" s="8" t="b">
        <f t="shared" ca="1" si="17"/>
        <v>0</v>
      </c>
      <c r="K267" s="8" t="b">
        <f t="shared" ca="1" si="18"/>
        <v>0</v>
      </c>
      <c r="L267" s="8">
        <f t="shared" ca="1" si="19"/>
        <v>10000</v>
      </c>
    </row>
    <row r="268" spans="1:12" ht="15.75" customHeight="1" x14ac:dyDescent="0.25">
      <c r="A268" s="4">
        <v>124135</v>
      </c>
      <c r="B268" s="4" t="s">
        <v>12</v>
      </c>
      <c r="C268" s="5">
        <v>27727</v>
      </c>
      <c r="D268" s="4" t="s">
        <v>61</v>
      </c>
      <c r="E268" s="4" t="s">
        <v>26</v>
      </c>
      <c r="F268" s="4" t="s">
        <v>23</v>
      </c>
      <c r="G268" s="6">
        <v>374</v>
      </c>
      <c r="H268" s="7">
        <v>37418</v>
      </c>
      <c r="I268" s="145">
        <f t="shared" ca="1" si="16"/>
        <v>48</v>
      </c>
      <c r="J268" s="8" t="b">
        <f t="shared" ca="1" si="17"/>
        <v>0</v>
      </c>
      <c r="K268" s="8" t="b">
        <f t="shared" ca="1" si="18"/>
        <v>0</v>
      </c>
      <c r="L268" s="8">
        <f t="shared" ca="1" si="19"/>
        <v>0</v>
      </c>
    </row>
    <row r="269" spans="1:12" ht="15.75" customHeight="1" x14ac:dyDescent="0.25">
      <c r="A269" s="4">
        <v>21823</v>
      </c>
      <c r="B269" s="4" t="s">
        <v>12</v>
      </c>
      <c r="C269" s="5">
        <v>33972</v>
      </c>
      <c r="D269" s="4" t="s">
        <v>151</v>
      </c>
      <c r="E269" s="4" t="s">
        <v>22</v>
      </c>
      <c r="F269" s="4" t="s">
        <v>23</v>
      </c>
      <c r="G269" s="6">
        <v>372</v>
      </c>
      <c r="H269" s="7">
        <v>37200</v>
      </c>
      <c r="I269" s="145">
        <f t="shared" ca="1" si="16"/>
        <v>31</v>
      </c>
      <c r="J269" s="8" t="b">
        <f t="shared" ca="1" si="17"/>
        <v>1</v>
      </c>
      <c r="K269" s="8" t="b">
        <f t="shared" ca="1" si="18"/>
        <v>0</v>
      </c>
      <c r="L269" s="8">
        <f t="shared" ca="1" si="19"/>
        <v>0</v>
      </c>
    </row>
    <row r="270" spans="1:12" ht="15.75" customHeight="1" x14ac:dyDescent="0.25">
      <c r="A270" s="4">
        <v>23508</v>
      </c>
      <c r="B270" s="4" t="s">
        <v>24</v>
      </c>
      <c r="C270" s="5">
        <v>31814</v>
      </c>
      <c r="D270" s="4" t="s">
        <v>152</v>
      </c>
      <c r="E270" s="4" t="s">
        <v>74</v>
      </c>
      <c r="F270" s="4" t="s">
        <v>79</v>
      </c>
      <c r="G270" s="6">
        <v>365</v>
      </c>
      <c r="H270" s="7">
        <v>36521</v>
      </c>
      <c r="I270" s="145">
        <f t="shared" ca="1" si="16"/>
        <v>37</v>
      </c>
      <c r="J270" s="8" t="b">
        <f t="shared" ca="1" si="17"/>
        <v>0</v>
      </c>
      <c r="K270" s="8" t="b">
        <f t="shared" ca="1" si="18"/>
        <v>1</v>
      </c>
      <c r="L270" s="8">
        <f t="shared" ca="1" si="19"/>
        <v>0</v>
      </c>
    </row>
    <row r="271" spans="1:12" ht="15.75" customHeight="1" x14ac:dyDescent="0.25">
      <c r="A271" s="4">
        <v>21415</v>
      </c>
      <c r="B271" s="4" t="s">
        <v>12</v>
      </c>
      <c r="C271" s="5">
        <v>30965</v>
      </c>
      <c r="D271" s="4" t="s">
        <v>128</v>
      </c>
      <c r="E271" s="4" t="s">
        <v>129</v>
      </c>
      <c r="F271" s="4" t="s">
        <v>18</v>
      </c>
      <c r="G271" s="6">
        <v>363</v>
      </c>
      <c r="H271" s="7">
        <v>36344</v>
      </c>
      <c r="I271" s="145">
        <f t="shared" ca="1" si="16"/>
        <v>39</v>
      </c>
      <c r="J271" s="8" t="b">
        <f t="shared" ca="1" si="17"/>
        <v>1</v>
      </c>
      <c r="K271" s="8" t="b">
        <f t="shared" ca="1" si="18"/>
        <v>0</v>
      </c>
      <c r="L271" s="8">
        <f t="shared" ca="1" si="19"/>
        <v>0</v>
      </c>
    </row>
    <row r="272" spans="1:12" ht="15.75" customHeight="1" x14ac:dyDescent="0.25">
      <c r="A272" s="4">
        <v>22331</v>
      </c>
      <c r="B272" s="4" t="s">
        <v>24</v>
      </c>
      <c r="C272" s="5">
        <v>27983</v>
      </c>
      <c r="D272" s="4" t="s">
        <v>30</v>
      </c>
      <c r="E272" s="4" t="s">
        <v>20</v>
      </c>
      <c r="F272" s="4" t="s">
        <v>15</v>
      </c>
      <c r="G272" s="6">
        <v>361</v>
      </c>
      <c r="H272" s="7">
        <v>36072</v>
      </c>
      <c r="I272" s="145">
        <f t="shared" ca="1" si="16"/>
        <v>47</v>
      </c>
      <c r="J272" s="8" t="b">
        <f t="shared" ca="1" si="17"/>
        <v>0</v>
      </c>
      <c r="K272" s="8" t="b">
        <f t="shared" ca="1" si="18"/>
        <v>1</v>
      </c>
      <c r="L272" s="8">
        <f t="shared" ca="1" si="19"/>
        <v>0</v>
      </c>
    </row>
    <row r="273" spans="1:12" ht="15.75" customHeight="1" x14ac:dyDescent="0.25">
      <c r="A273" s="4">
        <v>125298</v>
      </c>
      <c r="B273" s="4" t="s">
        <v>12</v>
      </c>
      <c r="C273" s="5">
        <v>33730</v>
      </c>
      <c r="D273" s="4" t="s">
        <v>120</v>
      </c>
      <c r="E273" s="4" t="s">
        <v>28</v>
      </c>
      <c r="F273" s="4" t="s">
        <v>23</v>
      </c>
      <c r="G273" s="6">
        <v>353</v>
      </c>
      <c r="H273" s="7">
        <v>35278</v>
      </c>
      <c r="I273" s="145">
        <f t="shared" ca="1" si="16"/>
        <v>32</v>
      </c>
      <c r="J273" s="8" t="b">
        <f t="shared" ca="1" si="17"/>
        <v>1</v>
      </c>
      <c r="K273" s="8" t="b">
        <f t="shared" ca="1" si="18"/>
        <v>0</v>
      </c>
      <c r="L273" s="8">
        <f t="shared" ca="1" si="19"/>
        <v>0</v>
      </c>
    </row>
    <row r="274" spans="1:12" ht="15.75" customHeight="1" x14ac:dyDescent="0.25">
      <c r="A274" s="4">
        <v>121725</v>
      </c>
      <c r="B274" s="4" t="s">
        <v>12</v>
      </c>
      <c r="C274" s="5">
        <v>33861</v>
      </c>
      <c r="D274" s="4" t="s">
        <v>61</v>
      </c>
      <c r="E274" s="4" t="s">
        <v>26</v>
      </c>
      <c r="F274" s="4" t="s">
        <v>23</v>
      </c>
      <c r="G274" s="6">
        <v>352</v>
      </c>
      <c r="H274" s="7">
        <v>35165</v>
      </c>
      <c r="I274" s="145">
        <f t="shared" ca="1" si="16"/>
        <v>31</v>
      </c>
      <c r="J274" s="8" t="b">
        <f t="shared" ca="1" si="17"/>
        <v>1</v>
      </c>
      <c r="K274" s="8" t="b">
        <f t="shared" ca="1" si="18"/>
        <v>0</v>
      </c>
      <c r="L274" s="8">
        <f t="shared" ca="1" si="19"/>
        <v>0</v>
      </c>
    </row>
    <row r="275" spans="1:12" ht="15.75" customHeight="1" x14ac:dyDescent="0.25">
      <c r="A275" s="4">
        <v>20660</v>
      </c>
      <c r="B275" s="4" t="s">
        <v>12</v>
      </c>
      <c r="C275" s="5">
        <v>26254</v>
      </c>
      <c r="D275" s="4" t="s">
        <v>66</v>
      </c>
      <c r="E275" s="4" t="s">
        <v>26</v>
      </c>
      <c r="F275" s="4" t="s">
        <v>23</v>
      </c>
      <c r="G275" s="6">
        <v>351</v>
      </c>
      <c r="H275" s="7">
        <v>35100</v>
      </c>
      <c r="I275" s="145">
        <f t="shared" ca="1" si="16"/>
        <v>52</v>
      </c>
      <c r="J275" s="8" t="b">
        <f t="shared" ca="1" si="17"/>
        <v>0</v>
      </c>
      <c r="K275" s="8" t="b">
        <f t="shared" ca="1" si="18"/>
        <v>0</v>
      </c>
      <c r="L275" s="8">
        <f t="shared" ca="1" si="19"/>
        <v>0</v>
      </c>
    </row>
    <row r="276" spans="1:12" ht="15.75" customHeight="1" x14ac:dyDescent="0.25">
      <c r="A276" s="4">
        <v>94376</v>
      </c>
      <c r="B276" s="4" t="s">
        <v>12</v>
      </c>
      <c r="C276" s="5">
        <v>33813</v>
      </c>
      <c r="D276" s="4" t="s">
        <v>36</v>
      </c>
      <c r="E276" s="4" t="s">
        <v>37</v>
      </c>
      <c r="F276" s="4" t="s">
        <v>18</v>
      </c>
      <c r="G276" s="6">
        <v>350</v>
      </c>
      <c r="H276" s="7">
        <v>35000</v>
      </c>
      <c r="I276" s="145">
        <f t="shared" ca="1" si="16"/>
        <v>31</v>
      </c>
      <c r="J276" s="8" t="b">
        <f t="shared" ca="1" si="17"/>
        <v>1</v>
      </c>
      <c r="K276" s="8" t="b">
        <f t="shared" ca="1" si="18"/>
        <v>0</v>
      </c>
      <c r="L276" s="8">
        <f t="shared" ca="1" si="19"/>
        <v>0</v>
      </c>
    </row>
    <row r="277" spans="1:12" ht="15.75" customHeight="1" x14ac:dyDescent="0.25">
      <c r="A277" s="4">
        <v>22931</v>
      </c>
      <c r="B277" s="4" t="s">
        <v>12</v>
      </c>
      <c r="C277" s="5">
        <v>29167</v>
      </c>
      <c r="D277" s="4" t="s">
        <v>118</v>
      </c>
      <c r="E277" s="4" t="s">
        <v>20</v>
      </c>
      <c r="F277" s="4" t="s">
        <v>15</v>
      </c>
      <c r="G277" s="6">
        <v>347</v>
      </c>
      <c r="H277" s="7">
        <v>34742</v>
      </c>
      <c r="I277" s="145">
        <f t="shared" ca="1" si="16"/>
        <v>44</v>
      </c>
      <c r="J277" s="8" t="b">
        <f t="shared" ca="1" si="17"/>
        <v>0</v>
      </c>
      <c r="K277" s="8" t="b">
        <f t="shared" ca="1" si="18"/>
        <v>0</v>
      </c>
      <c r="L277" s="8">
        <f t="shared" ca="1" si="19"/>
        <v>0</v>
      </c>
    </row>
    <row r="278" spans="1:12" ht="15.75" customHeight="1" x14ac:dyDescent="0.25">
      <c r="A278" s="4">
        <v>44204</v>
      </c>
      <c r="B278" s="4" t="s">
        <v>12</v>
      </c>
      <c r="C278" s="5">
        <v>20827</v>
      </c>
      <c r="D278" s="4" t="s">
        <v>108</v>
      </c>
      <c r="E278" s="4" t="s">
        <v>74</v>
      </c>
      <c r="F278" s="4" t="s">
        <v>79</v>
      </c>
      <c r="G278" s="6">
        <v>342</v>
      </c>
      <c r="H278" s="7">
        <v>34200</v>
      </c>
      <c r="I278" s="145">
        <f t="shared" ca="1" si="16"/>
        <v>67</v>
      </c>
      <c r="J278" s="8" t="b">
        <f t="shared" ca="1" si="17"/>
        <v>0</v>
      </c>
      <c r="K278" s="8" t="b">
        <f t="shared" ca="1" si="18"/>
        <v>0</v>
      </c>
      <c r="L278" s="8">
        <f t="shared" ca="1" si="19"/>
        <v>0</v>
      </c>
    </row>
    <row r="279" spans="1:12" ht="15.75" customHeight="1" x14ac:dyDescent="0.25">
      <c r="A279" s="4">
        <v>125284</v>
      </c>
      <c r="B279" s="4" t="s">
        <v>12</v>
      </c>
      <c r="C279" s="5">
        <v>27543</v>
      </c>
      <c r="D279" s="4" t="s">
        <v>33</v>
      </c>
      <c r="E279" s="4" t="s">
        <v>20</v>
      </c>
      <c r="F279" s="4" t="s">
        <v>15</v>
      </c>
      <c r="G279" s="6">
        <v>342</v>
      </c>
      <c r="H279" s="7">
        <v>34190</v>
      </c>
      <c r="I279" s="145">
        <f t="shared" ca="1" si="16"/>
        <v>49</v>
      </c>
      <c r="J279" s="8" t="b">
        <f t="shared" ca="1" si="17"/>
        <v>0</v>
      </c>
      <c r="K279" s="8" t="b">
        <f t="shared" ca="1" si="18"/>
        <v>0</v>
      </c>
      <c r="L279" s="8">
        <f t="shared" ca="1" si="19"/>
        <v>0</v>
      </c>
    </row>
    <row r="280" spans="1:12" ht="15.75" customHeight="1" x14ac:dyDescent="0.25">
      <c r="A280" s="4">
        <v>26347</v>
      </c>
      <c r="B280" s="4" t="s">
        <v>12</v>
      </c>
      <c r="C280" s="5">
        <v>26669</v>
      </c>
      <c r="D280" s="4" t="s">
        <v>48</v>
      </c>
      <c r="E280" s="4" t="s">
        <v>20</v>
      </c>
      <c r="F280" s="4" t="s">
        <v>15</v>
      </c>
      <c r="G280" s="6">
        <v>335</v>
      </c>
      <c r="H280" s="7">
        <v>33489</v>
      </c>
      <c r="I280" s="145">
        <f t="shared" ca="1" si="16"/>
        <v>51</v>
      </c>
      <c r="J280" s="8" t="b">
        <f t="shared" ca="1" si="17"/>
        <v>0</v>
      </c>
      <c r="K280" s="8" t="b">
        <f t="shared" ca="1" si="18"/>
        <v>0</v>
      </c>
      <c r="L280" s="8">
        <f t="shared" ca="1" si="19"/>
        <v>0</v>
      </c>
    </row>
    <row r="281" spans="1:12" ht="15.75" customHeight="1" x14ac:dyDescent="0.25">
      <c r="A281" s="4">
        <v>21281</v>
      </c>
      <c r="B281" s="4" t="s">
        <v>24</v>
      </c>
      <c r="C281" s="5">
        <v>30901</v>
      </c>
      <c r="D281" s="4" t="s">
        <v>38</v>
      </c>
      <c r="E281" s="4" t="s">
        <v>39</v>
      </c>
      <c r="F281" s="4" t="s">
        <v>40</v>
      </c>
      <c r="G281" s="6">
        <v>335</v>
      </c>
      <c r="H281" s="7">
        <v>33489</v>
      </c>
      <c r="I281" s="145">
        <f t="shared" ca="1" si="16"/>
        <v>39</v>
      </c>
      <c r="J281" s="8" t="b">
        <f t="shared" ca="1" si="17"/>
        <v>0</v>
      </c>
      <c r="K281" s="8" t="b">
        <f t="shared" ca="1" si="18"/>
        <v>1</v>
      </c>
      <c r="L281" s="8">
        <f t="shared" ca="1" si="19"/>
        <v>0</v>
      </c>
    </row>
    <row r="282" spans="1:12" ht="15.75" customHeight="1" x14ac:dyDescent="0.25">
      <c r="A282" s="4">
        <v>24866</v>
      </c>
      <c r="B282" s="4" t="s">
        <v>12</v>
      </c>
      <c r="C282" s="5">
        <v>32015</v>
      </c>
      <c r="D282" s="4" t="s">
        <v>153</v>
      </c>
      <c r="E282" s="4" t="s">
        <v>26</v>
      </c>
      <c r="F282" s="4" t="s">
        <v>23</v>
      </c>
      <c r="G282" s="6">
        <v>334</v>
      </c>
      <c r="H282" s="7">
        <v>33433</v>
      </c>
      <c r="I282" s="145">
        <f t="shared" ca="1" si="16"/>
        <v>36</v>
      </c>
      <c r="J282" s="8" t="b">
        <f t="shared" ca="1" si="17"/>
        <v>1</v>
      </c>
      <c r="K282" s="8" t="b">
        <f t="shared" ca="1" si="18"/>
        <v>0</v>
      </c>
      <c r="L282" s="8">
        <f t="shared" ca="1" si="19"/>
        <v>0</v>
      </c>
    </row>
    <row r="283" spans="1:12" ht="15.75" customHeight="1" x14ac:dyDescent="0.25">
      <c r="A283" s="4">
        <v>123347</v>
      </c>
      <c r="B283" s="4" t="s">
        <v>12</v>
      </c>
      <c r="C283" s="5">
        <v>35104</v>
      </c>
      <c r="D283" s="4" t="s">
        <v>80</v>
      </c>
      <c r="E283" s="4" t="s">
        <v>26</v>
      </c>
      <c r="F283" s="4" t="s">
        <v>23</v>
      </c>
      <c r="G283" s="6">
        <v>330</v>
      </c>
      <c r="H283" s="7">
        <v>33000</v>
      </c>
      <c r="I283" s="145">
        <f t="shared" ca="1" si="16"/>
        <v>28</v>
      </c>
      <c r="J283" s="8" t="b">
        <f t="shared" ca="1" si="17"/>
        <v>1</v>
      </c>
      <c r="K283" s="8" t="b">
        <f t="shared" ca="1" si="18"/>
        <v>0</v>
      </c>
      <c r="L283" s="8">
        <f t="shared" ca="1" si="19"/>
        <v>0</v>
      </c>
    </row>
    <row r="284" spans="1:12" ht="15.75" customHeight="1" x14ac:dyDescent="0.25">
      <c r="A284" s="4">
        <v>20785</v>
      </c>
      <c r="B284" s="4" t="s">
        <v>12</v>
      </c>
      <c r="C284" s="5">
        <v>26765</v>
      </c>
      <c r="D284" s="4" t="s">
        <v>130</v>
      </c>
      <c r="E284" s="4" t="s">
        <v>20</v>
      </c>
      <c r="F284" s="4" t="s">
        <v>15</v>
      </c>
      <c r="G284" s="6">
        <v>329</v>
      </c>
      <c r="H284" s="7">
        <v>32940</v>
      </c>
      <c r="I284" s="145">
        <f t="shared" ca="1" si="16"/>
        <v>51</v>
      </c>
      <c r="J284" s="8" t="b">
        <f t="shared" ca="1" si="17"/>
        <v>0</v>
      </c>
      <c r="K284" s="8" t="b">
        <f t="shared" ca="1" si="18"/>
        <v>0</v>
      </c>
      <c r="L284" s="8">
        <f t="shared" ca="1" si="19"/>
        <v>0</v>
      </c>
    </row>
    <row r="285" spans="1:12" ht="15.75" customHeight="1" x14ac:dyDescent="0.25">
      <c r="A285" s="4">
        <v>21141</v>
      </c>
      <c r="B285" s="4" t="s">
        <v>12</v>
      </c>
      <c r="C285" s="5">
        <v>26249</v>
      </c>
      <c r="D285" s="4" t="s">
        <v>65</v>
      </c>
      <c r="E285" s="4" t="s">
        <v>17</v>
      </c>
      <c r="F285" s="4" t="s">
        <v>23</v>
      </c>
      <c r="G285" s="6">
        <v>326</v>
      </c>
      <c r="H285" s="7">
        <v>32634</v>
      </c>
      <c r="I285" s="145">
        <f t="shared" ca="1" si="16"/>
        <v>52</v>
      </c>
      <c r="J285" s="8" t="b">
        <f t="shared" ca="1" si="17"/>
        <v>0</v>
      </c>
      <c r="K285" s="8" t="b">
        <f t="shared" ca="1" si="18"/>
        <v>0</v>
      </c>
      <c r="L285" s="8">
        <f t="shared" ca="1" si="19"/>
        <v>0</v>
      </c>
    </row>
    <row r="286" spans="1:12" ht="15.75" customHeight="1" x14ac:dyDescent="0.25">
      <c r="A286" s="4">
        <v>22489</v>
      </c>
      <c r="B286" s="4" t="s">
        <v>24</v>
      </c>
      <c r="C286" s="5">
        <v>22244</v>
      </c>
      <c r="D286" s="4" t="s">
        <v>30</v>
      </c>
      <c r="E286" s="4" t="s">
        <v>20</v>
      </c>
      <c r="F286" s="4" t="s">
        <v>15</v>
      </c>
      <c r="G286" s="6">
        <v>325</v>
      </c>
      <c r="H286" s="7">
        <v>32500</v>
      </c>
      <c r="I286" s="145">
        <f t="shared" ca="1" si="16"/>
        <v>63</v>
      </c>
      <c r="J286" s="8" t="b">
        <f t="shared" ca="1" si="17"/>
        <v>0</v>
      </c>
      <c r="K286" s="8" t="b">
        <f t="shared" ca="1" si="18"/>
        <v>0</v>
      </c>
      <c r="L286" s="8">
        <f t="shared" ca="1" si="19"/>
        <v>10000</v>
      </c>
    </row>
    <row r="287" spans="1:12" ht="15.75" customHeight="1" x14ac:dyDescent="0.25">
      <c r="A287" s="4">
        <v>94270</v>
      </c>
      <c r="B287" s="4" t="s">
        <v>12</v>
      </c>
      <c r="C287" s="5">
        <v>29763</v>
      </c>
      <c r="D287" s="4" t="s">
        <v>87</v>
      </c>
      <c r="E287" s="4" t="s">
        <v>28</v>
      </c>
      <c r="F287" s="4" t="s">
        <v>23</v>
      </c>
      <c r="G287" s="6">
        <v>322</v>
      </c>
      <c r="H287" s="7">
        <v>32240</v>
      </c>
      <c r="I287" s="145">
        <f t="shared" ca="1" si="16"/>
        <v>43</v>
      </c>
      <c r="J287" s="8" t="b">
        <f t="shared" ca="1" si="17"/>
        <v>0</v>
      </c>
      <c r="K287" s="8" t="b">
        <f t="shared" ca="1" si="18"/>
        <v>0</v>
      </c>
      <c r="L287" s="8">
        <f t="shared" ca="1" si="19"/>
        <v>0</v>
      </c>
    </row>
    <row r="288" spans="1:12" ht="15.75" customHeight="1" x14ac:dyDescent="0.25">
      <c r="A288" s="4">
        <v>127626</v>
      </c>
      <c r="B288" s="4" t="s">
        <v>24</v>
      </c>
      <c r="C288" s="5">
        <v>31416</v>
      </c>
      <c r="D288" s="4" t="s">
        <v>100</v>
      </c>
      <c r="E288" s="4" t="s">
        <v>14</v>
      </c>
      <c r="F288" s="4" t="s">
        <v>15</v>
      </c>
      <c r="G288" s="6">
        <v>322</v>
      </c>
      <c r="H288" s="7">
        <v>32224</v>
      </c>
      <c r="I288" s="145">
        <f t="shared" ca="1" si="16"/>
        <v>38</v>
      </c>
      <c r="J288" s="8" t="b">
        <f t="shared" ca="1" si="17"/>
        <v>0</v>
      </c>
      <c r="K288" s="8" t="b">
        <f t="shared" ca="1" si="18"/>
        <v>1</v>
      </c>
      <c r="L288" s="8">
        <f t="shared" ca="1" si="19"/>
        <v>0</v>
      </c>
    </row>
    <row r="289" spans="1:12" ht="15.75" customHeight="1" x14ac:dyDescent="0.25">
      <c r="A289" s="4">
        <v>128553</v>
      </c>
      <c r="B289" s="4" t="s">
        <v>12</v>
      </c>
      <c r="C289" s="5">
        <v>33258</v>
      </c>
      <c r="D289" s="4" t="s">
        <v>98</v>
      </c>
      <c r="E289" s="4" t="s">
        <v>28</v>
      </c>
      <c r="F289" s="4" t="s">
        <v>23</v>
      </c>
      <c r="G289" s="6">
        <v>317</v>
      </c>
      <c r="H289" s="7">
        <v>31747</v>
      </c>
      <c r="I289" s="145">
        <f t="shared" ca="1" si="16"/>
        <v>33</v>
      </c>
      <c r="J289" s="8" t="b">
        <f t="shared" ca="1" si="17"/>
        <v>1</v>
      </c>
      <c r="K289" s="8" t="b">
        <f t="shared" ca="1" si="18"/>
        <v>0</v>
      </c>
      <c r="L289" s="8">
        <f t="shared" ca="1" si="19"/>
        <v>0</v>
      </c>
    </row>
    <row r="290" spans="1:12" ht="15.75" customHeight="1" x14ac:dyDescent="0.25">
      <c r="A290" s="4">
        <v>21389</v>
      </c>
      <c r="B290" s="4" t="s">
        <v>24</v>
      </c>
      <c r="C290" s="5">
        <v>33200</v>
      </c>
      <c r="D290" s="4" t="s">
        <v>115</v>
      </c>
      <c r="E290" s="4" t="s">
        <v>116</v>
      </c>
      <c r="F290" s="4" t="s">
        <v>18</v>
      </c>
      <c r="G290" s="6">
        <v>317</v>
      </c>
      <c r="H290" s="7">
        <v>31747</v>
      </c>
      <c r="I290" s="145">
        <f t="shared" ca="1" si="16"/>
        <v>33</v>
      </c>
      <c r="J290" s="8" t="b">
        <f t="shared" ca="1" si="17"/>
        <v>0</v>
      </c>
      <c r="K290" s="8" t="b">
        <f t="shared" ca="1" si="18"/>
        <v>1</v>
      </c>
      <c r="L290" s="8">
        <f t="shared" ca="1" si="19"/>
        <v>0</v>
      </c>
    </row>
    <row r="291" spans="1:12" ht="15.75" customHeight="1" x14ac:dyDescent="0.25">
      <c r="A291" s="4">
        <v>137477</v>
      </c>
      <c r="B291" s="4" t="s">
        <v>12</v>
      </c>
      <c r="C291" s="5">
        <v>26446</v>
      </c>
      <c r="D291" s="4" t="s">
        <v>154</v>
      </c>
      <c r="E291" s="4" t="s">
        <v>37</v>
      </c>
      <c r="F291" s="4" t="s">
        <v>18</v>
      </c>
      <c r="G291" s="6">
        <v>312</v>
      </c>
      <c r="H291" s="7">
        <v>31200</v>
      </c>
      <c r="I291" s="145">
        <f t="shared" ca="1" si="16"/>
        <v>52</v>
      </c>
      <c r="J291" s="8" t="b">
        <f t="shared" ca="1" si="17"/>
        <v>0</v>
      </c>
      <c r="K291" s="8" t="b">
        <f t="shared" ca="1" si="18"/>
        <v>0</v>
      </c>
      <c r="L291" s="8">
        <f t="shared" ca="1" si="19"/>
        <v>0</v>
      </c>
    </row>
    <row r="292" spans="1:12" ht="15.75" customHeight="1" x14ac:dyDescent="0.25">
      <c r="A292" s="4">
        <v>20594</v>
      </c>
      <c r="B292" s="4" t="s">
        <v>24</v>
      </c>
      <c r="C292" s="5">
        <v>24784</v>
      </c>
      <c r="D292" s="4" t="s">
        <v>143</v>
      </c>
      <c r="E292" s="4" t="s">
        <v>20</v>
      </c>
      <c r="F292" s="4" t="s">
        <v>15</v>
      </c>
      <c r="G292" s="6">
        <v>312</v>
      </c>
      <c r="H292" s="7">
        <v>31200</v>
      </c>
      <c r="I292" s="145">
        <f t="shared" ca="1" si="16"/>
        <v>56</v>
      </c>
      <c r="J292" s="8" t="b">
        <f t="shared" ca="1" si="17"/>
        <v>0</v>
      </c>
      <c r="K292" s="8" t="b">
        <f t="shared" ca="1" si="18"/>
        <v>0</v>
      </c>
      <c r="L292" s="8">
        <f t="shared" ca="1" si="19"/>
        <v>10000</v>
      </c>
    </row>
    <row r="293" spans="1:12" ht="15.75" customHeight="1" x14ac:dyDescent="0.25">
      <c r="A293" s="4">
        <v>27355</v>
      </c>
      <c r="B293" s="4" t="s">
        <v>12</v>
      </c>
      <c r="C293" s="5">
        <v>32274</v>
      </c>
      <c r="D293" s="4" t="s">
        <v>77</v>
      </c>
      <c r="E293" s="4" t="s">
        <v>26</v>
      </c>
      <c r="F293" s="4" t="s">
        <v>23</v>
      </c>
      <c r="G293" s="6">
        <v>312</v>
      </c>
      <c r="H293" s="7">
        <v>31152</v>
      </c>
      <c r="I293" s="145">
        <f t="shared" ca="1" si="16"/>
        <v>36</v>
      </c>
      <c r="J293" s="8" t="b">
        <f t="shared" ca="1" si="17"/>
        <v>1</v>
      </c>
      <c r="K293" s="8" t="b">
        <f t="shared" ca="1" si="18"/>
        <v>0</v>
      </c>
      <c r="L293" s="8">
        <f t="shared" ca="1" si="19"/>
        <v>0</v>
      </c>
    </row>
    <row r="294" spans="1:12" ht="15.75" customHeight="1" x14ac:dyDescent="0.25">
      <c r="A294" s="4">
        <v>127539</v>
      </c>
      <c r="B294" s="4" t="s">
        <v>24</v>
      </c>
      <c r="C294" s="5">
        <v>32990</v>
      </c>
      <c r="D294" s="4" t="s">
        <v>155</v>
      </c>
      <c r="E294" s="4" t="s">
        <v>84</v>
      </c>
      <c r="F294" s="4" t="s">
        <v>40</v>
      </c>
      <c r="G294" s="6">
        <v>311</v>
      </c>
      <c r="H294" s="7">
        <v>31110</v>
      </c>
      <c r="I294" s="145">
        <f t="shared" ca="1" si="16"/>
        <v>34</v>
      </c>
      <c r="J294" s="8" t="b">
        <f t="shared" ca="1" si="17"/>
        <v>0</v>
      </c>
      <c r="K294" s="8" t="b">
        <f t="shared" ca="1" si="18"/>
        <v>1</v>
      </c>
      <c r="L294" s="8">
        <f t="shared" ca="1" si="19"/>
        <v>0</v>
      </c>
    </row>
    <row r="295" spans="1:12" ht="15.75" customHeight="1" x14ac:dyDescent="0.25">
      <c r="A295" s="4">
        <v>21460</v>
      </c>
      <c r="B295" s="4" t="s">
        <v>12</v>
      </c>
      <c r="C295" s="5">
        <v>27882</v>
      </c>
      <c r="D295" s="4" t="s">
        <v>48</v>
      </c>
      <c r="E295" s="4" t="s">
        <v>20</v>
      </c>
      <c r="F295" s="4" t="s">
        <v>15</v>
      </c>
      <c r="G295" s="6">
        <v>310</v>
      </c>
      <c r="H295" s="7">
        <v>31000</v>
      </c>
      <c r="I295" s="145">
        <f t="shared" ca="1" si="16"/>
        <v>48</v>
      </c>
      <c r="J295" s="8" t="b">
        <f t="shared" ca="1" si="17"/>
        <v>0</v>
      </c>
      <c r="K295" s="8" t="b">
        <f t="shared" ca="1" si="18"/>
        <v>0</v>
      </c>
      <c r="L295" s="8">
        <f t="shared" ca="1" si="19"/>
        <v>0</v>
      </c>
    </row>
    <row r="296" spans="1:12" ht="15.75" customHeight="1" x14ac:dyDescent="0.25">
      <c r="A296" s="4">
        <v>125932</v>
      </c>
      <c r="B296" s="4" t="s">
        <v>12</v>
      </c>
      <c r="C296" s="5">
        <v>27597</v>
      </c>
      <c r="D296" s="4" t="s">
        <v>156</v>
      </c>
      <c r="E296" s="4" t="s">
        <v>157</v>
      </c>
      <c r="F296" s="4" t="s">
        <v>40</v>
      </c>
      <c r="G296" s="6">
        <v>310</v>
      </c>
      <c r="H296" s="7">
        <v>31000</v>
      </c>
      <c r="I296" s="145">
        <f t="shared" ca="1" si="16"/>
        <v>48</v>
      </c>
      <c r="J296" s="8" t="b">
        <f t="shared" ca="1" si="17"/>
        <v>0</v>
      </c>
      <c r="K296" s="8" t="b">
        <f t="shared" ca="1" si="18"/>
        <v>0</v>
      </c>
      <c r="L296" s="8">
        <f t="shared" ca="1" si="19"/>
        <v>0</v>
      </c>
    </row>
    <row r="297" spans="1:12" ht="15.75" customHeight="1" x14ac:dyDescent="0.25">
      <c r="A297" s="4">
        <v>21954</v>
      </c>
      <c r="B297" s="4" t="s">
        <v>12</v>
      </c>
      <c r="C297" s="5">
        <v>25056</v>
      </c>
      <c r="D297" s="4" t="s">
        <v>138</v>
      </c>
      <c r="E297" s="4" t="s">
        <v>55</v>
      </c>
      <c r="F297" s="4" t="s">
        <v>18</v>
      </c>
      <c r="G297" s="6">
        <v>308</v>
      </c>
      <c r="H297" s="7">
        <v>30800</v>
      </c>
      <c r="I297" s="145">
        <f t="shared" ca="1" si="16"/>
        <v>55</v>
      </c>
      <c r="J297" s="8" t="b">
        <f t="shared" ca="1" si="17"/>
        <v>0</v>
      </c>
      <c r="K297" s="8" t="b">
        <f t="shared" ca="1" si="18"/>
        <v>0</v>
      </c>
      <c r="L297" s="8">
        <f t="shared" ca="1" si="19"/>
        <v>0</v>
      </c>
    </row>
    <row r="298" spans="1:12" ht="15.75" customHeight="1" x14ac:dyDescent="0.25">
      <c r="A298" s="4">
        <v>131137</v>
      </c>
      <c r="B298" s="4" t="s">
        <v>24</v>
      </c>
      <c r="C298" s="5">
        <v>20906</v>
      </c>
      <c r="D298" s="4" t="s">
        <v>19</v>
      </c>
      <c r="E298" s="4" t="s">
        <v>20</v>
      </c>
      <c r="F298" s="4" t="s">
        <v>15</v>
      </c>
      <c r="G298" s="6">
        <v>307</v>
      </c>
      <c r="H298" s="7">
        <v>30744</v>
      </c>
      <c r="I298" s="145">
        <f t="shared" ca="1" si="16"/>
        <v>67</v>
      </c>
      <c r="J298" s="8" t="b">
        <f t="shared" ca="1" si="17"/>
        <v>0</v>
      </c>
      <c r="K298" s="8" t="b">
        <f t="shared" ca="1" si="18"/>
        <v>0</v>
      </c>
      <c r="L298" s="8">
        <f t="shared" ca="1" si="19"/>
        <v>10000</v>
      </c>
    </row>
    <row r="299" spans="1:12" ht="15.75" customHeight="1" x14ac:dyDescent="0.25">
      <c r="A299" s="4">
        <v>26231</v>
      </c>
      <c r="B299" s="4" t="s">
        <v>12</v>
      </c>
      <c r="C299" s="5">
        <v>27290</v>
      </c>
      <c r="D299" s="4" t="s">
        <v>81</v>
      </c>
      <c r="E299" s="4" t="s">
        <v>39</v>
      </c>
      <c r="F299" s="4" t="s">
        <v>40</v>
      </c>
      <c r="G299" s="6">
        <v>304</v>
      </c>
      <c r="H299" s="7">
        <v>30439</v>
      </c>
      <c r="I299" s="145">
        <f t="shared" ca="1" si="16"/>
        <v>49</v>
      </c>
      <c r="J299" s="8" t="b">
        <f t="shared" ca="1" si="17"/>
        <v>0</v>
      </c>
      <c r="K299" s="8" t="b">
        <f t="shared" ca="1" si="18"/>
        <v>0</v>
      </c>
      <c r="L299" s="8">
        <f t="shared" ca="1" si="19"/>
        <v>0</v>
      </c>
    </row>
    <row r="300" spans="1:12" ht="15.75" customHeight="1" x14ac:dyDescent="0.25">
      <c r="A300" s="4">
        <v>94112</v>
      </c>
      <c r="B300" s="4" t="s">
        <v>24</v>
      </c>
      <c r="C300" s="5">
        <v>31201</v>
      </c>
      <c r="D300" s="4" t="s">
        <v>158</v>
      </c>
      <c r="E300" s="4" t="s">
        <v>39</v>
      </c>
      <c r="F300" s="4" t="s">
        <v>40</v>
      </c>
      <c r="G300" s="6">
        <v>304</v>
      </c>
      <c r="H300" s="7">
        <v>30439</v>
      </c>
      <c r="I300" s="145">
        <f t="shared" ca="1" si="16"/>
        <v>39</v>
      </c>
      <c r="J300" s="8" t="b">
        <f t="shared" ca="1" si="17"/>
        <v>0</v>
      </c>
      <c r="K300" s="8" t="b">
        <f t="shared" ca="1" si="18"/>
        <v>1</v>
      </c>
      <c r="L300" s="8">
        <f t="shared" ca="1" si="19"/>
        <v>0</v>
      </c>
    </row>
    <row r="301" spans="1:12" ht="15.75" customHeight="1" x14ac:dyDescent="0.25">
      <c r="A301" s="4">
        <v>20783</v>
      </c>
      <c r="B301" s="4" t="s">
        <v>24</v>
      </c>
      <c r="C301" s="5">
        <v>27094</v>
      </c>
      <c r="D301" s="4" t="s">
        <v>49</v>
      </c>
      <c r="E301" s="4" t="s">
        <v>20</v>
      </c>
      <c r="F301" s="4" t="s">
        <v>15</v>
      </c>
      <c r="G301" s="6">
        <v>302</v>
      </c>
      <c r="H301" s="7">
        <v>30195</v>
      </c>
      <c r="I301" s="145">
        <f t="shared" ca="1" si="16"/>
        <v>50</v>
      </c>
      <c r="J301" s="8" t="b">
        <f t="shared" ca="1" si="17"/>
        <v>0</v>
      </c>
      <c r="K301" s="8" t="b">
        <f t="shared" ca="1" si="18"/>
        <v>0</v>
      </c>
      <c r="L301" s="8">
        <f t="shared" ca="1" si="19"/>
        <v>0</v>
      </c>
    </row>
    <row r="302" spans="1:12" ht="15.75" customHeight="1" x14ac:dyDescent="0.25">
      <c r="A302" s="4">
        <v>27748</v>
      </c>
      <c r="B302" s="4" t="s">
        <v>12</v>
      </c>
      <c r="C302" s="5">
        <v>26750</v>
      </c>
      <c r="D302" s="4" t="s">
        <v>118</v>
      </c>
      <c r="E302" s="4" t="s">
        <v>20</v>
      </c>
      <c r="F302" s="4" t="s">
        <v>15</v>
      </c>
      <c r="G302" s="6">
        <v>302</v>
      </c>
      <c r="H302" s="7">
        <v>30192</v>
      </c>
      <c r="I302" s="145">
        <f t="shared" ca="1" si="16"/>
        <v>51</v>
      </c>
      <c r="J302" s="8" t="b">
        <f t="shared" ca="1" si="17"/>
        <v>0</v>
      </c>
      <c r="K302" s="8" t="b">
        <f t="shared" ca="1" si="18"/>
        <v>0</v>
      </c>
      <c r="L302" s="8">
        <f t="shared" ca="1" si="19"/>
        <v>0</v>
      </c>
    </row>
    <row r="303" spans="1:12" ht="15.75" customHeight="1" x14ac:dyDescent="0.25">
      <c r="A303" s="4">
        <v>128930</v>
      </c>
      <c r="B303" s="4" t="s">
        <v>24</v>
      </c>
      <c r="C303" s="5">
        <v>17384</v>
      </c>
      <c r="D303" s="4" t="s">
        <v>50</v>
      </c>
      <c r="E303" s="4" t="s">
        <v>20</v>
      </c>
      <c r="F303" s="4" t="s">
        <v>15</v>
      </c>
      <c r="G303" s="6">
        <v>300</v>
      </c>
      <c r="H303" s="7">
        <v>30000</v>
      </c>
      <c r="I303" s="145">
        <f t="shared" ca="1" si="16"/>
        <v>76</v>
      </c>
      <c r="J303" s="8" t="b">
        <f t="shared" ca="1" si="17"/>
        <v>0</v>
      </c>
      <c r="K303" s="8" t="b">
        <f t="shared" ca="1" si="18"/>
        <v>0</v>
      </c>
      <c r="L303" s="8">
        <f t="shared" ca="1" si="19"/>
        <v>10000</v>
      </c>
    </row>
    <row r="304" spans="1:12" ht="15.75" customHeight="1" x14ac:dyDescent="0.25">
      <c r="A304" s="4">
        <v>25895</v>
      </c>
      <c r="B304" s="4" t="s">
        <v>12</v>
      </c>
      <c r="C304" s="5">
        <v>22034</v>
      </c>
      <c r="D304" s="4" t="s">
        <v>50</v>
      </c>
      <c r="E304" s="4" t="s">
        <v>20</v>
      </c>
      <c r="F304" s="4" t="s">
        <v>15</v>
      </c>
      <c r="G304" s="6">
        <v>293</v>
      </c>
      <c r="H304" s="7">
        <v>29315</v>
      </c>
      <c r="I304" s="145">
        <f t="shared" ca="1" si="16"/>
        <v>64</v>
      </c>
      <c r="J304" s="8" t="b">
        <f t="shared" ca="1" si="17"/>
        <v>0</v>
      </c>
      <c r="K304" s="8" t="b">
        <f t="shared" ca="1" si="18"/>
        <v>0</v>
      </c>
      <c r="L304" s="8">
        <f t="shared" ca="1" si="19"/>
        <v>0</v>
      </c>
    </row>
    <row r="305" spans="1:12" ht="15.75" customHeight="1" x14ac:dyDescent="0.25">
      <c r="A305" s="4">
        <v>20432</v>
      </c>
      <c r="B305" s="4" t="s">
        <v>12</v>
      </c>
      <c r="C305" s="5">
        <v>29004</v>
      </c>
      <c r="D305" s="4" t="s">
        <v>159</v>
      </c>
      <c r="E305" s="4" t="s">
        <v>52</v>
      </c>
      <c r="F305" s="4" t="s">
        <v>15</v>
      </c>
      <c r="G305" s="6">
        <v>293</v>
      </c>
      <c r="H305" s="7">
        <v>29250</v>
      </c>
      <c r="I305" s="145">
        <f t="shared" ca="1" si="16"/>
        <v>45</v>
      </c>
      <c r="J305" s="8" t="b">
        <f t="shared" ca="1" si="17"/>
        <v>0</v>
      </c>
      <c r="K305" s="8" t="b">
        <f t="shared" ca="1" si="18"/>
        <v>0</v>
      </c>
      <c r="L305" s="8">
        <f t="shared" ca="1" si="19"/>
        <v>0</v>
      </c>
    </row>
    <row r="306" spans="1:12" ht="15.75" customHeight="1" x14ac:dyDescent="0.25">
      <c r="A306" s="4">
        <v>127056</v>
      </c>
      <c r="B306" s="4" t="s">
        <v>12</v>
      </c>
      <c r="C306" s="5">
        <v>25150</v>
      </c>
      <c r="D306" s="4" t="s">
        <v>98</v>
      </c>
      <c r="E306" s="4" t="s">
        <v>28</v>
      </c>
      <c r="F306" s="4" t="s">
        <v>23</v>
      </c>
      <c r="G306" s="6">
        <v>290</v>
      </c>
      <c r="H306" s="7">
        <v>29000</v>
      </c>
      <c r="I306" s="145">
        <f t="shared" ca="1" si="16"/>
        <v>55</v>
      </c>
      <c r="J306" s="8" t="b">
        <f t="shared" ca="1" si="17"/>
        <v>0</v>
      </c>
      <c r="K306" s="8" t="b">
        <f t="shared" ca="1" si="18"/>
        <v>0</v>
      </c>
      <c r="L306" s="8">
        <f t="shared" ca="1" si="19"/>
        <v>0</v>
      </c>
    </row>
    <row r="307" spans="1:12" ht="15.75" customHeight="1" x14ac:dyDescent="0.25">
      <c r="A307" s="4">
        <v>124153</v>
      </c>
      <c r="B307" s="4" t="s">
        <v>24</v>
      </c>
      <c r="C307" s="5">
        <v>28369</v>
      </c>
      <c r="D307" s="4" t="s">
        <v>139</v>
      </c>
      <c r="E307" s="4" t="s">
        <v>74</v>
      </c>
      <c r="F307" s="4" t="s">
        <v>79</v>
      </c>
      <c r="G307" s="6">
        <v>288</v>
      </c>
      <c r="H307" s="7">
        <v>28785</v>
      </c>
      <c r="I307" s="145">
        <f t="shared" ca="1" si="16"/>
        <v>46</v>
      </c>
      <c r="J307" s="8" t="b">
        <f t="shared" ca="1" si="17"/>
        <v>0</v>
      </c>
      <c r="K307" s="8" t="b">
        <f t="shared" ca="1" si="18"/>
        <v>1</v>
      </c>
      <c r="L307" s="8">
        <f t="shared" ca="1" si="19"/>
        <v>0</v>
      </c>
    </row>
    <row r="308" spans="1:12" ht="15.75" customHeight="1" x14ac:dyDescent="0.25">
      <c r="A308" s="4">
        <v>26548</v>
      </c>
      <c r="B308" s="4" t="s">
        <v>12</v>
      </c>
      <c r="C308" s="5">
        <v>30053</v>
      </c>
      <c r="D308" s="4" t="s">
        <v>160</v>
      </c>
      <c r="E308" s="4" t="s">
        <v>14</v>
      </c>
      <c r="F308" s="4" t="s">
        <v>15</v>
      </c>
      <c r="G308" s="6">
        <v>285</v>
      </c>
      <c r="H308" s="7">
        <v>28509</v>
      </c>
      <c r="I308" s="145">
        <f t="shared" ca="1" si="16"/>
        <v>42</v>
      </c>
      <c r="J308" s="8" t="b">
        <f t="shared" ca="1" si="17"/>
        <v>0</v>
      </c>
      <c r="K308" s="8" t="b">
        <f t="shared" ca="1" si="18"/>
        <v>0</v>
      </c>
      <c r="L308" s="8">
        <f t="shared" ca="1" si="19"/>
        <v>0</v>
      </c>
    </row>
    <row r="309" spans="1:12" ht="15.75" customHeight="1" x14ac:dyDescent="0.25">
      <c r="A309" s="4">
        <v>141584</v>
      </c>
      <c r="B309" s="4" t="s">
        <v>12</v>
      </c>
      <c r="C309" s="5">
        <v>23433</v>
      </c>
      <c r="D309" s="4" t="s">
        <v>125</v>
      </c>
      <c r="E309" s="4" t="s">
        <v>35</v>
      </c>
      <c r="F309" s="4" t="s">
        <v>15</v>
      </c>
      <c r="G309" s="6">
        <v>285</v>
      </c>
      <c r="H309" s="7">
        <v>28500</v>
      </c>
      <c r="I309" s="145">
        <f t="shared" ca="1" si="16"/>
        <v>60</v>
      </c>
      <c r="J309" s="8" t="b">
        <f t="shared" ca="1" si="17"/>
        <v>0</v>
      </c>
      <c r="K309" s="8" t="b">
        <f t="shared" ca="1" si="18"/>
        <v>0</v>
      </c>
      <c r="L309" s="8">
        <f t="shared" ca="1" si="19"/>
        <v>0</v>
      </c>
    </row>
    <row r="310" spans="1:12" ht="15.75" customHeight="1" x14ac:dyDescent="0.25">
      <c r="A310" s="4">
        <v>131197</v>
      </c>
      <c r="B310" s="4" t="s">
        <v>12</v>
      </c>
      <c r="C310" s="5">
        <v>35456</v>
      </c>
      <c r="D310" s="4" t="s">
        <v>60</v>
      </c>
      <c r="E310" s="4" t="s">
        <v>20</v>
      </c>
      <c r="F310" s="4" t="s">
        <v>15</v>
      </c>
      <c r="G310" s="6">
        <v>285</v>
      </c>
      <c r="H310" s="7">
        <v>28500</v>
      </c>
      <c r="I310" s="145">
        <f t="shared" ca="1" si="16"/>
        <v>27</v>
      </c>
      <c r="J310" s="8" t="b">
        <f t="shared" ca="1" si="17"/>
        <v>1</v>
      </c>
      <c r="K310" s="8" t="b">
        <f t="shared" ca="1" si="18"/>
        <v>0</v>
      </c>
      <c r="L310" s="8">
        <f t="shared" ca="1" si="19"/>
        <v>0</v>
      </c>
    </row>
    <row r="311" spans="1:12" ht="15.75" customHeight="1" x14ac:dyDescent="0.25">
      <c r="A311" s="4">
        <v>22434</v>
      </c>
      <c r="B311" s="4" t="s">
        <v>12</v>
      </c>
      <c r="C311" s="5">
        <v>34963</v>
      </c>
      <c r="D311" s="4" t="s">
        <v>118</v>
      </c>
      <c r="E311" s="4" t="s">
        <v>20</v>
      </c>
      <c r="F311" s="4" t="s">
        <v>15</v>
      </c>
      <c r="G311" s="6">
        <v>283</v>
      </c>
      <c r="H311" s="7">
        <v>28274</v>
      </c>
      <c r="I311" s="145">
        <f t="shared" ca="1" si="16"/>
        <v>28</v>
      </c>
      <c r="J311" s="8" t="b">
        <f t="shared" ca="1" si="17"/>
        <v>1</v>
      </c>
      <c r="K311" s="8" t="b">
        <f t="shared" ca="1" si="18"/>
        <v>0</v>
      </c>
      <c r="L311" s="8">
        <f t="shared" ca="1" si="19"/>
        <v>0</v>
      </c>
    </row>
    <row r="312" spans="1:12" ht="15.75" customHeight="1" x14ac:dyDescent="0.25">
      <c r="A312" s="4">
        <v>20957</v>
      </c>
      <c r="B312" s="4" t="s">
        <v>12</v>
      </c>
      <c r="C312" s="5">
        <v>32048</v>
      </c>
      <c r="D312" s="4" t="s">
        <v>98</v>
      </c>
      <c r="E312" s="4" t="s">
        <v>28</v>
      </c>
      <c r="F312" s="4" t="s">
        <v>23</v>
      </c>
      <c r="G312" s="6">
        <v>275</v>
      </c>
      <c r="H312" s="7">
        <v>27500</v>
      </c>
      <c r="I312" s="145">
        <f t="shared" ca="1" si="16"/>
        <v>36</v>
      </c>
      <c r="J312" s="8" t="b">
        <f t="shared" ca="1" si="17"/>
        <v>1</v>
      </c>
      <c r="K312" s="8" t="b">
        <f t="shared" ca="1" si="18"/>
        <v>0</v>
      </c>
      <c r="L312" s="8">
        <f t="shared" ca="1" si="19"/>
        <v>0</v>
      </c>
    </row>
    <row r="313" spans="1:12" ht="15.75" customHeight="1" x14ac:dyDescent="0.25">
      <c r="A313" s="4">
        <v>20762</v>
      </c>
      <c r="B313" s="4" t="s">
        <v>12</v>
      </c>
      <c r="C313" s="5">
        <v>33390</v>
      </c>
      <c r="D313" s="4" t="s">
        <v>127</v>
      </c>
      <c r="E313" s="4" t="s">
        <v>37</v>
      </c>
      <c r="F313" s="4" t="s">
        <v>18</v>
      </c>
      <c r="G313" s="6">
        <v>275</v>
      </c>
      <c r="H313" s="7">
        <v>27486</v>
      </c>
      <c r="I313" s="145">
        <f t="shared" ca="1" si="16"/>
        <v>33</v>
      </c>
      <c r="J313" s="8" t="b">
        <f t="shared" ca="1" si="17"/>
        <v>1</v>
      </c>
      <c r="K313" s="8" t="b">
        <f t="shared" ca="1" si="18"/>
        <v>0</v>
      </c>
      <c r="L313" s="8">
        <f t="shared" ca="1" si="19"/>
        <v>0</v>
      </c>
    </row>
    <row r="314" spans="1:12" ht="15.75" customHeight="1" x14ac:dyDescent="0.25">
      <c r="A314" s="4">
        <v>122330</v>
      </c>
      <c r="B314" s="4" t="s">
        <v>12</v>
      </c>
      <c r="C314" s="5">
        <v>24202</v>
      </c>
      <c r="D314" s="4" t="s">
        <v>19</v>
      </c>
      <c r="E314" s="4" t="s">
        <v>20</v>
      </c>
      <c r="F314" s="4" t="s">
        <v>15</v>
      </c>
      <c r="G314" s="6">
        <v>274</v>
      </c>
      <c r="H314" s="7">
        <v>27420</v>
      </c>
      <c r="I314" s="145">
        <f t="shared" ca="1" si="16"/>
        <v>58</v>
      </c>
      <c r="J314" s="8" t="b">
        <f t="shared" ca="1" si="17"/>
        <v>0</v>
      </c>
      <c r="K314" s="8" t="b">
        <f t="shared" ca="1" si="18"/>
        <v>0</v>
      </c>
      <c r="L314" s="8">
        <f t="shared" ca="1" si="19"/>
        <v>0</v>
      </c>
    </row>
    <row r="315" spans="1:12" ht="15.75" customHeight="1" x14ac:dyDescent="0.25">
      <c r="A315" s="4">
        <v>21161</v>
      </c>
      <c r="B315" s="4" t="s">
        <v>24</v>
      </c>
      <c r="C315" s="5">
        <v>31014</v>
      </c>
      <c r="D315" s="4" t="s">
        <v>80</v>
      </c>
      <c r="E315" s="4" t="s">
        <v>26</v>
      </c>
      <c r="F315" s="4" t="s">
        <v>23</v>
      </c>
      <c r="G315" s="6">
        <v>273</v>
      </c>
      <c r="H315" s="7">
        <v>27280</v>
      </c>
      <c r="I315" s="145">
        <f t="shared" ca="1" si="16"/>
        <v>39</v>
      </c>
      <c r="J315" s="8" t="b">
        <f t="shared" ca="1" si="17"/>
        <v>0</v>
      </c>
      <c r="K315" s="8" t="b">
        <f t="shared" ca="1" si="18"/>
        <v>1</v>
      </c>
      <c r="L315" s="8">
        <f t="shared" ca="1" si="19"/>
        <v>0</v>
      </c>
    </row>
    <row r="316" spans="1:12" ht="15.75" customHeight="1" x14ac:dyDescent="0.25">
      <c r="A316" s="4">
        <v>127967</v>
      </c>
      <c r="B316" s="4" t="s">
        <v>12</v>
      </c>
      <c r="C316" s="5">
        <v>26580</v>
      </c>
      <c r="D316" s="4" t="s">
        <v>117</v>
      </c>
      <c r="E316" s="4" t="s">
        <v>39</v>
      </c>
      <c r="F316" s="4" t="s">
        <v>40</v>
      </c>
      <c r="G316" s="6">
        <v>273</v>
      </c>
      <c r="H316" s="7">
        <v>27264</v>
      </c>
      <c r="I316" s="145">
        <f t="shared" ca="1" si="16"/>
        <v>51</v>
      </c>
      <c r="J316" s="8" t="b">
        <f t="shared" ca="1" si="17"/>
        <v>0</v>
      </c>
      <c r="K316" s="8" t="b">
        <f t="shared" ca="1" si="18"/>
        <v>0</v>
      </c>
      <c r="L316" s="8">
        <f t="shared" ca="1" si="19"/>
        <v>0</v>
      </c>
    </row>
    <row r="317" spans="1:12" ht="15.75" customHeight="1" x14ac:dyDescent="0.25">
      <c r="A317" s="4">
        <v>21608</v>
      </c>
      <c r="B317" s="4" t="s">
        <v>24</v>
      </c>
      <c r="C317" s="5">
        <v>31682</v>
      </c>
      <c r="D317" s="4" t="s">
        <v>53</v>
      </c>
      <c r="E317" s="4" t="s">
        <v>37</v>
      </c>
      <c r="F317" s="4" t="s">
        <v>18</v>
      </c>
      <c r="G317" s="6">
        <v>270</v>
      </c>
      <c r="H317" s="7">
        <v>27000</v>
      </c>
      <c r="I317" s="145">
        <f t="shared" ca="1" si="16"/>
        <v>37</v>
      </c>
      <c r="J317" s="8" t="b">
        <f t="shared" ca="1" si="17"/>
        <v>0</v>
      </c>
      <c r="K317" s="8" t="b">
        <f t="shared" ca="1" si="18"/>
        <v>1</v>
      </c>
      <c r="L317" s="8">
        <f t="shared" ca="1" si="19"/>
        <v>0</v>
      </c>
    </row>
    <row r="318" spans="1:12" ht="15.75" customHeight="1" x14ac:dyDescent="0.25">
      <c r="A318" s="4">
        <v>133005</v>
      </c>
      <c r="B318" s="4" t="s">
        <v>12</v>
      </c>
      <c r="C318" s="5">
        <v>30204</v>
      </c>
      <c r="D318" s="4" t="s">
        <v>161</v>
      </c>
      <c r="E318" s="4" t="s">
        <v>20</v>
      </c>
      <c r="F318" s="4" t="s">
        <v>15</v>
      </c>
      <c r="G318" s="6">
        <v>268</v>
      </c>
      <c r="H318" s="7">
        <v>26847</v>
      </c>
      <c r="I318" s="145">
        <f t="shared" ca="1" si="16"/>
        <v>41</v>
      </c>
      <c r="J318" s="8" t="b">
        <f t="shared" ca="1" si="17"/>
        <v>0</v>
      </c>
      <c r="K318" s="8" t="b">
        <f t="shared" ca="1" si="18"/>
        <v>0</v>
      </c>
      <c r="L318" s="8">
        <f t="shared" ca="1" si="19"/>
        <v>0</v>
      </c>
    </row>
    <row r="319" spans="1:12" ht="15.75" customHeight="1" x14ac:dyDescent="0.25">
      <c r="A319" s="4">
        <v>20633</v>
      </c>
      <c r="B319" s="4" t="s">
        <v>12</v>
      </c>
      <c r="C319" s="5">
        <v>27826</v>
      </c>
      <c r="D319" s="4" t="s">
        <v>30</v>
      </c>
      <c r="E319" s="4" t="s">
        <v>20</v>
      </c>
      <c r="F319" s="4" t="s">
        <v>15</v>
      </c>
      <c r="G319" s="6">
        <v>268</v>
      </c>
      <c r="H319" s="7">
        <v>26796</v>
      </c>
      <c r="I319" s="145">
        <f t="shared" ca="1" si="16"/>
        <v>48</v>
      </c>
      <c r="J319" s="8" t="b">
        <f t="shared" ca="1" si="17"/>
        <v>0</v>
      </c>
      <c r="K319" s="8" t="b">
        <f t="shared" ca="1" si="18"/>
        <v>0</v>
      </c>
      <c r="L319" s="8">
        <f t="shared" ca="1" si="19"/>
        <v>0</v>
      </c>
    </row>
    <row r="320" spans="1:12" ht="15.75" customHeight="1" x14ac:dyDescent="0.25">
      <c r="A320" s="4">
        <v>21007</v>
      </c>
      <c r="B320" s="4" t="s">
        <v>12</v>
      </c>
      <c r="C320" s="5">
        <v>28456</v>
      </c>
      <c r="D320" s="4" t="s">
        <v>57</v>
      </c>
      <c r="E320" s="4" t="s">
        <v>35</v>
      </c>
      <c r="F320" s="4" t="s">
        <v>15</v>
      </c>
      <c r="G320" s="6">
        <v>266</v>
      </c>
      <c r="H320" s="7">
        <v>26622</v>
      </c>
      <c r="I320" s="145">
        <f t="shared" ca="1" si="16"/>
        <v>46</v>
      </c>
      <c r="J320" s="8" t="b">
        <f t="shared" ca="1" si="17"/>
        <v>0</v>
      </c>
      <c r="K320" s="8" t="b">
        <f t="shared" ca="1" si="18"/>
        <v>0</v>
      </c>
      <c r="L320" s="8">
        <f t="shared" ca="1" si="19"/>
        <v>0</v>
      </c>
    </row>
    <row r="321" spans="1:12" ht="15.75" customHeight="1" x14ac:dyDescent="0.25">
      <c r="A321" s="4">
        <v>20921</v>
      </c>
      <c r="B321" s="4" t="s">
        <v>12</v>
      </c>
      <c r="C321" s="5">
        <v>28420</v>
      </c>
      <c r="D321" s="4" t="s">
        <v>54</v>
      </c>
      <c r="E321" s="4" t="s">
        <v>55</v>
      </c>
      <c r="F321" s="4" t="s">
        <v>18</v>
      </c>
      <c r="G321" s="6">
        <v>259</v>
      </c>
      <c r="H321" s="7">
        <v>25872</v>
      </c>
      <c r="I321" s="145">
        <f t="shared" ca="1" si="16"/>
        <v>46</v>
      </c>
      <c r="J321" s="8" t="b">
        <f t="shared" ca="1" si="17"/>
        <v>0</v>
      </c>
      <c r="K321" s="8" t="b">
        <f t="shared" ca="1" si="18"/>
        <v>0</v>
      </c>
      <c r="L321" s="8">
        <f t="shared" ca="1" si="19"/>
        <v>0</v>
      </c>
    </row>
    <row r="322" spans="1:12" ht="15.75" customHeight="1" x14ac:dyDescent="0.25">
      <c r="A322" s="4">
        <v>22622</v>
      </c>
      <c r="B322" s="4" t="s">
        <v>12</v>
      </c>
      <c r="C322" s="5">
        <v>34005</v>
      </c>
      <c r="D322" s="4" t="s">
        <v>130</v>
      </c>
      <c r="E322" s="4" t="s">
        <v>20</v>
      </c>
      <c r="F322" s="4" t="s">
        <v>15</v>
      </c>
      <c r="G322" s="6">
        <v>259</v>
      </c>
      <c r="H322" s="7">
        <v>25862</v>
      </c>
      <c r="I322" s="145">
        <f t="shared" ca="1" si="16"/>
        <v>31</v>
      </c>
      <c r="J322" s="8" t="b">
        <f t="shared" ca="1" si="17"/>
        <v>1</v>
      </c>
      <c r="K322" s="8" t="b">
        <f t="shared" ca="1" si="18"/>
        <v>0</v>
      </c>
      <c r="L322" s="8">
        <f t="shared" ca="1" si="19"/>
        <v>0</v>
      </c>
    </row>
    <row r="323" spans="1:12" ht="15.75" customHeight="1" x14ac:dyDescent="0.25">
      <c r="A323" s="4">
        <v>21647</v>
      </c>
      <c r="B323" s="4" t="s">
        <v>12</v>
      </c>
      <c r="C323" s="5">
        <v>28151</v>
      </c>
      <c r="D323" s="4" t="s">
        <v>49</v>
      </c>
      <c r="E323" s="4" t="s">
        <v>20</v>
      </c>
      <c r="F323" s="4" t="s">
        <v>15</v>
      </c>
      <c r="G323" s="6">
        <v>256</v>
      </c>
      <c r="H323" s="7">
        <v>25578</v>
      </c>
      <c r="I323" s="145">
        <f t="shared" ref="I323:I386" ca="1" si="20">DATEDIF(C323,TODAY(),"y")</f>
        <v>47</v>
      </c>
      <c r="J323" s="8" t="b">
        <f t="shared" ref="J323:J386" ca="1" si="21">AND(B323="Male",I323&lt;40)</f>
        <v>0</v>
      </c>
      <c r="K323" s="8" t="b">
        <f t="shared" ref="K323:K386" ca="1" si="22">AND(B323="Female",I323&lt;50)</f>
        <v>0</v>
      </c>
      <c r="L323" s="8">
        <f t="shared" ref="L323:L386" ca="1" si="23">IF(AND(B323="Female",OR(I323&lt;25,I323&gt;50)),10000,0)</f>
        <v>0</v>
      </c>
    </row>
    <row r="324" spans="1:12" ht="15.75" customHeight="1" x14ac:dyDescent="0.25">
      <c r="A324" s="4">
        <v>20598</v>
      </c>
      <c r="B324" s="4" t="s">
        <v>24</v>
      </c>
      <c r="C324" s="5">
        <v>27925</v>
      </c>
      <c r="D324" s="4" t="s">
        <v>66</v>
      </c>
      <c r="E324" s="4" t="s">
        <v>26</v>
      </c>
      <c r="F324" s="4" t="s">
        <v>23</v>
      </c>
      <c r="G324" s="6">
        <v>255</v>
      </c>
      <c r="H324" s="7">
        <v>25500</v>
      </c>
      <c r="I324" s="145">
        <f t="shared" ca="1" si="20"/>
        <v>48</v>
      </c>
      <c r="J324" s="8" t="b">
        <f t="shared" ca="1" si="21"/>
        <v>0</v>
      </c>
      <c r="K324" s="8" t="b">
        <f t="shared" ca="1" si="22"/>
        <v>1</v>
      </c>
      <c r="L324" s="8">
        <f t="shared" ca="1" si="23"/>
        <v>0</v>
      </c>
    </row>
    <row r="325" spans="1:12" ht="15.75" customHeight="1" x14ac:dyDescent="0.25">
      <c r="A325" s="4">
        <v>21770</v>
      </c>
      <c r="B325" s="4" t="s">
        <v>12</v>
      </c>
      <c r="C325" s="5">
        <v>19288</v>
      </c>
      <c r="D325" s="4" t="s">
        <v>60</v>
      </c>
      <c r="E325" s="4" t="s">
        <v>20</v>
      </c>
      <c r="F325" s="4" t="s">
        <v>15</v>
      </c>
      <c r="G325" s="6">
        <v>254</v>
      </c>
      <c r="H325" s="7">
        <v>25368</v>
      </c>
      <c r="I325" s="145">
        <f t="shared" ca="1" si="20"/>
        <v>71</v>
      </c>
      <c r="J325" s="8" t="b">
        <f t="shared" ca="1" si="21"/>
        <v>0</v>
      </c>
      <c r="K325" s="8" t="b">
        <f t="shared" ca="1" si="22"/>
        <v>0</v>
      </c>
      <c r="L325" s="8">
        <f t="shared" ca="1" si="23"/>
        <v>0</v>
      </c>
    </row>
    <row r="326" spans="1:12" ht="15.75" customHeight="1" x14ac:dyDescent="0.25">
      <c r="A326" s="4">
        <v>21805</v>
      </c>
      <c r="B326" s="4" t="s">
        <v>24</v>
      </c>
      <c r="C326" s="5">
        <v>28911</v>
      </c>
      <c r="D326" s="4" t="s">
        <v>130</v>
      </c>
      <c r="E326" s="4" t="s">
        <v>20</v>
      </c>
      <c r="F326" s="4" t="s">
        <v>15</v>
      </c>
      <c r="G326" s="6">
        <v>251</v>
      </c>
      <c r="H326" s="7">
        <v>25146</v>
      </c>
      <c r="I326" s="145">
        <f t="shared" ca="1" si="20"/>
        <v>45</v>
      </c>
      <c r="J326" s="8" t="b">
        <f t="shared" ca="1" si="21"/>
        <v>0</v>
      </c>
      <c r="K326" s="8" t="b">
        <f t="shared" ca="1" si="22"/>
        <v>1</v>
      </c>
      <c r="L326" s="8">
        <f t="shared" ca="1" si="23"/>
        <v>0</v>
      </c>
    </row>
    <row r="327" spans="1:12" ht="15.75" customHeight="1" x14ac:dyDescent="0.25">
      <c r="A327" s="4">
        <v>42146</v>
      </c>
      <c r="B327" s="4" t="s">
        <v>12</v>
      </c>
      <c r="C327" s="5">
        <v>1026</v>
      </c>
      <c r="D327" s="4" t="s">
        <v>48</v>
      </c>
      <c r="E327" s="4" t="s">
        <v>20</v>
      </c>
      <c r="F327" s="4" t="s">
        <v>15</v>
      </c>
      <c r="G327" s="6">
        <v>250</v>
      </c>
      <c r="H327" s="7">
        <v>25000</v>
      </c>
      <c r="I327" s="145">
        <f t="shared" ca="1" si="20"/>
        <v>121</v>
      </c>
      <c r="J327" s="8" t="b">
        <f t="shared" ca="1" si="21"/>
        <v>0</v>
      </c>
      <c r="K327" s="8" t="b">
        <f t="shared" ca="1" si="22"/>
        <v>0</v>
      </c>
      <c r="L327" s="8">
        <f t="shared" ca="1" si="23"/>
        <v>0</v>
      </c>
    </row>
    <row r="328" spans="1:12" ht="15.75" customHeight="1" x14ac:dyDescent="0.25">
      <c r="A328" s="4">
        <v>20697</v>
      </c>
      <c r="B328" s="4" t="s">
        <v>24</v>
      </c>
      <c r="C328" s="5">
        <v>30842</v>
      </c>
      <c r="D328" s="4" t="s">
        <v>16</v>
      </c>
      <c r="E328" s="4" t="s">
        <v>17</v>
      </c>
      <c r="F328" s="4" t="s">
        <v>18</v>
      </c>
      <c r="G328" s="6">
        <v>250</v>
      </c>
      <c r="H328" s="7">
        <v>25000</v>
      </c>
      <c r="I328" s="145">
        <f t="shared" ca="1" si="20"/>
        <v>40</v>
      </c>
      <c r="J328" s="8" t="b">
        <f t="shared" ca="1" si="21"/>
        <v>0</v>
      </c>
      <c r="K328" s="8" t="b">
        <f t="shared" ca="1" si="22"/>
        <v>1</v>
      </c>
      <c r="L328" s="8">
        <f t="shared" ca="1" si="23"/>
        <v>0</v>
      </c>
    </row>
    <row r="329" spans="1:12" ht="15.75" customHeight="1" x14ac:dyDescent="0.25">
      <c r="A329" s="4">
        <v>20647</v>
      </c>
      <c r="B329" s="4" t="s">
        <v>24</v>
      </c>
      <c r="C329" s="5">
        <v>28791</v>
      </c>
      <c r="D329" s="4" t="s">
        <v>65</v>
      </c>
      <c r="E329" s="4" t="s">
        <v>17</v>
      </c>
      <c r="F329" s="4" t="s">
        <v>23</v>
      </c>
      <c r="G329" s="6">
        <v>250</v>
      </c>
      <c r="H329" s="7">
        <v>24960</v>
      </c>
      <c r="I329" s="145">
        <f t="shared" ca="1" si="20"/>
        <v>45</v>
      </c>
      <c r="J329" s="8" t="b">
        <f t="shared" ca="1" si="21"/>
        <v>0</v>
      </c>
      <c r="K329" s="8" t="b">
        <f t="shared" ca="1" si="22"/>
        <v>1</v>
      </c>
      <c r="L329" s="8">
        <f t="shared" ca="1" si="23"/>
        <v>0</v>
      </c>
    </row>
    <row r="330" spans="1:12" ht="15.75" customHeight="1" x14ac:dyDescent="0.25">
      <c r="A330" s="4">
        <v>140018</v>
      </c>
      <c r="B330" s="4" t="s">
        <v>24</v>
      </c>
      <c r="C330" s="5">
        <v>25473</v>
      </c>
      <c r="D330" s="4" t="s">
        <v>162</v>
      </c>
      <c r="E330" s="4" t="s">
        <v>17</v>
      </c>
      <c r="F330" s="4" t="s">
        <v>18</v>
      </c>
      <c r="G330" s="6">
        <v>248</v>
      </c>
      <c r="H330" s="7">
        <v>24804</v>
      </c>
      <c r="I330" s="145">
        <f t="shared" ca="1" si="20"/>
        <v>54</v>
      </c>
      <c r="J330" s="8" t="b">
        <f t="shared" ca="1" si="21"/>
        <v>0</v>
      </c>
      <c r="K330" s="8" t="b">
        <f t="shared" ca="1" si="22"/>
        <v>0</v>
      </c>
      <c r="L330" s="8">
        <f t="shared" ca="1" si="23"/>
        <v>10000</v>
      </c>
    </row>
    <row r="331" spans="1:12" ht="15.75" customHeight="1" x14ac:dyDescent="0.25">
      <c r="A331" s="4">
        <v>119656</v>
      </c>
      <c r="B331" s="4" t="s">
        <v>24</v>
      </c>
      <c r="C331" s="5">
        <v>34350</v>
      </c>
      <c r="D331" s="4" t="s">
        <v>13</v>
      </c>
      <c r="E331" s="4" t="s">
        <v>14</v>
      </c>
      <c r="F331" s="4" t="s">
        <v>15</v>
      </c>
      <c r="G331" s="6">
        <v>247</v>
      </c>
      <c r="H331" s="7">
        <v>24695</v>
      </c>
      <c r="I331" s="145">
        <f t="shared" ca="1" si="20"/>
        <v>30</v>
      </c>
      <c r="J331" s="8" t="b">
        <f t="shared" ca="1" si="21"/>
        <v>0</v>
      </c>
      <c r="K331" s="8" t="b">
        <f t="shared" ca="1" si="22"/>
        <v>1</v>
      </c>
      <c r="L331" s="8">
        <f t="shared" ca="1" si="23"/>
        <v>0</v>
      </c>
    </row>
    <row r="332" spans="1:12" ht="15.75" customHeight="1" x14ac:dyDescent="0.25">
      <c r="A332" s="4">
        <v>129073</v>
      </c>
      <c r="B332" s="4" t="s">
        <v>12</v>
      </c>
      <c r="C332" s="5">
        <v>25354</v>
      </c>
      <c r="D332" s="4" t="s">
        <v>80</v>
      </c>
      <c r="E332" s="4" t="s">
        <v>26</v>
      </c>
      <c r="F332" s="4" t="s">
        <v>23</v>
      </c>
      <c r="G332" s="6">
        <v>242</v>
      </c>
      <c r="H332" s="7">
        <v>24156</v>
      </c>
      <c r="I332" s="145">
        <f t="shared" ca="1" si="20"/>
        <v>55</v>
      </c>
      <c r="J332" s="8" t="b">
        <f t="shared" ca="1" si="21"/>
        <v>0</v>
      </c>
      <c r="K332" s="8" t="b">
        <f t="shared" ca="1" si="22"/>
        <v>0</v>
      </c>
      <c r="L332" s="8">
        <f t="shared" ca="1" si="23"/>
        <v>0</v>
      </c>
    </row>
    <row r="333" spans="1:12" ht="15.75" customHeight="1" x14ac:dyDescent="0.25">
      <c r="A333" s="4">
        <v>20754</v>
      </c>
      <c r="B333" s="4" t="s">
        <v>24</v>
      </c>
      <c r="C333" s="5">
        <v>21552</v>
      </c>
      <c r="D333" s="4" t="s">
        <v>66</v>
      </c>
      <c r="E333" s="4" t="s">
        <v>26</v>
      </c>
      <c r="F333" s="4" t="s">
        <v>23</v>
      </c>
      <c r="G333" s="6">
        <v>241</v>
      </c>
      <c r="H333" s="7">
        <v>24120</v>
      </c>
      <c r="I333" s="145">
        <f t="shared" ca="1" si="20"/>
        <v>65</v>
      </c>
      <c r="J333" s="8" t="b">
        <f t="shared" ca="1" si="21"/>
        <v>0</v>
      </c>
      <c r="K333" s="8" t="b">
        <f t="shared" ca="1" si="22"/>
        <v>0</v>
      </c>
      <c r="L333" s="8">
        <f t="shared" ca="1" si="23"/>
        <v>10000</v>
      </c>
    </row>
    <row r="334" spans="1:12" ht="15.75" customHeight="1" x14ac:dyDescent="0.25">
      <c r="A334" s="4">
        <v>20922</v>
      </c>
      <c r="B334" s="4" t="s">
        <v>24</v>
      </c>
      <c r="C334" s="5">
        <v>31563</v>
      </c>
      <c r="D334" s="4" t="s">
        <v>67</v>
      </c>
      <c r="E334" s="4" t="s">
        <v>67</v>
      </c>
      <c r="F334" s="4" t="s">
        <v>23</v>
      </c>
      <c r="G334" s="6">
        <v>241</v>
      </c>
      <c r="H334" s="7">
        <v>24064</v>
      </c>
      <c r="I334" s="145">
        <f t="shared" ca="1" si="20"/>
        <v>38</v>
      </c>
      <c r="J334" s="8" t="b">
        <f t="shared" ca="1" si="21"/>
        <v>0</v>
      </c>
      <c r="K334" s="8" t="b">
        <f t="shared" ca="1" si="22"/>
        <v>1</v>
      </c>
      <c r="L334" s="8">
        <f t="shared" ca="1" si="23"/>
        <v>0</v>
      </c>
    </row>
    <row r="335" spans="1:12" ht="15.75" customHeight="1" x14ac:dyDescent="0.25">
      <c r="A335" s="4">
        <v>20515</v>
      </c>
      <c r="B335" s="4" t="s">
        <v>12</v>
      </c>
      <c r="C335" s="5">
        <v>30441</v>
      </c>
      <c r="D335" s="4" t="s">
        <v>60</v>
      </c>
      <c r="E335" s="4" t="s">
        <v>20</v>
      </c>
      <c r="F335" s="4" t="s">
        <v>15</v>
      </c>
      <c r="G335" s="6">
        <v>239</v>
      </c>
      <c r="H335" s="7">
        <v>23940</v>
      </c>
      <c r="I335" s="145">
        <f t="shared" ca="1" si="20"/>
        <v>41</v>
      </c>
      <c r="J335" s="8" t="b">
        <f t="shared" ca="1" si="21"/>
        <v>0</v>
      </c>
      <c r="K335" s="8" t="b">
        <f t="shared" ca="1" si="22"/>
        <v>0</v>
      </c>
      <c r="L335" s="8">
        <f t="shared" ca="1" si="23"/>
        <v>0</v>
      </c>
    </row>
    <row r="336" spans="1:12" ht="15.75" customHeight="1" x14ac:dyDescent="0.25">
      <c r="A336" s="4">
        <v>21911</v>
      </c>
      <c r="B336" s="4" t="s">
        <v>12</v>
      </c>
      <c r="C336" s="5">
        <v>26144</v>
      </c>
      <c r="D336" s="4" t="s">
        <v>61</v>
      </c>
      <c r="E336" s="4" t="s">
        <v>26</v>
      </c>
      <c r="F336" s="4" t="s">
        <v>23</v>
      </c>
      <c r="G336" s="6">
        <v>237</v>
      </c>
      <c r="H336" s="7">
        <v>23660</v>
      </c>
      <c r="I336" s="145">
        <f t="shared" ca="1" si="20"/>
        <v>52</v>
      </c>
      <c r="J336" s="8" t="b">
        <f t="shared" ca="1" si="21"/>
        <v>0</v>
      </c>
      <c r="K336" s="8" t="b">
        <f t="shared" ca="1" si="22"/>
        <v>0</v>
      </c>
      <c r="L336" s="8">
        <f t="shared" ca="1" si="23"/>
        <v>0</v>
      </c>
    </row>
    <row r="337" spans="1:12" ht="15.75" customHeight="1" x14ac:dyDescent="0.25">
      <c r="A337" s="4">
        <v>126025</v>
      </c>
      <c r="B337" s="4" t="s">
        <v>12</v>
      </c>
      <c r="C337" s="5">
        <v>31015</v>
      </c>
      <c r="D337" s="4" t="s">
        <v>163</v>
      </c>
      <c r="E337" s="4" t="s">
        <v>39</v>
      </c>
      <c r="F337" s="4" t="s">
        <v>40</v>
      </c>
      <c r="G337" s="6">
        <v>236</v>
      </c>
      <c r="H337" s="7">
        <v>23600</v>
      </c>
      <c r="I337" s="145">
        <f t="shared" ca="1" si="20"/>
        <v>39</v>
      </c>
      <c r="J337" s="8" t="b">
        <f t="shared" ca="1" si="21"/>
        <v>1</v>
      </c>
      <c r="K337" s="8" t="b">
        <f t="shared" ca="1" si="22"/>
        <v>0</v>
      </c>
      <c r="L337" s="8">
        <f t="shared" ca="1" si="23"/>
        <v>0</v>
      </c>
    </row>
    <row r="338" spans="1:12" ht="15.75" customHeight="1" x14ac:dyDescent="0.25">
      <c r="A338" s="4">
        <v>123556</v>
      </c>
      <c r="B338" s="4" t="s">
        <v>24</v>
      </c>
      <c r="C338" s="5">
        <v>33284</v>
      </c>
      <c r="D338" s="4" t="s">
        <v>31</v>
      </c>
      <c r="E338" s="4" t="s">
        <v>20</v>
      </c>
      <c r="F338" s="4" t="s">
        <v>15</v>
      </c>
      <c r="G338" s="6">
        <v>232</v>
      </c>
      <c r="H338" s="7">
        <v>23200</v>
      </c>
      <c r="I338" s="145">
        <f t="shared" ca="1" si="20"/>
        <v>33</v>
      </c>
      <c r="J338" s="8" t="b">
        <f t="shared" ca="1" si="21"/>
        <v>0</v>
      </c>
      <c r="K338" s="8" t="b">
        <f t="shared" ca="1" si="22"/>
        <v>1</v>
      </c>
      <c r="L338" s="8">
        <f t="shared" ca="1" si="23"/>
        <v>0</v>
      </c>
    </row>
    <row r="339" spans="1:12" ht="15.75" customHeight="1" x14ac:dyDescent="0.25">
      <c r="A339" s="4">
        <v>20482</v>
      </c>
      <c r="B339" s="4" t="s">
        <v>24</v>
      </c>
      <c r="C339" s="5">
        <v>31170</v>
      </c>
      <c r="D339" s="4" t="s">
        <v>57</v>
      </c>
      <c r="E339" s="4" t="s">
        <v>35</v>
      </c>
      <c r="F339" s="4" t="s">
        <v>15</v>
      </c>
      <c r="G339" s="6">
        <v>232</v>
      </c>
      <c r="H339" s="7">
        <v>23166</v>
      </c>
      <c r="I339" s="145">
        <f t="shared" ca="1" si="20"/>
        <v>39</v>
      </c>
      <c r="J339" s="8" t="b">
        <f t="shared" ca="1" si="21"/>
        <v>0</v>
      </c>
      <c r="K339" s="8" t="b">
        <f t="shared" ca="1" si="22"/>
        <v>1</v>
      </c>
      <c r="L339" s="8">
        <f t="shared" ca="1" si="23"/>
        <v>0</v>
      </c>
    </row>
    <row r="340" spans="1:12" ht="15.75" customHeight="1" x14ac:dyDescent="0.25">
      <c r="A340" s="4">
        <v>24980</v>
      </c>
      <c r="B340" s="4" t="s">
        <v>24</v>
      </c>
      <c r="C340" s="5">
        <v>26079</v>
      </c>
      <c r="D340" s="4" t="s">
        <v>73</v>
      </c>
      <c r="E340" s="4" t="s">
        <v>74</v>
      </c>
      <c r="F340" s="4" t="s">
        <v>23</v>
      </c>
      <c r="G340" s="6">
        <v>224</v>
      </c>
      <c r="H340" s="7">
        <v>22428</v>
      </c>
      <c r="I340" s="145">
        <f t="shared" ca="1" si="20"/>
        <v>53</v>
      </c>
      <c r="J340" s="8" t="b">
        <f t="shared" ca="1" si="21"/>
        <v>0</v>
      </c>
      <c r="K340" s="8" t="b">
        <f t="shared" ca="1" si="22"/>
        <v>0</v>
      </c>
      <c r="L340" s="8">
        <f t="shared" ca="1" si="23"/>
        <v>10000</v>
      </c>
    </row>
    <row r="341" spans="1:12" ht="15.75" customHeight="1" x14ac:dyDescent="0.25">
      <c r="A341" s="4">
        <v>21135</v>
      </c>
      <c r="B341" s="4" t="s">
        <v>12</v>
      </c>
      <c r="C341" s="5">
        <v>25472</v>
      </c>
      <c r="D341" s="4" t="s">
        <v>76</v>
      </c>
      <c r="E341" s="4" t="s">
        <v>55</v>
      </c>
      <c r="F341" s="4" t="s">
        <v>18</v>
      </c>
      <c r="G341" s="6">
        <v>223</v>
      </c>
      <c r="H341" s="7">
        <v>22344</v>
      </c>
      <c r="I341" s="145">
        <f t="shared" ca="1" si="20"/>
        <v>54</v>
      </c>
      <c r="J341" s="8" t="b">
        <f t="shared" ca="1" si="21"/>
        <v>0</v>
      </c>
      <c r="K341" s="8" t="b">
        <f t="shared" ca="1" si="22"/>
        <v>0</v>
      </c>
      <c r="L341" s="8">
        <f t="shared" ca="1" si="23"/>
        <v>0</v>
      </c>
    </row>
    <row r="342" spans="1:12" ht="15.75" customHeight="1" x14ac:dyDescent="0.25">
      <c r="A342" s="4">
        <v>126614</v>
      </c>
      <c r="B342" s="4" t="s">
        <v>12</v>
      </c>
      <c r="C342" s="5">
        <v>30380</v>
      </c>
      <c r="D342" s="4" t="s">
        <v>61</v>
      </c>
      <c r="E342" s="4" t="s">
        <v>26</v>
      </c>
      <c r="F342" s="4" t="s">
        <v>23</v>
      </c>
      <c r="G342" s="6">
        <v>222</v>
      </c>
      <c r="H342" s="7">
        <v>22185</v>
      </c>
      <c r="I342" s="145">
        <f t="shared" ca="1" si="20"/>
        <v>41</v>
      </c>
      <c r="J342" s="8" t="b">
        <f t="shared" ca="1" si="21"/>
        <v>0</v>
      </c>
      <c r="K342" s="8" t="b">
        <f t="shared" ca="1" si="22"/>
        <v>0</v>
      </c>
      <c r="L342" s="8">
        <f t="shared" ca="1" si="23"/>
        <v>0</v>
      </c>
    </row>
    <row r="343" spans="1:12" ht="15.75" customHeight="1" x14ac:dyDescent="0.25">
      <c r="A343" s="4">
        <v>133476</v>
      </c>
      <c r="B343" s="4" t="s">
        <v>12</v>
      </c>
      <c r="C343" s="5">
        <v>32256</v>
      </c>
      <c r="D343" s="4" t="s">
        <v>61</v>
      </c>
      <c r="E343" s="4" t="s">
        <v>26</v>
      </c>
      <c r="F343" s="4" t="s">
        <v>23</v>
      </c>
      <c r="G343" s="6">
        <v>220</v>
      </c>
      <c r="H343" s="7">
        <v>22002</v>
      </c>
      <c r="I343" s="145">
        <f t="shared" ca="1" si="20"/>
        <v>36</v>
      </c>
      <c r="J343" s="8" t="b">
        <f t="shared" ca="1" si="21"/>
        <v>1</v>
      </c>
      <c r="K343" s="8" t="b">
        <f t="shared" ca="1" si="22"/>
        <v>0</v>
      </c>
      <c r="L343" s="8">
        <f t="shared" ca="1" si="23"/>
        <v>0</v>
      </c>
    </row>
    <row r="344" spans="1:12" ht="15.75" customHeight="1" x14ac:dyDescent="0.25">
      <c r="A344" s="4">
        <v>24634</v>
      </c>
      <c r="B344" s="4" t="s">
        <v>12</v>
      </c>
      <c r="C344" s="5">
        <v>28863</v>
      </c>
      <c r="D344" s="4" t="s">
        <v>50</v>
      </c>
      <c r="E344" s="4" t="s">
        <v>20</v>
      </c>
      <c r="F344" s="4" t="s">
        <v>15</v>
      </c>
      <c r="G344" s="6">
        <v>219</v>
      </c>
      <c r="H344" s="7">
        <v>21945</v>
      </c>
      <c r="I344" s="145">
        <f t="shared" ca="1" si="20"/>
        <v>45</v>
      </c>
      <c r="J344" s="8" t="b">
        <f t="shared" ca="1" si="21"/>
        <v>0</v>
      </c>
      <c r="K344" s="8" t="b">
        <f t="shared" ca="1" si="22"/>
        <v>0</v>
      </c>
      <c r="L344" s="8">
        <f t="shared" ca="1" si="23"/>
        <v>0</v>
      </c>
    </row>
    <row r="345" spans="1:12" ht="15.75" customHeight="1" x14ac:dyDescent="0.25">
      <c r="A345" s="4">
        <v>128794</v>
      </c>
      <c r="B345" s="4" t="s">
        <v>12</v>
      </c>
      <c r="C345" s="5">
        <v>30898</v>
      </c>
      <c r="D345" s="4" t="s">
        <v>66</v>
      </c>
      <c r="E345" s="4" t="s">
        <v>26</v>
      </c>
      <c r="F345" s="4" t="s">
        <v>23</v>
      </c>
      <c r="G345" s="6">
        <v>219</v>
      </c>
      <c r="H345" s="7">
        <v>21889</v>
      </c>
      <c r="I345" s="145">
        <f t="shared" ca="1" si="20"/>
        <v>39</v>
      </c>
      <c r="J345" s="8" t="b">
        <f t="shared" ca="1" si="21"/>
        <v>1</v>
      </c>
      <c r="K345" s="8" t="b">
        <f t="shared" ca="1" si="22"/>
        <v>0</v>
      </c>
      <c r="L345" s="8">
        <f t="shared" ca="1" si="23"/>
        <v>0</v>
      </c>
    </row>
    <row r="346" spans="1:12" ht="15.75" customHeight="1" x14ac:dyDescent="0.25">
      <c r="A346" s="4">
        <v>23639</v>
      </c>
      <c r="B346" s="4" t="s">
        <v>24</v>
      </c>
      <c r="C346" s="5">
        <v>28857</v>
      </c>
      <c r="D346" s="4" t="s">
        <v>77</v>
      </c>
      <c r="E346" s="4" t="s">
        <v>26</v>
      </c>
      <c r="F346" s="4" t="s">
        <v>23</v>
      </c>
      <c r="G346" s="6">
        <v>218</v>
      </c>
      <c r="H346" s="7">
        <v>21840</v>
      </c>
      <c r="I346" s="145">
        <f t="shared" ca="1" si="20"/>
        <v>45</v>
      </c>
      <c r="J346" s="8" t="b">
        <f t="shared" ca="1" si="21"/>
        <v>0</v>
      </c>
      <c r="K346" s="8" t="b">
        <f t="shared" ca="1" si="22"/>
        <v>1</v>
      </c>
      <c r="L346" s="8">
        <f t="shared" ca="1" si="23"/>
        <v>0</v>
      </c>
    </row>
    <row r="347" spans="1:12" ht="15.75" customHeight="1" x14ac:dyDescent="0.25">
      <c r="A347" s="4">
        <v>20921</v>
      </c>
      <c r="B347" s="4" t="s">
        <v>24</v>
      </c>
      <c r="C347" s="5">
        <v>31248</v>
      </c>
      <c r="D347" s="4" t="s">
        <v>164</v>
      </c>
      <c r="E347" s="4" t="s">
        <v>52</v>
      </c>
      <c r="F347" s="4" t="s">
        <v>15</v>
      </c>
      <c r="G347" s="6">
        <v>214</v>
      </c>
      <c r="H347" s="7">
        <v>21448</v>
      </c>
      <c r="I347" s="145">
        <f t="shared" ca="1" si="20"/>
        <v>38</v>
      </c>
      <c r="J347" s="8" t="b">
        <f t="shared" ca="1" si="21"/>
        <v>0</v>
      </c>
      <c r="K347" s="8" t="b">
        <f t="shared" ca="1" si="22"/>
        <v>1</v>
      </c>
      <c r="L347" s="8">
        <f t="shared" ca="1" si="23"/>
        <v>0</v>
      </c>
    </row>
    <row r="348" spans="1:12" ht="15.75" customHeight="1" x14ac:dyDescent="0.25">
      <c r="A348" s="4">
        <v>26693</v>
      </c>
      <c r="B348" s="4" t="s">
        <v>12</v>
      </c>
      <c r="C348" s="5">
        <v>23939</v>
      </c>
      <c r="D348" s="4" t="s">
        <v>31</v>
      </c>
      <c r="E348" s="4" t="s">
        <v>20</v>
      </c>
      <c r="F348" s="4" t="s">
        <v>15</v>
      </c>
      <c r="G348" s="6">
        <v>212</v>
      </c>
      <c r="H348" s="7">
        <v>21200</v>
      </c>
      <c r="I348" s="145">
        <f t="shared" ca="1" si="20"/>
        <v>58</v>
      </c>
      <c r="J348" s="8" t="b">
        <f t="shared" ca="1" si="21"/>
        <v>0</v>
      </c>
      <c r="K348" s="8" t="b">
        <f t="shared" ca="1" si="22"/>
        <v>0</v>
      </c>
      <c r="L348" s="8">
        <f t="shared" ca="1" si="23"/>
        <v>0</v>
      </c>
    </row>
    <row r="349" spans="1:12" ht="15.75" customHeight="1" x14ac:dyDescent="0.25">
      <c r="A349" s="4">
        <v>141686</v>
      </c>
      <c r="B349" s="4" t="s">
        <v>24</v>
      </c>
      <c r="C349" s="5">
        <v>25230</v>
      </c>
      <c r="D349" s="4" t="s">
        <v>156</v>
      </c>
      <c r="E349" s="4" t="s">
        <v>157</v>
      </c>
      <c r="F349" s="4" t="s">
        <v>40</v>
      </c>
      <c r="G349" s="6">
        <v>212</v>
      </c>
      <c r="H349" s="7">
        <v>21168</v>
      </c>
      <c r="I349" s="145">
        <f t="shared" ca="1" si="20"/>
        <v>55</v>
      </c>
      <c r="J349" s="8" t="b">
        <f t="shared" ca="1" si="21"/>
        <v>0</v>
      </c>
      <c r="K349" s="8" t="b">
        <f t="shared" ca="1" si="22"/>
        <v>0</v>
      </c>
      <c r="L349" s="8">
        <f t="shared" ca="1" si="23"/>
        <v>10000</v>
      </c>
    </row>
    <row r="350" spans="1:12" ht="15.75" customHeight="1" x14ac:dyDescent="0.25">
      <c r="A350" s="4">
        <v>128829</v>
      </c>
      <c r="B350" s="4" t="s">
        <v>12</v>
      </c>
      <c r="C350" s="5">
        <v>25970</v>
      </c>
      <c r="D350" s="4" t="s">
        <v>118</v>
      </c>
      <c r="E350" s="4" t="s">
        <v>20</v>
      </c>
      <c r="F350" s="4" t="s">
        <v>15</v>
      </c>
      <c r="G350" s="6">
        <v>210</v>
      </c>
      <c r="H350" s="7">
        <v>21000</v>
      </c>
      <c r="I350" s="145">
        <f t="shared" ca="1" si="20"/>
        <v>53</v>
      </c>
      <c r="J350" s="8" t="b">
        <f t="shared" ca="1" si="21"/>
        <v>0</v>
      </c>
      <c r="K350" s="8" t="b">
        <f t="shared" ca="1" si="22"/>
        <v>0</v>
      </c>
      <c r="L350" s="8">
        <f t="shared" ca="1" si="23"/>
        <v>0</v>
      </c>
    </row>
    <row r="351" spans="1:12" ht="15.75" customHeight="1" x14ac:dyDescent="0.25">
      <c r="A351" s="4">
        <v>20479</v>
      </c>
      <c r="B351" s="4" t="s">
        <v>12</v>
      </c>
      <c r="C351" s="5">
        <v>28278</v>
      </c>
      <c r="D351" s="4" t="s">
        <v>165</v>
      </c>
      <c r="E351" s="4" t="s">
        <v>26</v>
      </c>
      <c r="F351" s="4" t="s">
        <v>23</v>
      </c>
      <c r="G351" s="6">
        <v>209</v>
      </c>
      <c r="H351" s="7">
        <v>20880</v>
      </c>
      <c r="I351" s="145">
        <f t="shared" ca="1" si="20"/>
        <v>47</v>
      </c>
      <c r="J351" s="8" t="b">
        <f t="shared" ca="1" si="21"/>
        <v>0</v>
      </c>
      <c r="K351" s="8" t="b">
        <f t="shared" ca="1" si="22"/>
        <v>0</v>
      </c>
      <c r="L351" s="8">
        <f t="shared" ca="1" si="23"/>
        <v>0</v>
      </c>
    </row>
    <row r="352" spans="1:12" ht="15.75" customHeight="1" x14ac:dyDescent="0.25">
      <c r="A352" s="4">
        <v>20952</v>
      </c>
      <c r="B352" s="4" t="s">
        <v>12</v>
      </c>
      <c r="C352" s="5">
        <v>32147</v>
      </c>
      <c r="D352" s="4" t="s">
        <v>57</v>
      </c>
      <c r="E352" s="4" t="s">
        <v>35</v>
      </c>
      <c r="F352" s="4" t="s">
        <v>15</v>
      </c>
      <c r="G352" s="6">
        <v>208</v>
      </c>
      <c r="H352" s="7">
        <v>20800</v>
      </c>
      <c r="I352" s="145">
        <f t="shared" ca="1" si="20"/>
        <v>36</v>
      </c>
      <c r="J352" s="8" t="b">
        <f t="shared" ca="1" si="21"/>
        <v>1</v>
      </c>
      <c r="K352" s="8" t="b">
        <f t="shared" ca="1" si="22"/>
        <v>0</v>
      </c>
      <c r="L352" s="8">
        <f t="shared" ca="1" si="23"/>
        <v>0</v>
      </c>
    </row>
    <row r="353" spans="1:12" ht="15.75" customHeight="1" x14ac:dyDescent="0.25">
      <c r="A353" s="4">
        <v>129568</v>
      </c>
      <c r="B353" s="4" t="s">
        <v>12</v>
      </c>
      <c r="C353" s="5">
        <v>33089</v>
      </c>
      <c r="D353" s="4" t="s">
        <v>48</v>
      </c>
      <c r="E353" s="4" t="s">
        <v>20</v>
      </c>
      <c r="F353" s="4" t="s">
        <v>15</v>
      </c>
      <c r="G353" s="6">
        <v>208</v>
      </c>
      <c r="H353" s="7">
        <v>20770</v>
      </c>
      <c r="I353" s="145">
        <f t="shared" ca="1" si="20"/>
        <v>33</v>
      </c>
      <c r="J353" s="8" t="b">
        <f t="shared" ca="1" si="21"/>
        <v>1</v>
      </c>
      <c r="K353" s="8" t="b">
        <f t="shared" ca="1" si="22"/>
        <v>0</v>
      </c>
      <c r="L353" s="8">
        <f t="shared" ca="1" si="23"/>
        <v>0</v>
      </c>
    </row>
    <row r="354" spans="1:12" ht="15.75" customHeight="1" x14ac:dyDescent="0.25">
      <c r="A354" s="4">
        <v>26086</v>
      </c>
      <c r="B354" s="4" t="s">
        <v>24</v>
      </c>
      <c r="C354" s="5">
        <v>17670</v>
      </c>
      <c r="D354" s="4" t="s">
        <v>43</v>
      </c>
      <c r="E354" s="4" t="s">
        <v>35</v>
      </c>
      <c r="F354" s="4" t="s">
        <v>15</v>
      </c>
      <c r="G354" s="6">
        <v>206</v>
      </c>
      <c r="H354" s="7">
        <v>20625</v>
      </c>
      <c r="I354" s="145">
        <f t="shared" ca="1" si="20"/>
        <v>76</v>
      </c>
      <c r="J354" s="8" t="b">
        <f t="shared" ca="1" si="21"/>
        <v>0</v>
      </c>
      <c r="K354" s="8" t="b">
        <f t="shared" ca="1" si="22"/>
        <v>0</v>
      </c>
      <c r="L354" s="8">
        <f t="shared" ca="1" si="23"/>
        <v>10000</v>
      </c>
    </row>
    <row r="355" spans="1:12" ht="15.75" customHeight="1" x14ac:dyDescent="0.25">
      <c r="A355" s="4">
        <v>21063</v>
      </c>
      <c r="B355" s="4" t="s">
        <v>24</v>
      </c>
      <c r="C355" s="5">
        <v>32284</v>
      </c>
      <c r="D355" s="4" t="s">
        <v>48</v>
      </c>
      <c r="E355" s="4" t="s">
        <v>20</v>
      </c>
      <c r="F355" s="4" t="s">
        <v>15</v>
      </c>
      <c r="G355" s="6">
        <v>206</v>
      </c>
      <c r="H355" s="7">
        <v>20625</v>
      </c>
      <c r="I355" s="145">
        <f t="shared" ca="1" si="20"/>
        <v>36</v>
      </c>
      <c r="J355" s="8" t="b">
        <f t="shared" ca="1" si="21"/>
        <v>0</v>
      </c>
      <c r="K355" s="8" t="b">
        <f t="shared" ca="1" si="22"/>
        <v>1</v>
      </c>
      <c r="L355" s="8">
        <f t="shared" ca="1" si="23"/>
        <v>0</v>
      </c>
    </row>
    <row r="356" spans="1:12" ht="15.75" customHeight="1" x14ac:dyDescent="0.25">
      <c r="A356" s="4">
        <v>22217</v>
      </c>
      <c r="B356" s="4" t="s">
        <v>12</v>
      </c>
      <c r="C356" s="5">
        <v>30058</v>
      </c>
      <c r="D356" s="4" t="s">
        <v>166</v>
      </c>
      <c r="E356" s="4" t="s">
        <v>84</v>
      </c>
      <c r="F356" s="4" t="s">
        <v>40</v>
      </c>
      <c r="G356" s="6">
        <v>205</v>
      </c>
      <c r="H356" s="7">
        <v>20475</v>
      </c>
      <c r="I356" s="145">
        <f t="shared" ca="1" si="20"/>
        <v>42</v>
      </c>
      <c r="J356" s="8" t="b">
        <f t="shared" ca="1" si="21"/>
        <v>0</v>
      </c>
      <c r="K356" s="8" t="b">
        <f t="shared" ca="1" si="22"/>
        <v>0</v>
      </c>
      <c r="L356" s="8">
        <f t="shared" ca="1" si="23"/>
        <v>0</v>
      </c>
    </row>
    <row r="357" spans="1:12" ht="15.75" customHeight="1" x14ac:dyDescent="0.25">
      <c r="A357" s="4">
        <v>132186</v>
      </c>
      <c r="B357" s="4" t="s">
        <v>12</v>
      </c>
      <c r="C357" s="5">
        <v>26034</v>
      </c>
      <c r="D357" s="4" t="s">
        <v>60</v>
      </c>
      <c r="E357" s="4" t="s">
        <v>20</v>
      </c>
      <c r="F357" s="4" t="s">
        <v>15</v>
      </c>
      <c r="G357" s="6">
        <v>202</v>
      </c>
      <c r="H357" s="7">
        <v>20150</v>
      </c>
      <c r="I357" s="145">
        <f t="shared" ca="1" si="20"/>
        <v>53</v>
      </c>
      <c r="J357" s="8" t="b">
        <f t="shared" ca="1" si="21"/>
        <v>0</v>
      </c>
      <c r="K357" s="8" t="b">
        <f t="shared" ca="1" si="22"/>
        <v>0</v>
      </c>
      <c r="L357" s="8">
        <f t="shared" ca="1" si="23"/>
        <v>0</v>
      </c>
    </row>
    <row r="358" spans="1:12" ht="15.75" customHeight="1" x14ac:dyDescent="0.25">
      <c r="A358" s="4">
        <v>21615</v>
      </c>
      <c r="B358" s="4" t="s">
        <v>24</v>
      </c>
      <c r="C358" s="5">
        <v>22068</v>
      </c>
      <c r="D358" s="4" t="s">
        <v>13</v>
      </c>
      <c r="E358" s="4" t="s">
        <v>14</v>
      </c>
      <c r="F358" s="4" t="s">
        <v>15</v>
      </c>
      <c r="G358" s="6">
        <v>201</v>
      </c>
      <c r="H358" s="7">
        <v>20130</v>
      </c>
      <c r="I358" s="145">
        <f t="shared" ca="1" si="20"/>
        <v>64</v>
      </c>
      <c r="J358" s="8" t="b">
        <f t="shared" ca="1" si="21"/>
        <v>0</v>
      </c>
      <c r="K358" s="8" t="b">
        <f t="shared" ca="1" si="22"/>
        <v>0</v>
      </c>
      <c r="L358" s="8">
        <f t="shared" ca="1" si="23"/>
        <v>10000</v>
      </c>
    </row>
    <row r="359" spans="1:12" ht="15.75" customHeight="1" x14ac:dyDescent="0.25">
      <c r="A359" s="4">
        <v>20546</v>
      </c>
      <c r="B359" s="4" t="s">
        <v>12</v>
      </c>
      <c r="C359" s="5">
        <v>23847</v>
      </c>
      <c r="D359" s="4" t="s">
        <v>57</v>
      </c>
      <c r="E359" s="4" t="s">
        <v>35</v>
      </c>
      <c r="F359" s="4" t="s">
        <v>15</v>
      </c>
      <c r="G359" s="6">
        <v>200</v>
      </c>
      <c r="H359" s="7">
        <v>19955</v>
      </c>
      <c r="I359" s="145">
        <f t="shared" ca="1" si="20"/>
        <v>59</v>
      </c>
      <c r="J359" s="8" t="b">
        <f t="shared" ca="1" si="21"/>
        <v>0</v>
      </c>
      <c r="K359" s="8" t="b">
        <f t="shared" ca="1" si="22"/>
        <v>0</v>
      </c>
      <c r="L359" s="8">
        <f t="shared" ca="1" si="23"/>
        <v>0</v>
      </c>
    </row>
    <row r="360" spans="1:12" ht="15.75" customHeight="1" x14ac:dyDescent="0.25">
      <c r="A360" s="4">
        <v>31092</v>
      </c>
      <c r="B360" s="4" t="s">
        <v>12</v>
      </c>
      <c r="C360" s="5">
        <v>33314</v>
      </c>
      <c r="D360" s="4" t="s">
        <v>27</v>
      </c>
      <c r="E360" s="4" t="s">
        <v>28</v>
      </c>
      <c r="F360" s="4" t="s">
        <v>23</v>
      </c>
      <c r="G360" s="6">
        <v>200</v>
      </c>
      <c r="H360" s="7">
        <v>19950</v>
      </c>
      <c r="I360" s="145">
        <f t="shared" ca="1" si="20"/>
        <v>33</v>
      </c>
      <c r="J360" s="8" t="b">
        <f t="shared" ca="1" si="21"/>
        <v>1</v>
      </c>
      <c r="K360" s="8" t="b">
        <f t="shared" ca="1" si="22"/>
        <v>0</v>
      </c>
      <c r="L360" s="8">
        <f t="shared" ca="1" si="23"/>
        <v>0</v>
      </c>
    </row>
    <row r="361" spans="1:12" ht="15.75" customHeight="1" x14ac:dyDescent="0.25">
      <c r="A361" s="4">
        <v>126215</v>
      </c>
      <c r="B361" s="4" t="s">
        <v>12</v>
      </c>
      <c r="C361" s="5">
        <v>31022</v>
      </c>
      <c r="D361" s="4" t="s">
        <v>128</v>
      </c>
      <c r="E361" s="4" t="s">
        <v>129</v>
      </c>
      <c r="F361" s="4" t="s">
        <v>18</v>
      </c>
      <c r="G361" s="6">
        <v>200</v>
      </c>
      <c r="H361" s="7">
        <v>19950</v>
      </c>
      <c r="I361" s="145">
        <f t="shared" ca="1" si="20"/>
        <v>39</v>
      </c>
      <c r="J361" s="8" t="b">
        <f t="shared" ca="1" si="21"/>
        <v>1</v>
      </c>
      <c r="K361" s="8" t="b">
        <f t="shared" ca="1" si="22"/>
        <v>0</v>
      </c>
      <c r="L361" s="8">
        <f t="shared" ca="1" si="23"/>
        <v>0</v>
      </c>
    </row>
    <row r="362" spans="1:12" ht="15.75" customHeight="1" x14ac:dyDescent="0.25">
      <c r="A362" s="4">
        <v>124244</v>
      </c>
      <c r="B362" s="4" t="s">
        <v>12</v>
      </c>
      <c r="C362" s="5">
        <v>29678</v>
      </c>
      <c r="D362" s="4" t="s">
        <v>81</v>
      </c>
      <c r="E362" s="4" t="s">
        <v>39</v>
      </c>
      <c r="F362" s="4" t="s">
        <v>40</v>
      </c>
      <c r="G362" s="6">
        <v>198</v>
      </c>
      <c r="H362" s="7">
        <v>19839</v>
      </c>
      <c r="I362" s="145">
        <f t="shared" ca="1" si="20"/>
        <v>43</v>
      </c>
      <c r="J362" s="8" t="b">
        <f t="shared" ca="1" si="21"/>
        <v>0</v>
      </c>
      <c r="K362" s="8" t="b">
        <f t="shared" ca="1" si="22"/>
        <v>0</v>
      </c>
      <c r="L362" s="8">
        <f t="shared" ca="1" si="23"/>
        <v>0</v>
      </c>
    </row>
    <row r="363" spans="1:12" ht="15.75" customHeight="1" x14ac:dyDescent="0.25">
      <c r="A363" s="4">
        <v>124780</v>
      </c>
      <c r="B363" s="4" t="s">
        <v>12</v>
      </c>
      <c r="C363" s="5">
        <v>29699</v>
      </c>
      <c r="D363" s="4" t="s">
        <v>98</v>
      </c>
      <c r="E363" s="4" t="s">
        <v>28</v>
      </c>
      <c r="F363" s="4" t="s">
        <v>23</v>
      </c>
      <c r="G363" s="6">
        <v>198</v>
      </c>
      <c r="H363" s="7">
        <v>19800</v>
      </c>
      <c r="I363" s="145">
        <f t="shared" ca="1" si="20"/>
        <v>43</v>
      </c>
      <c r="J363" s="8" t="b">
        <f t="shared" ca="1" si="21"/>
        <v>0</v>
      </c>
      <c r="K363" s="8" t="b">
        <f t="shared" ca="1" si="22"/>
        <v>0</v>
      </c>
      <c r="L363" s="8">
        <f t="shared" ca="1" si="23"/>
        <v>0</v>
      </c>
    </row>
    <row r="364" spans="1:12" ht="15.75" customHeight="1" x14ac:dyDescent="0.25">
      <c r="A364" s="4">
        <v>21756</v>
      </c>
      <c r="B364" s="4" t="s">
        <v>12</v>
      </c>
      <c r="C364" s="5">
        <v>22739</v>
      </c>
      <c r="D364" s="4" t="s">
        <v>167</v>
      </c>
      <c r="E364" s="4" t="s">
        <v>74</v>
      </c>
      <c r="F364" s="4" t="s">
        <v>79</v>
      </c>
      <c r="G364" s="6">
        <v>198</v>
      </c>
      <c r="H364" s="7">
        <v>19800</v>
      </c>
      <c r="I364" s="145">
        <f t="shared" ca="1" si="20"/>
        <v>62</v>
      </c>
      <c r="J364" s="8" t="b">
        <f t="shared" ca="1" si="21"/>
        <v>0</v>
      </c>
      <c r="K364" s="8" t="b">
        <f t="shared" ca="1" si="22"/>
        <v>0</v>
      </c>
      <c r="L364" s="8">
        <f t="shared" ca="1" si="23"/>
        <v>0</v>
      </c>
    </row>
    <row r="365" spans="1:12" ht="15.75" customHeight="1" x14ac:dyDescent="0.25">
      <c r="A365" s="4">
        <v>121041</v>
      </c>
      <c r="B365" s="4" t="s">
        <v>24</v>
      </c>
      <c r="C365" s="5">
        <v>29428</v>
      </c>
      <c r="D365" s="4" t="s">
        <v>13</v>
      </c>
      <c r="E365" s="4" t="s">
        <v>14</v>
      </c>
      <c r="F365" s="4" t="s">
        <v>15</v>
      </c>
      <c r="G365" s="6">
        <v>198</v>
      </c>
      <c r="H365" s="7">
        <v>19760</v>
      </c>
      <c r="I365" s="145">
        <f t="shared" ca="1" si="20"/>
        <v>43</v>
      </c>
      <c r="J365" s="8" t="b">
        <f t="shared" ca="1" si="21"/>
        <v>0</v>
      </c>
      <c r="K365" s="8" t="b">
        <f t="shared" ca="1" si="22"/>
        <v>1</v>
      </c>
      <c r="L365" s="8">
        <f t="shared" ca="1" si="23"/>
        <v>0</v>
      </c>
    </row>
    <row r="366" spans="1:12" ht="15.75" customHeight="1" x14ac:dyDescent="0.25">
      <c r="A366" s="4">
        <v>25921</v>
      </c>
      <c r="B366" s="4" t="s">
        <v>12</v>
      </c>
      <c r="C366" s="5">
        <v>32022</v>
      </c>
      <c r="D366" s="4" t="s">
        <v>155</v>
      </c>
      <c r="E366" s="4" t="s">
        <v>84</v>
      </c>
      <c r="F366" s="4" t="s">
        <v>40</v>
      </c>
      <c r="G366" s="6">
        <v>198</v>
      </c>
      <c r="H366" s="7">
        <v>19760</v>
      </c>
      <c r="I366" s="145">
        <f t="shared" ca="1" si="20"/>
        <v>36</v>
      </c>
      <c r="J366" s="8" t="b">
        <f t="shared" ca="1" si="21"/>
        <v>1</v>
      </c>
      <c r="K366" s="8" t="b">
        <f t="shared" ca="1" si="22"/>
        <v>0</v>
      </c>
      <c r="L366" s="8">
        <f t="shared" ca="1" si="23"/>
        <v>0</v>
      </c>
    </row>
    <row r="367" spans="1:12" ht="15.75" customHeight="1" x14ac:dyDescent="0.25">
      <c r="A367" s="4">
        <v>128402</v>
      </c>
      <c r="B367" s="4" t="s">
        <v>12</v>
      </c>
      <c r="C367" s="5">
        <v>26144</v>
      </c>
      <c r="D367" s="4" t="s">
        <v>80</v>
      </c>
      <c r="E367" s="4" t="s">
        <v>26</v>
      </c>
      <c r="F367" s="4" t="s">
        <v>23</v>
      </c>
      <c r="G367" s="6">
        <v>197</v>
      </c>
      <c r="H367" s="7">
        <v>19720</v>
      </c>
      <c r="I367" s="145">
        <f t="shared" ca="1" si="20"/>
        <v>52</v>
      </c>
      <c r="J367" s="8" t="b">
        <f t="shared" ca="1" si="21"/>
        <v>0</v>
      </c>
      <c r="K367" s="8" t="b">
        <f t="shared" ca="1" si="22"/>
        <v>0</v>
      </c>
      <c r="L367" s="8">
        <f t="shared" ca="1" si="23"/>
        <v>0</v>
      </c>
    </row>
    <row r="368" spans="1:12" ht="15.75" customHeight="1" x14ac:dyDescent="0.25">
      <c r="A368" s="4">
        <v>94307</v>
      </c>
      <c r="B368" s="4" t="s">
        <v>12</v>
      </c>
      <c r="C368" s="5">
        <v>36608</v>
      </c>
      <c r="D368" s="4" t="s">
        <v>109</v>
      </c>
      <c r="E368" s="4" t="s">
        <v>26</v>
      </c>
      <c r="F368" s="4" t="s">
        <v>23</v>
      </c>
      <c r="G368" s="6">
        <v>196</v>
      </c>
      <c r="H368" s="7">
        <v>19600</v>
      </c>
      <c r="I368" s="145">
        <f t="shared" ca="1" si="20"/>
        <v>24</v>
      </c>
      <c r="J368" s="8" t="b">
        <f t="shared" ca="1" si="21"/>
        <v>1</v>
      </c>
      <c r="K368" s="8" t="b">
        <f t="shared" ca="1" si="22"/>
        <v>0</v>
      </c>
      <c r="L368" s="8">
        <f t="shared" ca="1" si="23"/>
        <v>0</v>
      </c>
    </row>
    <row r="369" spans="1:12" ht="15.75" customHeight="1" x14ac:dyDescent="0.25">
      <c r="A369" s="4">
        <v>130041</v>
      </c>
      <c r="B369" s="4" t="s">
        <v>12</v>
      </c>
      <c r="C369" s="5">
        <v>27480</v>
      </c>
      <c r="D369" s="4" t="s">
        <v>81</v>
      </c>
      <c r="E369" s="4" t="s">
        <v>39</v>
      </c>
      <c r="F369" s="4" t="s">
        <v>40</v>
      </c>
      <c r="G369" s="6">
        <v>195</v>
      </c>
      <c r="H369" s="7">
        <v>19500</v>
      </c>
      <c r="I369" s="145">
        <f t="shared" ca="1" si="20"/>
        <v>49</v>
      </c>
      <c r="J369" s="8" t="b">
        <f t="shared" ca="1" si="21"/>
        <v>0</v>
      </c>
      <c r="K369" s="8" t="b">
        <f t="shared" ca="1" si="22"/>
        <v>0</v>
      </c>
      <c r="L369" s="8">
        <f t="shared" ca="1" si="23"/>
        <v>0</v>
      </c>
    </row>
    <row r="370" spans="1:12" ht="15.75" customHeight="1" x14ac:dyDescent="0.25">
      <c r="A370" s="4">
        <v>121810</v>
      </c>
      <c r="B370" s="4" t="s">
        <v>12</v>
      </c>
      <c r="C370" s="5">
        <v>28211</v>
      </c>
      <c r="D370" s="4" t="s">
        <v>32</v>
      </c>
      <c r="E370" s="4" t="s">
        <v>20</v>
      </c>
      <c r="F370" s="4" t="s">
        <v>15</v>
      </c>
      <c r="G370" s="6">
        <v>192</v>
      </c>
      <c r="H370" s="7">
        <v>19200</v>
      </c>
      <c r="I370" s="145">
        <f t="shared" ca="1" si="20"/>
        <v>47</v>
      </c>
      <c r="J370" s="8" t="b">
        <f t="shared" ca="1" si="21"/>
        <v>0</v>
      </c>
      <c r="K370" s="8" t="b">
        <f t="shared" ca="1" si="22"/>
        <v>0</v>
      </c>
      <c r="L370" s="8">
        <f t="shared" ca="1" si="23"/>
        <v>0</v>
      </c>
    </row>
    <row r="371" spans="1:12" ht="15.75" customHeight="1" x14ac:dyDescent="0.25">
      <c r="A371" s="4">
        <v>21727</v>
      </c>
      <c r="B371" s="4" t="s">
        <v>24</v>
      </c>
      <c r="C371" s="5">
        <v>31749</v>
      </c>
      <c r="D371" s="4" t="s">
        <v>80</v>
      </c>
      <c r="E371" s="4" t="s">
        <v>26</v>
      </c>
      <c r="F371" s="4" t="s">
        <v>23</v>
      </c>
      <c r="G371" s="6">
        <v>187</v>
      </c>
      <c r="H371" s="7">
        <v>18720</v>
      </c>
      <c r="I371" s="145">
        <f t="shared" ca="1" si="20"/>
        <v>37</v>
      </c>
      <c r="J371" s="8" t="b">
        <f t="shared" ca="1" si="21"/>
        <v>0</v>
      </c>
      <c r="K371" s="8" t="b">
        <f t="shared" ca="1" si="22"/>
        <v>1</v>
      </c>
      <c r="L371" s="8">
        <f t="shared" ca="1" si="23"/>
        <v>0</v>
      </c>
    </row>
    <row r="372" spans="1:12" ht="15.75" customHeight="1" x14ac:dyDescent="0.25">
      <c r="A372" s="4">
        <v>26259</v>
      </c>
      <c r="B372" s="4" t="s">
        <v>24</v>
      </c>
      <c r="C372" s="5">
        <v>32857</v>
      </c>
      <c r="D372" s="4" t="s">
        <v>98</v>
      </c>
      <c r="E372" s="4" t="s">
        <v>28</v>
      </c>
      <c r="F372" s="4" t="s">
        <v>23</v>
      </c>
      <c r="G372" s="6">
        <v>186</v>
      </c>
      <c r="H372" s="7">
        <v>18630</v>
      </c>
      <c r="I372" s="145">
        <f t="shared" ca="1" si="20"/>
        <v>34</v>
      </c>
      <c r="J372" s="8" t="b">
        <f t="shared" ca="1" si="21"/>
        <v>0</v>
      </c>
      <c r="K372" s="8" t="b">
        <f t="shared" ca="1" si="22"/>
        <v>1</v>
      </c>
      <c r="L372" s="8">
        <f t="shared" ca="1" si="23"/>
        <v>0</v>
      </c>
    </row>
    <row r="373" spans="1:12" ht="15.75" customHeight="1" x14ac:dyDescent="0.25">
      <c r="A373" s="4">
        <v>26548</v>
      </c>
      <c r="B373" s="4" t="s">
        <v>24</v>
      </c>
      <c r="C373" s="5">
        <v>22024</v>
      </c>
      <c r="D373" s="4" t="s">
        <v>168</v>
      </c>
      <c r="E373" s="4" t="s">
        <v>35</v>
      </c>
      <c r="F373" s="4" t="s">
        <v>15</v>
      </c>
      <c r="G373" s="6">
        <v>185</v>
      </c>
      <c r="H373" s="7">
        <v>18512</v>
      </c>
      <c r="I373" s="145">
        <f t="shared" ca="1" si="20"/>
        <v>64</v>
      </c>
      <c r="J373" s="8" t="b">
        <f t="shared" ca="1" si="21"/>
        <v>0</v>
      </c>
      <c r="K373" s="8" t="b">
        <f t="shared" ca="1" si="22"/>
        <v>0</v>
      </c>
      <c r="L373" s="8">
        <f t="shared" ca="1" si="23"/>
        <v>10000</v>
      </c>
    </row>
    <row r="374" spans="1:12" ht="15.75" customHeight="1" x14ac:dyDescent="0.25">
      <c r="A374" s="4">
        <v>123547</v>
      </c>
      <c r="B374" s="4" t="s">
        <v>12</v>
      </c>
      <c r="C374" s="5">
        <v>33887</v>
      </c>
      <c r="D374" s="4" t="s">
        <v>105</v>
      </c>
      <c r="E374" s="4" t="s">
        <v>26</v>
      </c>
      <c r="F374" s="4" t="s">
        <v>23</v>
      </c>
      <c r="G374" s="6">
        <v>185</v>
      </c>
      <c r="H374" s="7">
        <v>18480</v>
      </c>
      <c r="I374" s="145">
        <f t="shared" ca="1" si="20"/>
        <v>31</v>
      </c>
      <c r="J374" s="8" t="b">
        <f t="shared" ca="1" si="21"/>
        <v>1</v>
      </c>
      <c r="K374" s="8" t="b">
        <f t="shared" ca="1" si="22"/>
        <v>0</v>
      </c>
      <c r="L374" s="8">
        <f t="shared" ca="1" si="23"/>
        <v>0</v>
      </c>
    </row>
    <row r="375" spans="1:12" ht="15.75" customHeight="1" x14ac:dyDescent="0.25">
      <c r="A375" s="4">
        <v>128519</v>
      </c>
      <c r="B375" s="4" t="s">
        <v>12</v>
      </c>
      <c r="C375" s="5">
        <v>32016</v>
      </c>
      <c r="D375" s="4" t="s">
        <v>87</v>
      </c>
      <c r="E375" s="4" t="s">
        <v>28</v>
      </c>
      <c r="F375" s="4" t="s">
        <v>23</v>
      </c>
      <c r="G375" s="6">
        <v>182</v>
      </c>
      <c r="H375" s="7">
        <v>18178</v>
      </c>
      <c r="I375" s="145">
        <f t="shared" ca="1" si="20"/>
        <v>36</v>
      </c>
      <c r="J375" s="8" t="b">
        <f t="shared" ca="1" si="21"/>
        <v>1</v>
      </c>
      <c r="K375" s="8" t="b">
        <f t="shared" ca="1" si="22"/>
        <v>0</v>
      </c>
      <c r="L375" s="8">
        <f t="shared" ca="1" si="23"/>
        <v>0</v>
      </c>
    </row>
    <row r="376" spans="1:12" ht="15.75" customHeight="1" x14ac:dyDescent="0.25">
      <c r="A376" s="4">
        <v>121892</v>
      </c>
      <c r="B376" s="4" t="s">
        <v>24</v>
      </c>
      <c r="C376" s="5">
        <v>27639</v>
      </c>
      <c r="D376" s="4" t="s">
        <v>50</v>
      </c>
      <c r="E376" s="4" t="s">
        <v>20</v>
      </c>
      <c r="F376" s="4" t="s">
        <v>15</v>
      </c>
      <c r="G376" s="6">
        <v>180</v>
      </c>
      <c r="H376" s="7">
        <v>18000</v>
      </c>
      <c r="I376" s="145">
        <f t="shared" ca="1" si="20"/>
        <v>48</v>
      </c>
      <c r="J376" s="8" t="b">
        <f t="shared" ca="1" si="21"/>
        <v>0</v>
      </c>
      <c r="K376" s="8" t="b">
        <f t="shared" ca="1" si="22"/>
        <v>1</v>
      </c>
      <c r="L376" s="8">
        <f t="shared" ca="1" si="23"/>
        <v>0</v>
      </c>
    </row>
    <row r="377" spans="1:12" ht="15.75" customHeight="1" x14ac:dyDescent="0.25">
      <c r="A377" s="4">
        <v>20427</v>
      </c>
      <c r="B377" s="4" t="s">
        <v>12</v>
      </c>
      <c r="C377" s="5">
        <v>32292</v>
      </c>
      <c r="D377" s="4" t="s">
        <v>81</v>
      </c>
      <c r="E377" s="4" t="s">
        <v>39</v>
      </c>
      <c r="F377" s="4" t="s">
        <v>40</v>
      </c>
      <c r="G377" s="6">
        <v>177</v>
      </c>
      <c r="H377" s="7">
        <v>17700</v>
      </c>
      <c r="I377" s="145">
        <f t="shared" ca="1" si="20"/>
        <v>36</v>
      </c>
      <c r="J377" s="8" t="b">
        <f t="shared" ca="1" si="21"/>
        <v>1</v>
      </c>
      <c r="K377" s="8" t="b">
        <f t="shared" ca="1" si="22"/>
        <v>0</v>
      </c>
      <c r="L377" s="8">
        <f t="shared" ca="1" si="23"/>
        <v>0</v>
      </c>
    </row>
    <row r="378" spans="1:12" ht="15.75" customHeight="1" x14ac:dyDescent="0.25">
      <c r="A378" s="4">
        <v>22515</v>
      </c>
      <c r="B378" s="4" t="s">
        <v>12</v>
      </c>
      <c r="C378" s="5">
        <v>31882</v>
      </c>
      <c r="D378" s="4" t="s">
        <v>169</v>
      </c>
      <c r="E378" s="4" t="s">
        <v>74</v>
      </c>
      <c r="F378" s="4" t="s">
        <v>79</v>
      </c>
      <c r="G378" s="6">
        <v>174</v>
      </c>
      <c r="H378" s="7">
        <v>17437</v>
      </c>
      <c r="I378" s="145">
        <f t="shared" ca="1" si="20"/>
        <v>37</v>
      </c>
      <c r="J378" s="8" t="b">
        <f t="shared" ca="1" si="21"/>
        <v>1</v>
      </c>
      <c r="K378" s="8" t="b">
        <f t="shared" ca="1" si="22"/>
        <v>0</v>
      </c>
      <c r="L378" s="8">
        <f t="shared" ca="1" si="23"/>
        <v>0</v>
      </c>
    </row>
    <row r="379" spans="1:12" ht="15.75" customHeight="1" x14ac:dyDescent="0.25">
      <c r="A379" s="4">
        <v>21021</v>
      </c>
      <c r="B379" s="4" t="s">
        <v>12</v>
      </c>
      <c r="C379" s="5">
        <v>28200</v>
      </c>
      <c r="D379" s="4" t="s">
        <v>48</v>
      </c>
      <c r="E379" s="4" t="s">
        <v>20</v>
      </c>
      <c r="F379" s="4" t="s">
        <v>15</v>
      </c>
      <c r="G379" s="6">
        <v>174</v>
      </c>
      <c r="H379" s="7">
        <v>17420</v>
      </c>
      <c r="I379" s="145">
        <f t="shared" ca="1" si="20"/>
        <v>47</v>
      </c>
      <c r="J379" s="8" t="b">
        <f t="shared" ca="1" si="21"/>
        <v>0</v>
      </c>
      <c r="K379" s="8" t="b">
        <f t="shared" ca="1" si="22"/>
        <v>0</v>
      </c>
      <c r="L379" s="8">
        <f t="shared" ca="1" si="23"/>
        <v>0</v>
      </c>
    </row>
    <row r="380" spans="1:12" ht="15.75" customHeight="1" x14ac:dyDescent="0.25">
      <c r="A380" s="4">
        <v>24659</v>
      </c>
      <c r="B380" s="4" t="s">
        <v>12</v>
      </c>
      <c r="C380" s="5">
        <v>27025</v>
      </c>
      <c r="D380" s="4" t="s">
        <v>43</v>
      </c>
      <c r="E380" s="4" t="s">
        <v>35</v>
      </c>
      <c r="F380" s="4" t="s">
        <v>15</v>
      </c>
      <c r="G380" s="6">
        <v>174</v>
      </c>
      <c r="H380" s="7">
        <v>17385</v>
      </c>
      <c r="I380" s="145">
        <f t="shared" ca="1" si="20"/>
        <v>50</v>
      </c>
      <c r="J380" s="8" t="b">
        <f t="shared" ca="1" si="21"/>
        <v>0</v>
      </c>
      <c r="K380" s="8" t="b">
        <f t="shared" ca="1" si="22"/>
        <v>0</v>
      </c>
      <c r="L380" s="8">
        <f t="shared" ca="1" si="23"/>
        <v>0</v>
      </c>
    </row>
    <row r="381" spans="1:12" ht="15.75" customHeight="1" x14ac:dyDescent="0.25">
      <c r="A381" s="4">
        <v>20745</v>
      </c>
      <c r="B381" s="4" t="s">
        <v>12</v>
      </c>
      <c r="C381" s="5">
        <v>20542</v>
      </c>
      <c r="D381" s="4" t="s">
        <v>60</v>
      </c>
      <c r="E381" s="4" t="s">
        <v>20</v>
      </c>
      <c r="F381" s="4" t="s">
        <v>15</v>
      </c>
      <c r="G381" s="6">
        <v>173</v>
      </c>
      <c r="H381" s="7">
        <v>17298</v>
      </c>
      <c r="I381" s="145">
        <f t="shared" ca="1" si="20"/>
        <v>68</v>
      </c>
      <c r="J381" s="8" t="b">
        <f t="shared" ca="1" si="21"/>
        <v>0</v>
      </c>
      <c r="K381" s="8" t="b">
        <f t="shared" ca="1" si="22"/>
        <v>0</v>
      </c>
      <c r="L381" s="8">
        <f t="shared" ca="1" si="23"/>
        <v>0</v>
      </c>
    </row>
    <row r="382" spans="1:12" ht="15.75" customHeight="1" x14ac:dyDescent="0.25">
      <c r="A382" s="4">
        <v>131022</v>
      </c>
      <c r="B382" s="4" t="s">
        <v>12</v>
      </c>
      <c r="C382" s="5">
        <v>27068</v>
      </c>
      <c r="D382" s="4" t="s">
        <v>48</v>
      </c>
      <c r="E382" s="4" t="s">
        <v>20</v>
      </c>
      <c r="F382" s="4" t="s">
        <v>15</v>
      </c>
      <c r="G382" s="6">
        <v>173</v>
      </c>
      <c r="H382" s="7">
        <v>17284</v>
      </c>
      <c r="I382" s="145">
        <f t="shared" ca="1" si="20"/>
        <v>50</v>
      </c>
      <c r="J382" s="8" t="b">
        <f t="shared" ca="1" si="21"/>
        <v>0</v>
      </c>
      <c r="K382" s="8" t="b">
        <f t="shared" ca="1" si="22"/>
        <v>0</v>
      </c>
      <c r="L382" s="8">
        <f t="shared" ca="1" si="23"/>
        <v>0</v>
      </c>
    </row>
    <row r="383" spans="1:12" ht="15.75" customHeight="1" x14ac:dyDescent="0.25">
      <c r="A383" s="4">
        <v>20766</v>
      </c>
      <c r="B383" s="4" t="s">
        <v>12</v>
      </c>
      <c r="C383" s="5">
        <v>29133</v>
      </c>
      <c r="D383" s="4" t="s">
        <v>48</v>
      </c>
      <c r="E383" s="4" t="s">
        <v>20</v>
      </c>
      <c r="F383" s="4" t="s">
        <v>15</v>
      </c>
      <c r="G383" s="6">
        <v>173</v>
      </c>
      <c r="H383" s="7">
        <v>17262</v>
      </c>
      <c r="I383" s="145">
        <f t="shared" ca="1" si="20"/>
        <v>44</v>
      </c>
      <c r="J383" s="8" t="b">
        <f t="shared" ca="1" si="21"/>
        <v>0</v>
      </c>
      <c r="K383" s="8" t="b">
        <f t="shared" ca="1" si="22"/>
        <v>0</v>
      </c>
      <c r="L383" s="8">
        <f t="shared" ca="1" si="23"/>
        <v>0</v>
      </c>
    </row>
    <row r="384" spans="1:12" ht="15.75" customHeight="1" x14ac:dyDescent="0.25">
      <c r="A384" s="4">
        <v>20477</v>
      </c>
      <c r="B384" s="4" t="s">
        <v>24</v>
      </c>
      <c r="C384" s="5">
        <v>29562</v>
      </c>
      <c r="D384" s="4" t="s">
        <v>81</v>
      </c>
      <c r="E384" s="4" t="s">
        <v>39</v>
      </c>
      <c r="F384" s="4" t="s">
        <v>40</v>
      </c>
      <c r="G384" s="6">
        <v>171</v>
      </c>
      <c r="H384" s="7">
        <v>17110</v>
      </c>
      <c r="I384" s="145">
        <f t="shared" ca="1" si="20"/>
        <v>43</v>
      </c>
      <c r="J384" s="8" t="b">
        <f t="shared" ca="1" si="21"/>
        <v>0</v>
      </c>
      <c r="K384" s="8" t="b">
        <f t="shared" ca="1" si="22"/>
        <v>1</v>
      </c>
      <c r="L384" s="8">
        <f t="shared" ca="1" si="23"/>
        <v>0</v>
      </c>
    </row>
    <row r="385" spans="1:12" ht="15.75" customHeight="1" x14ac:dyDescent="0.25">
      <c r="A385" s="4">
        <v>24859</v>
      </c>
      <c r="B385" s="4" t="s">
        <v>24</v>
      </c>
      <c r="C385" s="5">
        <v>23785</v>
      </c>
      <c r="D385" s="4" t="s">
        <v>60</v>
      </c>
      <c r="E385" s="4" t="s">
        <v>20</v>
      </c>
      <c r="F385" s="4" t="s">
        <v>15</v>
      </c>
      <c r="G385" s="6">
        <v>171</v>
      </c>
      <c r="H385" s="7">
        <v>17051</v>
      </c>
      <c r="I385" s="145">
        <f t="shared" ca="1" si="20"/>
        <v>59</v>
      </c>
      <c r="J385" s="8" t="b">
        <f t="shared" ca="1" si="21"/>
        <v>0</v>
      </c>
      <c r="K385" s="8" t="b">
        <f t="shared" ca="1" si="22"/>
        <v>0</v>
      </c>
      <c r="L385" s="8">
        <f t="shared" ca="1" si="23"/>
        <v>10000</v>
      </c>
    </row>
    <row r="386" spans="1:12" ht="15.75" customHeight="1" x14ac:dyDescent="0.25">
      <c r="A386" s="4">
        <v>127508</v>
      </c>
      <c r="B386" s="4" t="s">
        <v>12</v>
      </c>
      <c r="C386" s="5">
        <v>20277</v>
      </c>
      <c r="D386" s="4" t="s">
        <v>73</v>
      </c>
      <c r="E386" s="4" t="s">
        <v>74</v>
      </c>
      <c r="F386" s="4" t="s">
        <v>23</v>
      </c>
      <c r="G386" s="6">
        <v>168</v>
      </c>
      <c r="H386" s="7">
        <v>16800</v>
      </c>
      <c r="I386" s="145">
        <f t="shared" ca="1" si="20"/>
        <v>68</v>
      </c>
      <c r="J386" s="8" t="b">
        <f t="shared" ca="1" si="21"/>
        <v>0</v>
      </c>
      <c r="K386" s="8" t="b">
        <f t="shared" ca="1" si="22"/>
        <v>0</v>
      </c>
      <c r="L386" s="8">
        <f t="shared" ca="1" si="23"/>
        <v>0</v>
      </c>
    </row>
    <row r="387" spans="1:12" ht="15.75" customHeight="1" x14ac:dyDescent="0.25">
      <c r="A387" s="4">
        <v>21878</v>
      </c>
      <c r="B387" s="4" t="s">
        <v>24</v>
      </c>
      <c r="C387" s="5">
        <v>33457</v>
      </c>
      <c r="D387" s="4" t="s">
        <v>34</v>
      </c>
      <c r="E387" s="4" t="s">
        <v>35</v>
      </c>
      <c r="F387" s="4" t="s">
        <v>15</v>
      </c>
      <c r="G387" s="6">
        <v>168</v>
      </c>
      <c r="H387" s="7">
        <v>16800</v>
      </c>
      <c r="I387" s="145">
        <f t="shared" ref="I387:I450" ca="1" si="24">DATEDIF(C387,TODAY(),"y")</f>
        <v>32</v>
      </c>
      <c r="J387" s="8" t="b">
        <f t="shared" ref="J387:J450" ca="1" si="25">AND(B387="Male",I387&lt;40)</f>
        <v>0</v>
      </c>
      <c r="K387" s="8" t="b">
        <f t="shared" ref="K387:K450" ca="1" si="26">AND(B387="Female",I387&lt;50)</f>
        <v>1</v>
      </c>
      <c r="L387" s="8">
        <f t="shared" ref="L387:L450" ca="1" si="27">IF(AND(B387="Female",OR(I387&lt;25,I387&gt;50)),10000,0)</f>
        <v>0</v>
      </c>
    </row>
    <row r="388" spans="1:12" ht="15.75" customHeight="1" x14ac:dyDescent="0.25">
      <c r="A388" s="4">
        <v>125093</v>
      </c>
      <c r="B388" s="4" t="s">
        <v>12</v>
      </c>
      <c r="C388" s="5">
        <v>33092</v>
      </c>
      <c r="D388" s="4" t="s">
        <v>126</v>
      </c>
      <c r="E388" s="4" t="s">
        <v>22</v>
      </c>
      <c r="F388" s="4" t="s">
        <v>23</v>
      </c>
      <c r="G388" s="6">
        <v>165</v>
      </c>
      <c r="H388" s="7">
        <v>16461</v>
      </c>
      <c r="I388" s="145">
        <f t="shared" ca="1" si="24"/>
        <v>33</v>
      </c>
      <c r="J388" s="8" t="b">
        <f t="shared" ca="1" si="25"/>
        <v>1</v>
      </c>
      <c r="K388" s="8" t="b">
        <f t="shared" ca="1" si="26"/>
        <v>0</v>
      </c>
      <c r="L388" s="8">
        <f t="shared" ca="1" si="27"/>
        <v>0</v>
      </c>
    </row>
    <row r="389" spans="1:12" ht="15.75" customHeight="1" x14ac:dyDescent="0.25">
      <c r="A389" s="4">
        <v>21145</v>
      </c>
      <c r="B389" s="4" t="s">
        <v>12</v>
      </c>
      <c r="C389" s="5">
        <v>32464</v>
      </c>
      <c r="D389" s="4" t="s">
        <v>48</v>
      </c>
      <c r="E389" s="4" t="s">
        <v>20</v>
      </c>
      <c r="F389" s="4" t="s">
        <v>15</v>
      </c>
      <c r="G389" s="6">
        <v>163</v>
      </c>
      <c r="H389" s="7">
        <v>16320</v>
      </c>
      <c r="I389" s="145">
        <f t="shared" ca="1" si="24"/>
        <v>35</v>
      </c>
      <c r="J389" s="8" t="b">
        <f t="shared" ca="1" si="25"/>
        <v>1</v>
      </c>
      <c r="K389" s="8" t="b">
        <f t="shared" ca="1" si="26"/>
        <v>0</v>
      </c>
      <c r="L389" s="8">
        <f t="shared" ca="1" si="27"/>
        <v>0</v>
      </c>
    </row>
    <row r="390" spans="1:12" ht="15.75" customHeight="1" x14ac:dyDescent="0.25">
      <c r="A390" s="4">
        <v>20942</v>
      </c>
      <c r="B390" s="4" t="s">
        <v>24</v>
      </c>
      <c r="C390" s="5">
        <v>28764</v>
      </c>
      <c r="D390" s="4" t="s">
        <v>13</v>
      </c>
      <c r="E390" s="4" t="s">
        <v>14</v>
      </c>
      <c r="F390" s="4" t="s">
        <v>15</v>
      </c>
      <c r="G390" s="6">
        <v>163</v>
      </c>
      <c r="H390" s="7">
        <v>16306</v>
      </c>
      <c r="I390" s="145">
        <f t="shared" ca="1" si="24"/>
        <v>45</v>
      </c>
      <c r="J390" s="8" t="b">
        <f t="shared" ca="1" si="25"/>
        <v>0</v>
      </c>
      <c r="K390" s="8" t="b">
        <f t="shared" ca="1" si="26"/>
        <v>1</v>
      </c>
      <c r="L390" s="8">
        <f t="shared" ca="1" si="27"/>
        <v>0</v>
      </c>
    </row>
    <row r="391" spans="1:12" ht="15.75" customHeight="1" x14ac:dyDescent="0.25">
      <c r="A391" s="4">
        <v>20763</v>
      </c>
      <c r="B391" s="4" t="s">
        <v>12</v>
      </c>
      <c r="C391" s="5">
        <v>20000</v>
      </c>
      <c r="D391" s="4" t="s">
        <v>130</v>
      </c>
      <c r="E391" s="4" t="s">
        <v>20</v>
      </c>
      <c r="F391" s="4" t="s">
        <v>15</v>
      </c>
      <c r="G391" s="6">
        <v>163</v>
      </c>
      <c r="H391" s="7">
        <v>16250</v>
      </c>
      <c r="I391" s="145">
        <f t="shared" ca="1" si="24"/>
        <v>69</v>
      </c>
      <c r="J391" s="8" t="b">
        <f t="shared" ca="1" si="25"/>
        <v>0</v>
      </c>
      <c r="K391" s="8" t="b">
        <f t="shared" ca="1" si="26"/>
        <v>0</v>
      </c>
      <c r="L391" s="8">
        <f t="shared" ca="1" si="27"/>
        <v>0</v>
      </c>
    </row>
    <row r="392" spans="1:12" ht="15.75" customHeight="1" x14ac:dyDescent="0.25">
      <c r="A392" s="4">
        <v>20433</v>
      </c>
      <c r="B392" s="4" t="s">
        <v>12</v>
      </c>
      <c r="C392" s="5">
        <v>30952</v>
      </c>
      <c r="D392" s="4" t="s">
        <v>57</v>
      </c>
      <c r="E392" s="4" t="s">
        <v>35</v>
      </c>
      <c r="F392" s="4" t="s">
        <v>15</v>
      </c>
      <c r="G392" s="6">
        <v>162</v>
      </c>
      <c r="H392" s="7">
        <v>16165</v>
      </c>
      <c r="I392" s="145">
        <f t="shared" ca="1" si="24"/>
        <v>39</v>
      </c>
      <c r="J392" s="8" t="b">
        <f t="shared" ca="1" si="25"/>
        <v>1</v>
      </c>
      <c r="K392" s="8" t="b">
        <f t="shared" ca="1" si="26"/>
        <v>0</v>
      </c>
      <c r="L392" s="8">
        <f t="shared" ca="1" si="27"/>
        <v>0</v>
      </c>
    </row>
    <row r="393" spans="1:12" ht="15.75" customHeight="1" x14ac:dyDescent="0.25">
      <c r="A393" s="4">
        <v>26565</v>
      </c>
      <c r="B393" s="4" t="s">
        <v>12</v>
      </c>
      <c r="C393" s="5">
        <v>27064</v>
      </c>
      <c r="D393" s="4" t="s">
        <v>48</v>
      </c>
      <c r="E393" s="4" t="s">
        <v>20</v>
      </c>
      <c r="F393" s="4" t="s">
        <v>15</v>
      </c>
      <c r="G393" s="6">
        <v>160</v>
      </c>
      <c r="H393" s="7">
        <v>15982</v>
      </c>
      <c r="I393" s="145">
        <f t="shared" ca="1" si="24"/>
        <v>50</v>
      </c>
      <c r="J393" s="8" t="b">
        <f t="shared" ca="1" si="25"/>
        <v>0</v>
      </c>
      <c r="K393" s="8" t="b">
        <f t="shared" ca="1" si="26"/>
        <v>0</v>
      </c>
      <c r="L393" s="8">
        <f t="shared" ca="1" si="27"/>
        <v>0</v>
      </c>
    </row>
    <row r="394" spans="1:12" ht="15.75" customHeight="1" x14ac:dyDescent="0.25">
      <c r="A394" s="4">
        <v>22357</v>
      </c>
      <c r="B394" s="4" t="s">
        <v>12</v>
      </c>
      <c r="C394" s="5">
        <v>29278</v>
      </c>
      <c r="D394" s="4" t="s">
        <v>41</v>
      </c>
      <c r="E394" s="4" t="s">
        <v>20</v>
      </c>
      <c r="F394" s="4" t="s">
        <v>15</v>
      </c>
      <c r="G394" s="6">
        <v>159</v>
      </c>
      <c r="H394" s="7">
        <v>15900</v>
      </c>
      <c r="I394" s="145">
        <f t="shared" ca="1" si="24"/>
        <v>44</v>
      </c>
      <c r="J394" s="8" t="b">
        <f t="shared" ca="1" si="25"/>
        <v>0</v>
      </c>
      <c r="K394" s="8" t="b">
        <f t="shared" ca="1" si="26"/>
        <v>0</v>
      </c>
      <c r="L394" s="8">
        <f t="shared" ca="1" si="27"/>
        <v>0</v>
      </c>
    </row>
    <row r="395" spans="1:12" ht="15.75" customHeight="1" x14ac:dyDescent="0.25">
      <c r="A395" s="4">
        <v>22047</v>
      </c>
      <c r="B395" s="4" t="s">
        <v>12</v>
      </c>
      <c r="C395" s="5">
        <v>29110</v>
      </c>
      <c r="D395" s="4" t="s">
        <v>19</v>
      </c>
      <c r="E395" s="4" t="s">
        <v>20</v>
      </c>
      <c r="F395" s="4" t="s">
        <v>15</v>
      </c>
      <c r="G395" s="6">
        <v>154</v>
      </c>
      <c r="H395" s="7">
        <v>15400</v>
      </c>
      <c r="I395" s="145">
        <f t="shared" ca="1" si="24"/>
        <v>44</v>
      </c>
      <c r="J395" s="8" t="b">
        <f t="shared" ca="1" si="25"/>
        <v>0</v>
      </c>
      <c r="K395" s="8" t="b">
        <f t="shared" ca="1" si="26"/>
        <v>0</v>
      </c>
      <c r="L395" s="8">
        <f t="shared" ca="1" si="27"/>
        <v>0</v>
      </c>
    </row>
    <row r="396" spans="1:12" ht="15.75" customHeight="1" x14ac:dyDescent="0.25">
      <c r="A396" s="4">
        <v>39151</v>
      </c>
      <c r="B396" s="4" t="s">
        <v>12</v>
      </c>
      <c r="C396" s="5">
        <v>30926</v>
      </c>
      <c r="D396" s="4" t="s">
        <v>57</v>
      </c>
      <c r="E396" s="4" t="s">
        <v>35</v>
      </c>
      <c r="F396" s="4" t="s">
        <v>15</v>
      </c>
      <c r="G396" s="6">
        <v>153</v>
      </c>
      <c r="H396" s="7">
        <v>15336</v>
      </c>
      <c r="I396" s="145">
        <f t="shared" ca="1" si="24"/>
        <v>39</v>
      </c>
      <c r="J396" s="8" t="b">
        <f t="shared" ca="1" si="25"/>
        <v>1</v>
      </c>
      <c r="K396" s="8" t="b">
        <f t="shared" ca="1" si="26"/>
        <v>0</v>
      </c>
      <c r="L396" s="8">
        <f t="shared" ca="1" si="27"/>
        <v>0</v>
      </c>
    </row>
    <row r="397" spans="1:12" ht="15.75" customHeight="1" x14ac:dyDescent="0.25">
      <c r="A397" s="4">
        <v>21080</v>
      </c>
      <c r="B397" s="4" t="s">
        <v>12</v>
      </c>
      <c r="C397" s="5">
        <v>28452</v>
      </c>
      <c r="D397" s="4" t="s">
        <v>154</v>
      </c>
      <c r="E397" s="4" t="s">
        <v>37</v>
      </c>
      <c r="F397" s="4" t="s">
        <v>18</v>
      </c>
      <c r="G397" s="6">
        <v>153</v>
      </c>
      <c r="H397" s="7">
        <v>15300</v>
      </c>
      <c r="I397" s="145">
        <f t="shared" ca="1" si="24"/>
        <v>46</v>
      </c>
      <c r="J397" s="8" t="b">
        <f t="shared" ca="1" si="25"/>
        <v>0</v>
      </c>
      <c r="K397" s="8" t="b">
        <f t="shared" ca="1" si="26"/>
        <v>0</v>
      </c>
      <c r="L397" s="8">
        <f t="shared" ca="1" si="27"/>
        <v>0</v>
      </c>
    </row>
    <row r="398" spans="1:12" ht="15.75" customHeight="1" x14ac:dyDescent="0.25">
      <c r="A398" s="4">
        <v>21251</v>
      </c>
      <c r="B398" s="4" t="s">
        <v>12</v>
      </c>
      <c r="C398" s="5">
        <v>24488</v>
      </c>
      <c r="D398" s="4" t="s">
        <v>50</v>
      </c>
      <c r="E398" s="4" t="s">
        <v>20</v>
      </c>
      <c r="F398" s="4" t="s">
        <v>15</v>
      </c>
      <c r="G398" s="6">
        <v>150</v>
      </c>
      <c r="H398" s="7">
        <v>15000</v>
      </c>
      <c r="I398" s="145">
        <f t="shared" ca="1" si="24"/>
        <v>57</v>
      </c>
      <c r="J398" s="8" t="b">
        <f t="shared" ca="1" si="25"/>
        <v>0</v>
      </c>
      <c r="K398" s="8" t="b">
        <f t="shared" ca="1" si="26"/>
        <v>0</v>
      </c>
      <c r="L398" s="8">
        <f t="shared" ca="1" si="27"/>
        <v>0</v>
      </c>
    </row>
    <row r="399" spans="1:12" ht="15.75" customHeight="1" x14ac:dyDescent="0.25">
      <c r="A399" s="4">
        <v>22905</v>
      </c>
      <c r="B399" s="4" t="s">
        <v>12</v>
      </c>
      <c r="C399" s="5">
        <v>33695</v>
      </c>
      <c r="D399" s="4" t="s">
        <v>70</v>
      </c>
      <c r="E399" s="4" t="s">
        <v>55</v>
      </c>
      <c r="F399" s="4" t="s">
        <v>18</v>
      </c>
      <c r="G399" s="6">
        <v>147</v>
      </c>
      <c r="H399" s="7">
        <v>14742</v>
      </c>
      <c r="I399" s="145">
        <f t="shared" ca="1" si="24"/>
        <v>32</v>
      </c>
      <c r="J399" s="8" t="b">
        <f t="shared" ca="1" si="25"/>
        <v>1</v>
      </c>
      <c r="K399" s="8" t="b">
        <f t="shared" ca="1" si="26"/>
        <v>0</v>
      </c>
      <c r="L399" s="8">
        <f t="shared" ca="1" si="27"/>
        <v>0</v>
      </c>
    </row>
    <row r="400" spans="1:12" ht="15.75" customHeight="1" x14ac:dyDescent="0.25">
      <c r="A400" s="4">
        <v>25711</v>
      </c>
      <c r="B400" s="4" t="s">
        <v>24</v>
      </c>
      <c r="C400" s="5">
        <v>31032</v>
      </c>
      <c r="D400" s="4" t="s">
        <v>105</v>
      </c>
      <c r="E400" s="4" t="s">
        <v>26</v>
      </c>
      <c r="F400" s="4" t="s">
        <v>23</v>
      </c>
      <c r="G400" s="6">
        <v>147</v>
      </c>
      <c r="H400" s="7">
        <v>14690</v>
      </c>
      <c r="I400" s="145">
        <f t="shared" ca="1" si="24"/>
        <v>39</v>
      </c>
      <c r="J400" s="8" t="b">
        <f t="shared" ca="1" si="25"/>
        <v>0</v>
      </c>
      <c r="K400" s="8" t="b">
        <f t="shared" ca="1" si="26"/>
        <v>1</v>
      </c>
      <c r="L400" s="8">
        <f t="shared" ca="1" si="27"/>
        <v>0</v>
      </c>
    </row>
    <row r="401" spans="1:12" ht="15.75" customHeight="1" x14ac:dyDescent="0.25">
      <c r="A401" s="4">
        <v>129528</v>
      </c>
      <c r="B401" s="4" t="s">
        <v>12</v>
      </c>
      <c r="C401" s="5">
        <v>23098</v>
      </c>
      <c r="D401" s="4" t="s">
        <v>60</v>
      </c>
      <c r="E401" s="4" t="s">
        <v>20</v>
      </c>
      <c r="F401" s="4" t="s">
        <v>15</v>
      </c>
      <c r="G401" s="6">
        <v>145</v>
      </c>
      <c r="H401" s="7">
        <v>14535</v>
      </c>
      <c r="I401" s="145">
        <f t="shared" ca="1" si="24"/>
        <v>61</v>
      </c>
      <c r="J401" s="8" t="b">
        <f t="shared" ca="1" si="25"/>
        <v>0</v>
      </c>
      <c r="K401" s="8" t="b">
        <f t="shared" ca="1" si="26"/>
        <v>0</v>
      </c>
      <c r="L401" s="8">
        <f t="shared" ca="1" si="27"/>
        <v>0</v>
      </c>
    </row>
    <row r="402" spans="1:12" ht="15.75" customHeight="1" x14ac:dyDescent="0.25">
      <c r="A402" s="4">
        <v>131440</v>
      </c>
      <c r="B402" s="4" t="s">
        <v>24</v>
      </c>
      <c r="C402" s="5">
        <v>26050</v>
      </c>
      <c r="D402" s="4" t="s">
        <v>48</v>
      </c>
      <c r="E402" s="4" t="s">
        <v>20</v>
      </c>
      <c r="F402" s="4" t="s">
        <v>15</v>
      </c>
      <c r="G402" s="6">
        <v>141</v>
      </c>
      <c r="H402" s="7">
        <v>14091</v>
      </c>
      <c r="I402" s="145">
        <f t="shared" ca="1" si="24"/>
        <v>53</v>
      </c>
      <c r="J402" s="8" t="b">
        <f t="shared" ca="1" si="25"/>
        <v>0</v>
      </c>
      <c r="K402" s="8" t="b">
        <f t="shared" ca="1" si="26"/>
        <v>0</v>
      </c>
      <c r="L402" s="8">
        <f t="shared" ca="1" si="27"/>
        <v>10000</v>
      </c>
    </row>
    <row r="403" spans="1:12" ht="15.75" customHeight="1" x14ac:dyDescent="0.25">
      <c r="A403" s="4">
        <v>24012</v>
      </c>
      <c r="B403" s="4" t="s">
        <v>12</v>
      </c>
      <c r="C403" s="5">
        <v>34596</v>
      </c>
      <c r="D403" s="4" t="s">
        <v>54</v>
      </c>
      <c r="E403" s="4" t="s">
        <v>55</v>
      </c>
      <c r="F403" s="4" t="s">
        <v>18</v>
      </c>
      <c r="G403" s="6">
        <v>140</v>
      </c>
      <c r="H403" s="7">
        <v>14040</v>
      </c>
      <c r="I403" s="145">
        <f t="shared" ca="1" si="24"/>
        <v>29</v>
      </c>
      <c r="J403" s="8" t="b">
        <f t="shared" ca="1" si="25"/>
        <v>1</v>
      </c>
      <c r="K403" s="8" t="b">
        <f t="shared" ca="1" si="26"/>
        <v>0</v>
      </c>
      <c r="L403" s="8">
        <f t="shared" ca="1" si="27"/>
        <v>0</v>
      </c>
    </row>
    <row r="404" spans="1:12" ht="15.75" customHeight="1" x14ac:dyDescent="0.25">
      <c r="A404" s="4">
        <v>21820</v>
      </c>
      <c r="B404" s="4" t="s">
        <v>12</v>
      </c>
      <c r="C404" s="5">
        <v>30377</v>
      </c>
      <c r="D404" s="4" t="s">
        <v>50</v>
      </c>
      <c r="E404" s="4" t="s">
        <v>20</v>
      </c>
      <c r="F404" s="4" t="s">
        <v>15</v>
      </c>
      <c r="G404" s="6">
        <v>139</v>
      </c>
      <c r="H404" s="7">
        <v>13920</v>
      </c>
      <c r="I404" s="145">
        <f t="shared" ca="1" si="24"/>
        <v>41</v>
      </c>
      <c r="J404" s="8" t="b">
        <f t="shared" ca="1" si="25"/>
        <v>0</v>
      </c>
      <c r="K404" s="8" t="b">
        <f t="shared" ca="1" si="26"/>
        <v>0</v>
      </c>
      <c r="L404" s="8">
        <f t="shared" ca="1" si="27"/>
        <v>0</v>
      </c>
    </row>
    <row r="405" spans="1:12" ht="15.75" customHeight="1" x14ac:dyDescent="0.25">
      <c r="A405" s="4">
        <v>25461</v>
      </c>
      <c r="B405" s="4" t="s">
        <v>12</v>
      </c>
      <c r="C405" s="5">
        <v>28830</v>
      </c>
      <c r="D405" s="4" t="s">
        <v>69</v>
      </c>
      <c r="E405" s="4" t="s">
        <v>39</v>
      </c>
      <c r="F405" s="4" t="s">
        <v>40</v>
      </c>
      <c r="G405" s="6">
        <v>136</v>
      </c>
      <c r="H405" s="7">
        <v>13578</v>
      </c>
      <c r="I405" s="145">
        <f t="shared" ca="1" si="24"/>
        <v>45</v>
      </c>
      <c r="J405" s="8" t="b">
        <f t="shared" ca="1" si="25"/>
        <v>0</v>
      </c>
      <c r="K405" s="8" t="b">
        <f t="shared" ca="1" si="26"/>
        <v>0</v>
      </c>
      <c r="L405" s="8">
        <f t="shared" ca="1" si="27"/>
        <v>0</v>
      </c>
    </row>
    <row r="406" spans="1:12" ht="15.75" customHeight="1" x14ac:dyDescent="0.25">
      <c r="A406" s="4">
        <v>126732</v>
      </c>
      <c r="B406" s="4" t="s">
        <v>12</v>
      </c>
      <c r="C406" s="5">
        <v>22596</v>
      </c>
      <c r="D406" s="4" t="s">
        <v>102</v>
      </c>
      <c r="E406" s="4" t="s">
        <v>84</v>
      </c>
      <c r="F406" s="4" t="s">
        <v>40</v>
      </c>
      <c r="G406" s="6">
        <v>135</v>
      </c>
      <c r="H406" s="7">
        <v>13500</v>
      </c>
      <c r="I406" s="145">
        <f t="shared" ca="1" si="24"/>
        <v>62</v>
      </c>
      <c r="J406" s="8" t="b">
        <f t="shared" ca="1" si="25"/>
        <v>0</v>
      </c>
      <c r="K406" s="8" t="b">
        <f t="shared" ca="1" si="26"/>
        <v>0</v>
      </c>
      <c r="L406" s="8">
        <f t="shared" ca="1" si="27"/>
        <v>0</v>
      </c>
    </row>
    <row r="407" spans="1:12" ht="15.75" customHeight="1" x14ac:dyDescent="0.25">
      <c r="A407" s="4">
        <v>27664</v>
      </c>
      <c r="B407" s="4" t="s">
        <v>12</v>
      </c>
      <c r="C407" s="5">
        <v>33608</v>
      </c>
      <c r="D407" s="4" t="s">
        <v>48</v>
      </c>
      <c r="E407" s="4" t="s">
        <v>20</v>
      </c>
      <c r="F407" s="4" t="s">
        <v>15</v>
      </c>
      <c r="G407" s="6">
        <v>132</v>
      </c>
      <c r="H407" s="7">
        <v>13200</v>
      </c>
      <c r="I407" s="145">
        <f t="shared" ca="1" si="24"/>
        <v>32</v>
      </c>
      <c r="J407" s="8" t="b">
        <f t="shared" ca="1" si="25"/>
        <v>1</v>
      </c>
      <c r="K407" s="8" t="b">
        <f t="shared" ca="1" si="26"/>
        <v>0</v>
      </c>
      <c r="L407" s="8">
        <f t="shared" ca="1" si="27"/>
        <v>0</v>
      </c>
    </row>
    <row r="408" spans="1:12" ht="15.75" customHeight="1" x14ac:dyDescent="0.25">
      <c r="A408" s="4">
        <v>133138</v>
      </c>
      <c r="B408" s="4" t="s">
        <v>12</v>
      </c>
      <c r="C408" s="5">
        <v>32418</v>
      </c>
      <c r="D408" s="4" t="s">
        <v>75</v>
      </c>
      <c r="E408" s="4" t="s">
        <v>20</v>
      </c>
      <c r="F408" s="4" t="s">
        <v>15</v>
      </c>
      <c r="G408" s="6">
        <v>128</v>
      </c>
      <c r="H408" s="7">
        <v>12825</v>
      </c>
      <c r="I408" s="145">
        <f t="shared" ca="1" si="24"/>
        <v>35</v>
      </c>
      <c r="J408" s="8" t="b">
        <f t="shared" ca="1" si="25"/>
        <v>1</v>
      </c>
      <c r="K408" s="8" t="b">
        <f t="shared" ca="1" si="26"/>
        <v>0</v>
      </c>
      <c r="L408" s="8">
        <f t="shared" ca="1" si="27"/>
        <v>0</v>
      </c>
    </row>
    <row r="409" spans="1:12" ht="15.75" customHeight="1" x14ac:dyDescent="0.25">
      <c r="A409" s="4">
        <v>122734</v>
      </c>
      <c r="B409" s="4" t="s">
        <v>24</v>
      </c>
      <c r="C409" s="5">
        <v>26974</v>
      </c>
      <c r="D409" s="4" t="s">
        <v>31</v>
      </c>
      <c r="E409" s="4" t="s">
        <v>20</v>
      </c>
      <c r="F409" s="4" t="s">
        <v>15</v>
      </c>
      <c r="G409" s="6">
        <v>128</v>
      </c>
      <c r="H409" s="7">
        <v>12800</v>
      </c>
      <c r="I409" s="145">
        <f t="shared" ca="1" si="24"/>
        <v>50</v>
      </c>
      <c r="J409" s="8" t="b">
        <f t="shared" ca="1" si="25"/>
        <v>0</v>
      </c>
      <c r="K409" s="8" t="b">
        <f t="shared" ca="1" si="26"/>
        <v>0</v>
      </c>
      <c r="L409" s="8">
        <f t="shared" ca="1" si="27"/>
        <v>0</v>
      </c>
    </row>
    <row r="410" spans="1:12" ht="15.75" customHeight="1" x14ac:dyDescent="0.25">
      <c r="A410" s="4">
        <v>22167</v>
      </c>
      <c r="B410" s="4" t="s">
        <v>12</v>
      </c>
      <c r="C410" s="5">
        <v>28648</v>
      </c>
      <c r="D410" s="4" t="s">
        <v>57</v>
      </c>
      <c r="E410" s="4" t="s">
        <v>35</v>
      </c>
      <c r="F410" s="4" t="s">
        <v>15</v>
      </c>
      <c r="G410" s="6">
        <v>127</v>
      </c>
      <c r="H410" s="7">
        <v>12675</v>
      </c>
      <c r="I410" s="145">
        <f t="shared" ca="1" si="24"/>
        <v>46</v>
      </c>
      <c r="J410" s="8" t="b">
        <f t="shared" ca="1" si="25"/>
        <v>0</v>
      </c>
      <c r="K410" s="8" t="b">
        <f t="shared" ca="1" si="26"/>
        <v>0</v>
      </c>
      <c r="L410" s="8">
        <f t="shared" ca="1" si="27"/>
        <v>0</v>
      </c>
    </row>
    <row r="411" spans="1:12" ht="15.75" customHeight="1" x14ac:dyDescent="0.25">
      <c r="A411" s="4">
        <v>26642</v>
      </c>
      <c r="B411" s="4" t="s">
        <v>24</v>
      </c>
      <c r="C411" s="5">
        <v>30813</v>
      </c>
      <c r="D411" s="4" t="s">
        <v>32</v>
      </c>
      <c r="E411" s="4" t="s">
        <v>20</v>
      </c>
      <c r="F411" s="4" t="s">
        <v>15</v>
      </c>
      <c r="G411" s="6">
        <v>126</v>
      </c>
      <c r="H411" s="7">
        <v>12614</v>
      </c>
      <c r="I411" s="145">
        <f t="shared" ca="1" si="24"/>
        <v>40</v>
      </c>
      <c r="J411" s="8" t="b">
        <f t="shared" ca="1" si="25"/>
        <v>0</v>
      </c>
      <c r="K411" s="8" t="b">
        <f t="shared" ca="1" si="26"/>
        <v>1</v>
      </c>
      <c r="L411" s="8">
        <f t="shared" ca="1" si="27"/>
        <v>0</v>
      </c>
    </row>
    <row r="412" spans="1:12" ht="15.75" customHeight="1" x14ac:dyDescent="0.25">
      <c r="A412" s="4">
        <v>138213</v>
      </c>
      <c r="B412" s="4" t="s">
        <v>24</v>
      </c>
      <c r="C412" s="5">
        <v>27893</v>
      </c>
      <c r="D412" s="4" t="s">
        <v>170</v>
      </c>
      <c r="E412" s="4" t="s">
        <v>26</v>
      </c>
      <c r="F412" s="4" t="s">
        <v>23</v>
      </c>
      <c r="G412" s="6">
        <v>126</v>
      </c>
      <c r="H412" s="7">
        <v>12600</v>
      </c>
      <c r="I412" s="145">
        <f t="shared" ca="1" si="24"/>
        <v>48</v>
      </c>
      <c r="J412" s="8" t="b">
        <f t="shared" ca="1" si="25"/>
        <v>0</v>
      </c>
      <c r="K412" s="8" t="b">
        <f t="shared" ca="1" si="26"/>
        <v>1</v>
      </c>
      <c r="L412" s="8">
        <f t="shared" ca="1" si="27"/>
        <v>0</v>
      </c>
    </row>
    <row r="413" spans="1:12" ht="15.75" customHeight="1" x14ac:dyDescent="0.25">
      <c r="A413" s="4">
        <v>126676</v>
      </c>
      <c r="B413" s="4" t="s">
        <v>12</v>
      </c>
      <c r="C413" s="5">
        <v>27891</v>
      </c>
      <c r="D413" s="4" t="s">
        <v>49</v>
      </c>
      <c r="E413" s="4" t="s">
        <v>20</v>
      </c>
      <c r="F413" s="4" t="s">
        <v>15</v>
      </c>
      <c r="G413" s="6">
        <v>123</v>
      </c>
      <c r="H413" s="7">
        <v>12338</v>
      </c>
      <c r="I413" s="145">
        <f t="shared" ca="1" si="24"/>
        <v>48</v>
      </c>
      <c r="J413" s="8" t="b">
        <f t="shared" ca="1" si="25"/>
        <v>0</v>
      </c>
      <c r="K413" s="8" t="b">
        <f t="shared" ca="1" si="26"/>
        <v>0</v>
      </c>
      <c r="L413" s="8">
        <f t="shared" ca="1" si="27"/>
        <v>0</v>
      </c>
    </row>
    <row r="414" spans="1:12" ht="15.75" customHeight="1" x14ac:dyDescent="0.25">
      <c r="A414" s="4">
        <v>129168</v>
      </c>
      <c r="B414" s="4" t="s">
        <v>12</v>
      </c>
      <c r="C414" s="5">
        <v>31479</v>
      </c>
      <c r="D414" s="4" t="s">
        <v>118</v>
      </c>
      <c r="E414" s="4" t="s">
        <v>20</v>
      </c>
      <c r="F414" s="4" t="s">
        <v>15</v>
      </c>
      <c r="G414" s="6">
        <v>122</v>
      </c>
      <c r="H414" s="7">
        <v>12200</v>
      </c>
      <c r="I414" s="145">
        <f t="shared" ca="1" si="24"/>
        <v>38</v>
      </c>
      <c r="J414" s="8" t="b">
        <f t="shared" ca="1" si="25"/>
        <v>1</v>
      </c>
      <c r="K414" s="8" t="b">
        <f t="shared" ca="1" si="26"/>
        <v>0</v>
      </c>
      <c r="L414" s="8">
        <f t="shared" ca="1" si="27"/>
        <v>0</v>
      </c>
    </row>
    <row r="415" spans="1:12" ht="15.75" customHeight="1" x14ac:dyDescent="0.25">
      <c r="A415" s="4">
        <v>121576</v>
      </c>
      <c r="B415" s="4" t="s">
        <v>12</v>
      </c>
      <c r="C415" s="5">
        <v>32083</v>
      </c>
      <c r="D415" s="4" t="s">
        <v>114</v>
      </c>
      <c r="E415" s="4" t="s">
        <v>17</v>
      </c>
      <c r="F415" s="4" t="s">
        <v>18</v>
      </c>
      <c r="G415" s="6">
        <v>121</v>
      </c>
      <c r="H415" s="7">
        <v>12139</v>
      </c>
      <c r="I415" s="145">
        <f t="shared" ca="1" si="24"/>
        <v>36</v>
      </c>
      <c r="J415" s="8" t="b">
        <f t="shared" ca="1" si="25"/>
        <v>1</v>
      </c>
      <c r="K415" s="8" t="b">
        <f t="shared" ca="1" si="26"/>
        <v>0</v>
      </c>
      <c r="L415" s="8">
        <f t="shared" ca="1" si="27"/>
        <v>0</v>
      </c>
    </row>
    <row r="416" spans="1:12" ht="15.75" customHeight="1" x14ac:dyDescent="0.25">
      <c r="A416" s="4">
        <v>21346</v>
      </c>
      <c r="B416" s="4" t="s">
        <v>24</v>
      </c>
      <c r="C416" s="5">
        <v>29127</v>
      </c>
      <c r="D416" s="4" t="s">
        <v>50</v>
      </c>
      <c r="E416" s="4" t="s">
        <v>20</v>
      </c>
      <c r="F416" s="4" t="s">
        <v>15</v>
      </c>
      <c r="G416" s="6">
        <v>121</v>
      </c>
      <c r="H416" s="7">
        <v>12090</v>
      </c>
      <c r="I416" s="145">
        <f t="shared" ca="1" si="24"/>
        <v>44</v>
      </c>
      <c r="J416" s="8" t="b">
        <f t="shared" ca="1" si="25"/>
        <v>0</v>
      </c>
      <c r="K416" s="8" t="b">
        <f t="shared" ca="1" si="26"/>
        <v>1</v>
      </c>
      <c r="L416" s="8">
        <f t="shared" ca="1" si="27"/>
        <v>0</v>
      </c>
    </row>
    <row r="417" spans="1:12" ht="15.75" customHeight="1" x14ac:dyDescent="0.25">
      <c r="A417" s="4">
        <v>128641</v>
      </c>
      <c r="B417" s="4" t="s">
        <v>12</v>
      </c>
      <c r="C417" s="5">
        <v>24238</v>
      </c>
      <c r="D417" s="4" t="s">
        <v>48</v>
      </c>
      <c r="E417" s="4" t="s">
        <v>20</v>
      </c>
      <c r="F417" s="4" t="s">
        <v>15</v>
      </c>
      <c r="G417" s="6">
        <v>120</v>
      </c>
      <c r="H417" s="7">
        <v>12000</v>
      </c>
      <c r="I417" s="145">
        <f t="shared" ca="1" si="24"/>
        <v>58</v>
      </c>
      <c r="J417" s="8" t="b">
        <f t="shared" ca="1" si="25"/>
        <v>0</v>
      </c>
      <c r="K417" s="8" t="b">
        <f t="shared" ca="1" si="26"/>
        <v>0</v>
      </c>
      <c r="L417" s="8">
        <f t="shared" ca="1" si="27"/>
        <v>0</v>
      </c>
    </row>
    <row r="418" spans="1:12" ht="15.75" customHeight="1" x14ac:dyDescent="0.25">
      <c r="A418" s="4">
        <v>94442</v>
      </c>
      <c r="B418" s="4" t="s">
        <v>12</v>
      </c>
      <c r="C418" s="5">
        <v>34845</v>
      </c>
      <c r="D418" s="4" t="s">
        <v>49</v>
      </c>
      <c r="E418" s="4" t="s">
        <v>20</v>
      </c>
      <c r="F418" s="4" t="s">
        <v>15</v>
      </c>
      <c r="G418" s="6">
        <v>119</v>
      </c>
      <c r="H418" s="7">
        <v>11880</v>
      </c>
      <c r="I418" s="145">
        <f t="shared" ca="1" si="24"/>
        <v>29</v>
      </c>
      <c r="J418" s="8" t="b">
        <f t="shared" ca="1" si="25"/>
        <v>1</v>
      </c>
      <c r="K418" s="8" t="b">
        <f t="shared" ca="1" si="26"/>
        <v>0</v>
      </c>
      <c r="L418" s="8">
        <f t="shared" ca="1" si="27"/>
        <v>0</v>
      </c>
    </row>
    <row r="419" spans="1:12" ht="15.75" customHeight="1" x14ac:dyDescent="0.25">
      <c r="A419" s="4">
        <v>21427</v>
      </c>
      <c r="B419" s="4" t="s">
        <v>12</v>
      </c>
      <c r="C419" s="5">
        <v>31911</v>
      </c>
      <c r="D419" s="4" t="s">
        <v>75</v>
      </c>
      <c r="E419" s="4" t="s">
        <v>20</v>
      </c>
      <c r="F419" s="4" t="s">
        <v>15</v>
      </c>
      <c r="G419" s="6">
        <v>118</v>
      </c>
      <c r="H419" s="7">
        <v>11800</v>
      </c>
      <c r="I419" s="145">
        <f t="shared" ca="1" si="24"/>
        <v>37</v>
      </c>
      <c r="J419" s="8" t="b">
        <f t="shared" ca="1" si="25"/>
        <v>1</v>
      </c>
      <c r="K419" s="8" t="b">
        <f t="shared" ca="1" si="26"/>
        <v>0</v>
      </c>
      <c r="L419" s="8">
        <f t="shared" ca="1" si="27"/>
        <v>0</v>
      </c>
    </row>
    <row r="420" spans="1:12" ht="15.75" customHeight="1" x14ac:dyDescent="0.25">
      <c r="A420" s="4">
        <v>140105</v>
      </c>
      <c r="B420" s="4" t="s">
        <v>12</v>
      </c>
      <c r="C420" s="5">
        <v>31150</v>
      </c>
      <c r="D420" s="4" t="s">
        <v>171</v>
      </c>
      <c r="E420" s="4" t="s">
        <v>55</v>
      </c>
      <c r="F420" s="4" t="s">
        <v>18</v>
      </c>
      <c r="G420" s="6">
        <v>118</v>
      </c>
      <c r="H420" s="7">
        <v>11800</v>
      </c>
      <c r="I420" s="145">
        <f t="shared" ca="1" si="24"/>
        <v>39</v>
      </c>
      <c r="J420" s="8" t="b">
        <f t="shared" ca="1" si="25"/>
        <v>1</v>
      </c>
      <c r="K420" s="8" t="b">
        <f t="shared" ca="1" si="26"/>
        <v>0</v>
      </c>
      <c r="L420" s="8">
        <f t="shared" ca="1" si="27"/>
        <v>0</v>
      </c>
    </row>
    <row r="421" spans="1:12" ht="15.75" customHeight="1" x14ac:dyDescent="0.25">
      <c r="A421" s="4">
        <v>123382</v>
      </c>
      <c r="B421" s="4" t="s">
        <v>12</v>
      </c>
      <c r="C421" s="5">
        <v>32970</v>
      </c>
      <c r="D421" s="4" t="s">
        <v>172</v>
      </c>
      <c r="E421" s="4" t="s">
        <v>173</v>
      </c>
      <c r="F421" s="4" t="s">
        <v>40</v>
      </c>
      <c r="G421" s="6">
        <v>116</v>
      </c>
      <c r="H421" s="7">
        <v>11600</v>
      </c>
      <c r="I421" s="145">
        <f t="shared" ca="1" si="24"/>
        <v>34</v>
      </c>
      <c r="J421" s="8" t="b">
        <f t="shared" ca="1" si="25"/>
        <v>1</v>
      </c>
      <c r="K421" s="8" t="b">
        <f t="shared" ca="1" si="26"/>
        <v>0</v>
      </c>
      <c r="L421" s="8">
        <f t="shared" ca="1" si="27"/>
        <v>0</v>
      </c>
    </row>
    <row r="422" spans="1:12" ht="15.75" customHeight="1" x14ac:dyDescent="0.25">
      <c r="A422" s="4">
        <v>125910</v>
      </c>
      <c r="B422" s="4" t="s">
        <v>12</v>
      </c>
      <c r="C422" s="5">
        <v>27665</v>
      </c>
      <c r="D422" s="4" t="s">
        <v>174</v>
      </c>
      <c r="E422" s="4" t="s">
        <v>35</v>
      </c>
      <c r="F422" s="4" t="s">
        <v>15</v>
      </c>
      <c r="G422" s="6">
        <v>115</v>
      </c>
      <c r="H422" s="7">
        <v>11542</v>
      </c>
      <c r="I422" s="145">
        <f t="shared" ca="1" si="24"/>
        <v>48</v>
      </c>
      <c r="J422" s="8" t="b">
        <f t="shared" ca="1" si="25"/>
        <v>0</v>
      </c>
      <c r="K422" s="8" t="b">
        <f t="shared" ca="1" si="26"/>
        <v>0</v>
      </c>
      <c r="L422" s="8">
        <f t="shared" ca="1" si="27"/>
        <v>0</v>
      </c>
    </row>
    <row r="423" spans="1:12" ht="15.75" customHeight="1" x14ac:dyDescent="0.25">
      <c r="A423" s="4">
        <v>117259</v>
      </c>
      <c r="B423" s="4" t="s">
        <v>12</v>
      </c>
      <c r="C423" s="5">
        <v>37701</v>
      </c>
      <c r="D423" s="4" t="s">
        <v>60</v>
      </c>
      <c r="E423" s="4" t="s">
        <v>20</v>
      </c>
      <c r="F423" s="4" t="s">
        <v>15</v>
      </c>
      <c r="G423" s="6">
        <v>115</v>
      </c>
      <c r="H423" s="7">
        <v>11450</v>
      </c>
      <c r="I423" s="145">
        <f t="shared" ca="1" si="24"/>
        <v>21</v>
      </c>
      <c r="J423" s="8" t="b">
        <f t="shared" ca="1" si="25"/>
        <v>1</v>
      </c>
      <c r="K423" s="8" t="b">
        <f t="shared" ca="1" si="26"/>
        <v>0</v>
      </c>
      <c r="L423" s="8">
        <f t="shared" ca="1" si="27"/>
        <v>0</v>
      </c>
    </row>
    <row r="424" spans="1:12" ht="15.75" customHeight="1" x14ac:dyDescent="0.25">
      <c r="A424" s="4">
        <v>23332</v>
      </c>
      <c r="B424" s="4" t="s">
        <v>12</v>
      </c>
      <c r="C424" s="5">
        <v>25211</v>
      </c>
      <c r="D424" s="4" t="s">
        <v>50</v>
      </c>
      <c r="E424" s="4" t="s">
        <v>20</v>
      </c>
      <c r="F424" s="4" t="s">
        <v>15</v>
      </c>
      <c r="G424" s="6">
        <v>113</v>
      </c>
      <c r="H424" s="7">
        <v>11343</v>
      </c>
      <c r="I424" s="145">
        <f t="shared" ca="1" si="24"/>
        <v>55</v>
      </c>
      <c r="J424" s="8" t="b">
        <f t="shared" ca="1" si="25"/>
        <v>0</v>
      </c>
      <c r="K424" s="8" t="b">
        <f t="shared" ca="1" si="26"/>
        <v>0</v>
      </c>
      <c r="L424" s="8">
        <f t="shared" ca="1" si="27"/>
        <v>0</v>
      </c>
    </row>
    <row r="425" spans="1:12" ht="15.75" customHeight="1" x14ac:dyDescent="0.25">
      <c r="A425" s="4">
        <v>121357</v>
      </c>
      <c r="B425" s="4" t="s">
        <v>12</v>
      </c>
      <c r="C425" s="5">
        <v>22638</v>
      </c>
      <c r="D425" s="4" t="s">
        <v>149</v>
      </c>
      <c r="E425" s="4" t="s">
        <v>150</v>
      </c>
      <c r="F425" s="4" t="s">
        <v>40</v>
      </c>
      <c r="G425" s="6">
        <v>111</v>
      </c>
      <c r="H425" s="7">
        <v>11144</v>
      </c>
      <c r="I425" s="145">
        <f t="shared" ca="1" si="24"/>
        <v>62</v>
      </c>
      <c r="J425" s="8" t="b">
        <f t="shared" ca="1" si="25"/>
        <v>0</v>
      </c>
      <c r="K425" s="8" t="b">
        <f t="shared" ca="1" si="26"/>
        <v>0</v>
      </c>
      <c r="L425" s="8">
        <f t="shared" ca="1" si="27"/>
        <v>0</v>
      </c>
    </row>
    <row r="426" spans="1:12" ht="15.75" customHeight="1" x14ac:dyDescent="0.25">
      <c r="A426" s="4">
        <v>134724</v>
      </c>
      <c r="B426" s="4" t="s">
        <v>24</v>
      </c>
      <c r="C426" s="5">
        <v>23687</v>
      </c>
      <c r="D426" s="4" t="s">
        <v>25</v>
      </c>
      <c r="E426" s="4" t="s">
        <v>26</v>
      </c>
      <c r="F426" s="4" t="s">
        <v>23</v>
      </c>
      <c r="G426" s="6">
        <v>110</v>
      </c>
      <c r="H426" s="7">
        <v>11000</v>
      </c>
      <c r="I426" s="145">
        <f t="shared" ca="1" si="24"/>
        <v>59</v>
      </c>
      <c r="J426" s="8" t="b">
        <f t="shared" ca="1" si="25"/>
        <v>0</v>
      </c>
      <c r="K426" s="8" t="b">
        <f t="shared" ca="1" si="26"/>
        <v>0</v>
      </c>
      <c r="L426" s="8">
        <f t="shared" ca="1" si="27"/>
        <v>10000</v>
      </c>
    </row>
    <row r="427" spans="1:12" ht="15.75" customHeight="1" x14ac:dyDescent="0.25">
      <c r="A427" s="4">
        <v>24986</v>
      </c>
      <c r="B427" s="4" t="s">
        <v>12</v>
      </c>
      <c r="C427" s="5">
        <v>28796</v>
      </c>
      <c r="D427" s="4" t="s">
        <v>109</v>
      </c>
      <c r="E427" s="4" t="s">
        <v>26</v>
      </c>
      <c r="F427" s="4" t="s">
        <v>23</v>
      </c>
      <c r="G427" s="6">
        <v>110</v>
      </c>
      <c r="H427" s="7">
        <v>10980</v>
      </c>
      <c r="I427" s="145">
        <f t="shared" ca="1" si="24"/>
        <v>45</v>
      </c>
      <c r="J427" s="8" t="b">
        <f t="shared" ca="1" si="25"/>
        <v>0</v>
      </c>
      <c r="K427" s="8" t="b">
        <f t="shared" ca="1" si="26"/>
        <v>0</v>
      </c>
      <c r="L427" s="8">
        <f t="shared" ca="1" si="27"/>
        <v>0</v>
      </c>
    </row>
    <row r="428" spans="1:12" ht="15.75" customHeight="1" x14ac:dyDescent="0.25">
      <c r="A428" s="4">
        <v>21134</v>
      </c>
      <c r="B428" s="4" t="s">
        <v>12</v>
      </c>
      <c r="C428" s="5">
        <v>25629</v>
      </c>
      <c r="D428" s="4" t="s">
        <v>66</v>
      </c>
      <c r="E428" s="4" t="s">
        <v>26</v>
      </c>
      <c r="F428" s="4" t="s">
        <v>23</v>
      </c>
      <c r="G428" s="6">
        <v>109</v>
      </c>
      <c r="H428" s="7">
        <v>10945</v>
      </c>
      <c r="I428" s="145">
        <f t="shared" ca="1" si="24"/>
        <v>54</v>
      </c>
      <c r="J428" s="8" t="b">
        <f t="shared" ca="1" si="25"/>
        <v>0</v>
      </c>
      <c r="K428" s="8" t="b">
        <f t="shared" ca="1" si="26"/>
        <v>0</v>
      </c>
      <c r="L428" s="8">
        <f t="shared" ca="1" si="27"/>
        <v>0</v>
      </c>
    </row>
    <row r="429" spans="1:12" ht="15.75" customHeight="1" x14ac:dyDescent="0.25">
      <c r="A429" s="4">
        <v>133911</v>
      </c>
      <c r="B429" s="4" t="s">
        <v>24</v>
      </c>
      <c r="C429" s="5">
        <v>23498</v>
      </c>
      <c r="D429" s="4" t="s">
        <v>175</v>
      </c>
      <c r="E429" s="4" t="s">
        <v>14</v>
      </c>
      <c r="F429" s="4" t="s">
        <v>15</v>
      </c>
      <c r="G429" s="6">
        <v>108</v>
      </c>
      <c r="H429" s="7">
        <v>10800</v>
      </c>
      <c r="I429" s="145">
        <f t="shared" ca="1" si="24"/>
        <v>60</v>
      </c>
      <c r="J429" s="8" t="b">
        <f t="shared" ca="1" si="25"/>
        <v>0</v>
      </c>
      <c r="K429" s="8" t="b">
        <f t="shared" ca="1" si="26"/>
        <v>0</v>
      </c>
      <c r="L429" s="8">
        <f t="shared" ca="1" si="27"/>
        <v>10000</v>
      </c>
    </row>
    <row r="430" spans="1:12" ht="15.75" customHeight="1" x14ac:dyDescent="0.25">
      <c r="A430" s="4">
        <v>122645</v>
      </c>
      <c r="B430" s="4" t="s">
        <v>12</v>
      </c>
      <c r="C430" s="5">
        <v>24278</v>
      </c>
      <c r="D430" s="4" t="s">
        <v>57</v>
      </c>
      <c r="E430" s="4" t="s">
        <v>35</v>
      </c>
      <c r="F430" s="4" t="s">
        <v>15</v>
      </c>
      <c r="G430" s="6">
        <v>108</v>
      </c>
      <c r="H430" s="7">
        <v>10800</v>
      </c>
      <c r="I430" s="145">
        <f t="shared" ca="1" si="24"/>
        <v>58</v>
      </c>
      <c r="J430" s="8" t="b">
        <f t="shared" ca="1" si="25"/>
        <v>0</v>
      </c>
      <c r="K430" s="8" t="b">
        <f t="shared" ca="1" si="26"/>
        <v>0</v>
      </c>
      <c r="L430" s="8">
        <f t="shared" ca="1" si="27"/>
        <v>0</v>
      </c>
    </row>
    <row r="431" spans="1:12" ht="15.75" customHeight="1" x14ac:dyDescent="0.25">
      <c r="A431" s="4">
        <v>126056</v>
      </c>
      <c r="B431" s="4" t="s">
        <v>12</v>
      </c>
      <c r="C431" s="5">
        <v>32943</v>
      </c>
      <c r="D431" s="4" t="s">
        <v>38</v>
      </c>
      <c r="E431" s="4" t="s">
        <v>39</v>
      </c>
      <c r="F431" s="4" t="s">
        <v>40</v>
      </c>
      <c r="G431" s="6">
        <v>108</v>
      </c>
      <c r="H431" s="7">
        <v>10800</v>
      </c>
      <c r="I431" s="145">
        <f t="shared" ca="1" si="24"/>
        <v>34</v>
      </c>
      <c r="J431" s="8" t="b">
        <f t="shared" ca="1" si="25"/>
        <v>1</v>
      </c>
      <c r="K431" s="8" t="b">
        <f t="shared" ca="1" si="26"/>
        <v>0</v>
      </c>
      <c r="L431" s="8">
        <f t="shared" ca="1" si="27"/>
        <v>0</v>
      </c>
    </row>
    <row r="432" spans="1:12" ht="15.75" customHeight="1" x14ac:dyDescent="0.25">
      <c r="A432" s="4">
        <v>22100</v>
      </c>
      <c r="B432" s="4" t="s">
        <v>12</v>
      </c>
      <c r="C432" s="5">
        <v>32054</v>
      </c>
      <c r="D432" s="4" t="s">
        <v>41</v>
      </c>
      <c r="E432" s="4" t="s">
        <v>20</v>
      </c>
      <c r="F432" s="4" t="s">
        <v>15</v>
      </c>
      <c r="G432" s="6">
        <v>108</v>
      </c>
      <c r="H432" s="7">
        <v>10790</v>
      </c>
      <c r="I432" s="145">
        <f t="shared" ca="1" si="24"/>
        <v>36</v>
      </c>
      <c r="J432" s="8" t="b">
        <f t="shared" ca="1" si="25"/>
        <v>1</v>
      </c>
      <c r="K432" s="8" t="b">
        <f t="shared" ca="1" si="26"/>
        <v>0</v>
      </c>
      <c r="L432" s="8">
        <f t="shared" ca="1" si="27"/>
        <v>0</v>
      </c>
    </row>
    <row r="433" spans="1:12" ht="15.75" customHeight="1" x14ac:dyDescent="0.25">
      <c r="A433" s="4">
        <v>121138</v>
      </c>
      <c r="B433" s="4" t="s">
        <v>12</v>
      </c>
      <c r="C433" s="5">
        <v>32878</v>
      </c>
      <c r="D433" s="4" t="s">
        <v>71</v>
      </c>
      <c r="E433" s="4" t="s">
        <v>72</v>
      </c>
      <c r="F433" s="4" t="s">
        <v>18</v>
      </c>
      <c r="G433" s="6">
        <v>107</v>
      </c>
      <c r="H433" s="7">
        <v>10746</v>
      </c>
      <c r="I433" s="145">
        <f t="shared" ca="1" si="24"/>
        <v>34</v>
      </c>
      <c r="J433" s="8" t="b">
        <f t="shared" ca="1" si="25"/>
        <v>1</v>
      </c>
      <c r="K433" s="8" t="b">
        <f t="shared" ca="1" si="26"/>
        <v>0</v>
      </c>
      <c r="L433" s="8">
        <f t="shared" ca="1" si="27"/>
        <v>0</v>
      </c>
    </row>
    <row r="434" spans="1:12" ht="15.75" customHeight="1" x14ac:dyDescent="0.25">
      <c r="A434" s="4">
        <v>121279</v>
      </c>
      <c r="B434" s="4" t="s">
        <v>12</v>
      </c>
      <c r="C434" s="5">
        <v>26686</v>
      </c>
      <c r="D434" s="4" t="s">
        <v>73</v>
      </c>
      <c r="E434" s="4" t="s">
        <v>74</v>
      </c>
      <c r="F434" s="4" t="s">
        <v>23</v>
      </c>
      <c r="G434" s="6">
        <v>107</v>
      </c>
      <c r="H434" s="7">
        <v>10710</v>
      </c>
      <c r="I434" s="145">
        <f t="shared" ca="1" si="24"/>
        <v>51</v>
      </c>
      <c r="J434" s="8" t="b">
        <f t="shared" ca="1" si="25"/>
        <v>0</v>
      </c>
      <c r="K434" s="8" t="b">
        <f t="shared" ca="1" si="26"/>
        <v>0</v>
      </c>
      <c r="L434" s="8">
        <f t="shared" ca="1" si="27"/>
        <v>0</v>
      </c>
    </row>
    <row r="435" spans="1:12" ht="15.75" customHeight="1" x14ac:dyDescent="0.25">
      <c r="A435" s="4">
        <v>24842</v>
      </c>
      <c r="B435" s="4" t="s">
        <v>24</v>
      </c>
      <c r="C435" s="5">
        <v>26719</v>
      </c>
      <c r="D435" s="4" t="s">
        <v>176</v>
      </c>
      <c r="E435" s="4" t="s">
        <v>35</v>
      </c>
      <c r="F435" s="4" t="s">
        <v>15</v>
      </c>
      <c r="G435" s="6">
        <v>106</v>
      </c>
      <c r="H435" s="7">
        <v>10608</v>
      </c>
      <c r="I435" s="145">
        <f t="shared" ca="1" si="24"/>
        <v>51</v>
      </c>
      <c r="J435" s="8" t="b">
        <f t="shared" ca="1" si="25"/>
        <v>0</v>
      </c>
      <c r="K435" s="8" t="b">
        <f t="shared" ca="1" si="26"/>
        <v>0</v>
      </c>
      <c r="L435" s="8">
        <f t="shared" ca="1" si="27"/>
        <v>10000</v>
      </c>
    </row>
    <row r="436" spans="1:12" ht="15.75" customHeight="1" x14ac:dyDescent="0.25">
      <c r="A436" s="4">
        <v>47221</v>
      </c>
      <c r="B436" s="4" t="s">
        <v>24</v>
      </c>
      <c r="C436" s="5">
        <v>29182</v>
      </c>
      <c r="D436" s="4" t="s">
        <v>92</v>
      </c>
      <c r="E436" s="4" t="s">
        <v>35</v>
      </c>
      <c r="F436" s="4" t="s">
        <v>15</v>
      </c>
      <c r="G436" s="6">
        <v>104</v>
      </c>
      <c r="H436" s="7">
        <v>10400</v>
      </c>
      <c r="I436" s="145">
        <f t="shared" ca="1" si="24"/>
        <v>44</v>
      </c>
      <c r="J436" s="8" t="b">
        <f t="shared" ca="1" si="25"/>
        <v>0</v>
      </c>
      <c r="K436" s="8" t="b">
        <f t="shared" ca="1" si="26"/>
        <v>1</v>
      </c>
      <c r="L436" s="8">
        <f t="shared" ca="1" si="27"/>
        <v>0</v>
      </c>
    </row>
    <row r="437" spans="1:12" ht="15.75" customHeight="1" x14ac:dyDescent="0.25">
      <c r="A437" s="4">
        <v>131473</v>
      </c>
      <c r="B437" s="4" t="s">
        <v>24</v>
      </c>
      <c r="C437" s="5">
        <v>28030</v>
      </c>
      <c r="D437" s="4" t="s">
        <v>31</v>
      </c>
      <c r="E437" s="4" t="s">
        <v>20</v>
      </c>
      <c r="F437" s="4" t="s">
        <v>15</v>
      </c>
      <c r="G437" s="6">
        <v>104</v>
      </c>
      <c r="H437" s="7">
        <v>10400</v>
      </c>
      <c r="I437" s="145">
        <f t="shared" ca="1" si="24"/>
        <v>47</v>
      </c>
      <c r="J437" s="8" t="b">
        <f t="shared" ca="1" si="25"/>
        <v>0</v>
      </c>
      <c r="K437" s="8" t="b">
        <f t="shared" ca="1" si="26"/>
        <v>1</v>
      </c>
      <c r="L437" s="8">
        <f t="shared" ca="1" si="27"/>
        <v>0</v>
      </c>
    </row>
    <row r="438" spans="1:12" ht="15.75" customHeight="1" x14ac:dyDescent="0.25">
      <c r="A438" s="4">
        <v>26897</v>
      </c>
      <c r="B438" s="4" t="s">
        <v>12</v>
      </c>
      <c r="C438" s="5">
        <v>24883</v>
      </c>
      <c r="D438" s="4" t="s">
        <v>81</v>
      </c>
      <c r="E438" s="4" t="s">
        <v>39</v>
      </c>
      <c r="F438" s="4" t="s">
        <v>40</v>
      </c>
      <c r="G438" s="6">
        <v>102</v>
      </c>
      <c r="H438" s="7">
        <v>10200</v>
      </c>
      <c r="I438" s="145">
        <f t="shared" ca="1" si="24"/>
        <v>56</v>
      </c>
      <c r="J438" s="8" t="b">
        <f t="shared" ca="1" si="25"/>
        <v>0</v>
      </c>
      <c r="K438" s="8" t="b">
        <f t="shared" ca="1" si="26"/>
        <v>0</v>
      </c>
      <c r="L438" s="8">
        <f t="shared" ca="1" si="27"/>
        <v>0</v>
      </c>
    </row>
    <row r="439" spans="1:12" ht="15.75" customHeight="1" x14ac:dyDescent="0.25">
      <c r="A439" s="4">
        <v>137627</v>
      </c>
      <c r="B439" s="4" t="s">
        <v>12</v>
      </c>
      <c r="C439" s="5">
        <v>22916</v>
      </c>
      <c r="D439" s="4" t="s">
        <v>50</v>
      </c>
      <c r="E439" s="4" t="s">
        <v>20</v>
      </c>
      <c r="F439" s="4" t="s">
        <v>15</v>
      </c>
      <c r="G439" s="6">
        <v>101</v>
      </c>
      <c r="H439" s="7">
        <v>10149</v>
      </c>
      <c r="I439" s="145">
        <f t="shared" ca="1" si="24"/>
        <v>61</v>
      </c>
      <c r="J439" s="8" t="b">
        <f t="shared" ca="1" si="25"/>
        <v>0</v>
      </c>
      <c r="K439" s="8" t="b">
        <f t="shared" ca="1" si="26"/>
        <v>0</v>
      </c>
      <c r="L439" s="8">
        <f t="shared" ca="1" si="27"/>
        <v>0</v>
      </c>
    </row>
    <row r="440" spans="1:12" ht="15.75" customHeight="1" x14ac:dyDescent="0.25">
      <c r="A440" s="4">
        <v>130871</v>
      </c>
      <c r="B440" s="4" t="s">
        <v>12</v>
      </c>
      <c r="C440" s="5">
        <v>28933</v>
      </c>
      <c r="D440" s="4" t="s">
        <v>48</v>
      </c>
      <c r="E440" s="4" t="s">
        <v>20</v>
      </c>
      <c r="F440" s="4" t="s">
        <v>15</v>
      </c>
      <c r="G440" s="6">
        <v>101</v>
      </c>
      <c r="H440" s="7">
        <v>10149</v>
      </c>
      <c r="I440" s="145">
        <f t="shared" ca="1" si="24"/>
        <v>45</v>
      </c>
      <c r="J440" s="8" t="b">
        <f t="shared" ca="1" si="25"/>
        <v>0</v>
      </c>
      <c r="K440" s="8" t="b">
        <f t="shared" ca="1" si="26"/>
        <v>0</v>
      </c>
      <c r="L440" s="8">
        <f t="shared" ca="1" si="27"/>
        <v>0</v>
      </c>
    </row>
    <row r="441" spans="1:12" ht="15.75" customHeight="1" x14ac:dyDescent="0.25">
      <c r="A441" s="4">
        <v>20789</v>
      </c>
      <c r="B441" s="4" t="s">
        <v>12</v>
      </c>
      <c r="C441" s="5">
        <v>28374</v>
      </c>
      <c r="D441" s="4" t="s">
        <v>162</v>
      </c>
      <c r="E441" s="4" t="s">
        <v>17</v>
      </c>
      <c r="F441" s="4" t="s">
        <v>18</v>
      </c>
      <c r="G441" s="6">
        <v>100</v>
      </c>
      <c r="H441" s="7">
        <v>9983</v>
      </c>
      <c r="I441" s="145">
        <f t="shared" ca="1" si="24"/>
        <v>46</v>
      </c>
      <c r="J441" s="8" t="b">
        <f t="shared" ca="1" si="25"/>
        <v>0</v>
      </c>
      <c r="K441" s="8" t="b">
        <f t="shared" ca="1" si="26"/>
        <v>0</v>
      </c>
      <c r="L441" s="8">
        <f t="shared" ca="1" si="27"/>
        <v>0</v>
      </c>
    </row>
    <row r="442" spans="1:12" ht="15.75" customHeight="1" x14ac:dyDescent="0.25">
      <c r="A442" s="4">
        <v>131558</v>
      </c>
      <c r="B442" s="4" t="s">
        <v>12</v>
      </c>
      <c r="C442" s="5">
        <v>30974</v>
      </c>
      <c r="D442" s="4" t="s">
        <v>76</v>
      </c>
      <c r="E442" s="4" t="s">
        <v>55</v>
      </c>
      <c r="F442" s="4" t="s">
        <v>18</v>
      </c>
      <c r="G442" s="6">
        <v>100</v>
      </c>
      <c r="H442" s="7">
        <v>9960</v>
      </c>
      <c r="I442" s="145">
        <f t="shared" ca="1" si="24"/>
        <v>39</v>
      </c>
      <c r="J442" s="8" t="b">
        <f t="shared" ca="1" si="25"/>
        <v>1</v>
      </c>
      <c r="K442" s="8" t="b">
        <f t="shared" ca="1" si="26"/>
        <v>0</v>
      </c>
      <c r="L442" s="8">
        <f t="shared" ca="1" si="27"/>
        <v>0</v>
      </c>
    </row>
    <row r="443" spans="1:12" ht="15.75" customHeight="1" x14ac:dyDescent="0.25">
      <c r="A443" s="4">
        <v>94307</v>
      </c>
      <c r="B443" s="4" t="s">
        <v>12</v>
      </c>
      <c r="C443" s="5">
        <v>25171</v>
      </c>
      <c r="D443" s="4" t="s">
        <v>177</v>
      </c>
      <c r="E443" s="4" t="s">
        <v>74</v>
      </c>
      <c r="F443" s="4" t="s">
        <v>79</v>
      </c>
      <c r="G443" s="6">
        <v>99</v>
      </c>
      <c r="H443" s="7">
        <v>9900</v>
      </c>
      <c r="I443" s="145">
        <f t="shared" ca="1" si="24"/>
        <v>55</v>
      </c>
      <c r="J443" s="8" t="b">
        <f t="shared" ca="1" si="25"/>
        <v>0</v>
      </c>
      <c r="K443" s="8" t="b">
        <f t="shared" ca="1" si="26"/>
        <v>0</v>
      </c>
      <c r="L443" s="8">
        <f t="shared" ca="1" si="27"/>
        <v>0</v>
      </c>
    </row>
    <row r="444" spans="1:12" ht="15.75" customHeight="1" x14ac:dyDescent="0.25">
      <c r="A444" s="4">
        <v>140709</v>
      </c>
      <c r="B444" s="4" t="s">
        <v>12</v>
      </c>
      <c r="C444" s="5">
        <v>25654</v>
      </c>
      <c r="D444" s="4" t="s">
        <v>178</v>
      </c>
      <c r="E444" s="4" t="s">
        <v>26</v>
      </c>
      <c r="F444" s="4" t="s">
        <v>23</v>
      </c>
      <c r="G444" s="6">
        <v>98</v>
      </c>
      <c r="H444" s="7">
        <v>9834</v>
      </c>
      <c r="I444" s="145">
        <f t="shared" ca="1" si="24"/>
        <v>54</v>
      </c>
      <c r="J444" s="8" t="b">
        <f t="shared" ca="1" si="25"/>
        <v>0</v>
      </c>
      <c r="K444" s="8" t="b">
        <f t="shared" ca="1" si="26"/>
        <v>0</v>
      </c>
      <c r="L444" s="8">
        <f t="shared" ca="1" si="27"/>
        <v>0</v>
      </c>
    </row>
    <row r="445" spans="1:12" ht="15.75" customHeight="1" x14ac:dyDescent="0.25">
      <c r="A445" s="4">
        <v>123122</v>
      </c>
      <c r="B445" s="4" t="s">
        <v>12</v>
      </c>
      <c r="C445" s="5">
        <v>27677</v>
      </c>
      <c r="D445" s="4" t="s">
        <v>48</v>
      </c>
      <c r="E445" s="4" t="s">
        <v>20</v>
      </c>
      <c r="F445" s="4" t="s">
        <v>15</v>
      </c>
      <c r="G445" s="6">
        <v>98</v>
      </c>
      <c r="H445" s="7">
        <v>9805</v>
      </c>
      <c r="I445" s="145">
        <f t="shared" ca="1" si="24"/>
        <v>48</v>
      </c>
      <c r="J445" s="8" t="b">
        <f t="shared" ca="1" si="25"/>
        <v>0</v>
      </c>
      <c r="K445" s="8" t="b">
        <f t="shared" ca="1" si="26"/>
        <v>0</v>
      </c>
      <c r="L445" s="8">
        <f t="shared" ca="1" si="27"/>
        <v>0</v>
      </c>
    </row>
    <row r="446" spans="1:12" ht="15.75" customHeight="1" x14ac:dyDescent="0.25">
      <c r="A446" s="4">
        <v>22458</v>
      </c>
      <c r="B446" s="4" t="s">
        <v>12</v>
      </c>
      <c r="C446" s="5">
        <v>29696</v>
      </c>
      <c r="D446" s="4" t="s">
        <v>179</v>
      </c>
      <c r="E446" s="4" t="s">
        <v>20</v>
      </c>
      <c r="F446" s="4" t="s">
        <v>15</v>
      </c>
      <c r="G446" s="6">
        <v>98</v>
      </c>
      <c r="H446" s="7">
        <v>9750</v>
      </c>
      <c r="I446" s="145">
        <f t="shared" ca="1" si="24"/>
        <v>43</v>
      </c>
      <c r="J446" s="8" t="b">
        <f t="shared" ca="1" si="25"/>
        <v>0</v>
      </c>
      <c r="K446" s="8" t="b">
        <f t="shared" ca="1" si="26"/>
        <v>0</v>
      </c>
      <c r="L446" s="8">
        <f t="shared" ca="1" si="27"/>
        <v>0</v>
      </c>
    </row>
    <row r="447" spans="1:12" ht="15.75" customHeight="1" x14ac:dyDescent="0.25">
      <c r="A447" s="4">
        <v>93908</v>
      </c>
      <c r="B447" s="4" t="s">
        <v>12</v>
      </c>
      <c r="C447" s="5">
        <v>27140</v>
      </c>
      <c r="D447" s="4" t="s">
        <v>41</v>
      </c>
      <c r="E447" s="4" t="s">
        <v>20</v>
      </c>
      <c r="F447" s="4" t="s">
        <v>15</v>
      </c>
      <c r="G447" s="6">
        <v>95</v>
      </c>
      <c r="H447" s="7">
        <v>9536</v>
      </c>
      <c r="I447" s="145">
        <f t="shared" ca="1" si="24"/>
        <v>50</v>
      </c>
      <c r="J447" s="8" t="b">
        <f t="shared" ca="1" si="25"/>
        <v>0</v>
      </c>
      <c r="K447" s="8" t="b">
        <f t="shared" ca="1" si="26"/>
        <v>0</v>
      </c>
      <c r="L447" s="8">
        <f t="shared" ca="1" si="27"/>
        <v>0</v>
      </c>
    </row>
    <row r="448" spans="1:12" ht="15.75" customHeight="1" x14ac:dyDescent="0.25">
      <c r="A448" s="4">
        <v>125323</v>
      </c>
      <c r="B448" s="4" t="s">
        <v>12</v>
      </c>
      <c r="C448" s="5">
        <v>35803</v>
      </c>
      <c r="D448" s="4" t="s">
        <v>75</v>
      </c>
      <c r="E448" s="4" t="s">
        <v>20</v>
      </c>
      <c r="F448" s="4" t="s">
        <v>15</v>
      </c>
      <c r="G448" s="6">
        <v>93</v>
      </c>
      <c r="H448" s="7">
        <v>9300</v>
      </c>
      <c r="I448" s="145">
        <f t="shared" ca="1" si="24"/>
        <v>26</v>
      </c>
      <c r="J448" s="8" t="b">
        <f t="shared" ca="1" si="25"/>
        <v>1</v>
      </c>
      <c r="K448" s="8" t="b">
        <f t="shared" ca="1" si="26"/>
        <v>0</v>
      </c>
      <c r="L448" s="8">
        <f t="shared" ca="1" si="27"/>
        <v>0</v>
      </c>
    </row>
    <row r="449" spans="1:12" ht="15.75" customHeight="1" x14ac:dyDescent="0.25">
      <c r="A449" s="4">
        <v>136688</v>
      </c>
      <c r="B449" s="4" t="s">
        <v>24</v>
      </c>
      <c r="C449" s="5">
        <v>31116</v>
      </c>
      <c r="D449" s="4" t="s">
        <v>48</v>
      </c>
      <c r="E449" s="4" t="s">
        <v>20</v>
      </c>
      <c r="F449" s="4" t="s">
        <v>15</v>
      </c>
      <c r="G449" s="6">
        <v>91</v>
      </c>
      <c r="H449" s="7">
        <v>9108</v>
      </c>
      <c r="I449" s="145">
        <f t="shared" ca="1" si="24"/>
        <v>39</v>
      </c>
      <c r="J449" s="8" t="b">
        <f t="shared" ca="1" si="25"/>
        <v>0</v>
      </c>
      <c r="K449" s="8" t="b">
        <f t="shared" ca="1" si="26"/>
        <v>1</v>
      </c>
      <c r="L449" s="8">
        <f t="shared" ca="1" si="27"/>
        <v>0</v>
      </c>
    </row>
    <row r="450" spans="1:12" ht="15.75" customHeight="1" x14ac:dyDescent="0.25">
      <c r="A450" s="4">
        <v>128961</v>
      </c>
      <c r="B450" s="4" t="s">
        <v>24</v>
      </c>
      <c r="C450" s="5">
        <v>19350</v>
      </c>
      <c r="D450" s="4" t="s">
        <v>145</v>
      </c>
      <c r="E450" s="4" t="s">
        <v>39</v>
      </c>
      <c r="F450" s="4" t="s">
        <v>40</v>
      </c>
      <c r="G450" s="6">
        <v>91</v>
      </c>
      <c r="H450" s="7">
        <v>9100</v>
      </c>
      <c r="I450" s="145">
        <f t="shared" ca="1" si="24"/>
        <v>71</v>
      </c>
      <c r="J450" s="8" t="b">
        <f t="shared" ca="1" si="25"/>
        <v>0</v>
      </c>
      <c r="K450" s="8" t="b">
        <f t="shared" ca="1" si="26"/>
        <v>0</v>
      </c>
      <c r="L450" s="8">
        <f t="shared" ca="1" si="27"/>
        <v>10000</v>
      </c>
    </row>
    <row r="451" spans="1:12" ht="15.75" customHeight="1" x14ac:dyDescent="0.25">
      <c r="A451" s="4">
        <v>20646</v>
      </c>
      <c r="B451" s="4" t="s">
        <v>12</v>
      </c>
      <c r="C451" s="5">
        <v>25124</v>
      </c>
      <c r="D451" s="4" t="s">
        <v>38</v>
      </c>
      <c r="E451" s="4" t="s">
        <v>39</v>
      </c>
      <c r="F451" s="4" t="s">
        <v>40</v>
      </c>
      <c r="G451" s="6">
        <v>90</v>
      </c>
      <c r="H451" s="7">
        <v>8967</v>
      </c>
      <c r="I451" s="145">
        <f t="shared" ref="I451:I501" ca="1" si="28">DATEDIF(C451,TODAY(),"y")</f>
        <v>55</v>
      </c>
      <c r="J451" s="8" t="b">
        <f t="shared" ref="J451:J501" ca="1" si="29">AND(B451="Male",I451&lt;40)</f>
        <v>0</v>
      </c>
      <c r="K451" s="8" t="b">
        <f t="shared" ref="K451:K499" ca="1" si="30">AND(B451="Female",I451&lt;50)</f>
        <v>0</v>
      </c>
      <c r="L451" s="8">
        <f t="shared" ref="L451:L501" ca="1" si="31">IF(AND(B451="Female",OR(I451&lt;25,I451&gt;50)),10000,0)</f>
        <v>0</v>
      </c>
    </row>
    <row r="452" spans="1:12" ht="15.75" customHeight="1" x14ac:dyDescent="0.25">
      <c r="A452" s="4">
        <v>42271</v>
      </c>
      <c r="B452" s="4" t="s">
        <v>12</v>
      </c>
      <c r="C452" s="5">
        <v>33901</v>
      </c>
      <c r="D452" s="4" t="s">
        <v>76</v>
      </c>
      <c r="E452" s="4" t="s">
        <v>55</v>
      </c>
      <c r="F452" s="4" t="s">
        <v>18</v>
      </c>
      <c r="G452" s="6">
        <v>86</v>
      </c>
      <c r="H452" s="7">
        <v>8642</v>
      </c>
      <c r="I452" s="145">
        <f t="shared" ca="1" si="28"/>
        <v>31</v>
      </c>
      <c r="J452" s="8" t="b">
        <f t="shared" ca="1" si="29"/>
        <v>1</v>
      </c>
      <c r="K452" s="8" t="b">
        <f t="shared" ca="1" si="30"/>
        <v>0</v>
      </c>
      <c r="L452" s="8">
        <f t="shared" ca="1" si="31"/>
        <v>0</v>
      </c>
    </row>
    <row r="453" spans="1:12" ht="15.75" customHeight="1" x14ac:dyDescent="0.25">
      <c r="A453" s="4">
        <v>22053</v>
      </c>
      <c r="B453" s="4" t="s">
        <v>12</v>
      </c>
      <c r="C453" s="5">
        <v>20782</v>
      </c>
      <c r="D453" s="4" t="s">
        <v>107</v>
      </c>
      <c r="E453" s="4" t="s">
        <v>55</v>
      </c>
      <c r="F453" s="4" t="s">
        <v>18</v>
      </c>
      <c r="G453" s="6">
        <v>85</v>
      </c>
      <c r="H453" s="7">
        <v>8493</v>
      </c>
      <c r="I453" s="145">
        <f t="shared" ca="1" si="28"/>
        <v>67</v>
      </c>
      <c r="J453" s="8" t="b">
        <f t="shared" ca="1" si="29"/>
        <v>0</v>
      </c>
      <c r="K453" s="8" t="b">
        <f t="shared" ca="1" si="30"/>
        <v>0</v>
      </c>
      <c r="L453" s="8">
        <f t="shared" ca="1" si="31"/>
        <v>0</v>
      </c>
    </row>
    <row r="454" spans="1:12" ht="15.75" customHeight="1" x14ac:dyDescent="0.25">
      <c r="A454" s="4">
        <v>26352</v>
      </c>
      <c r="B454" s="4" t="s">
        <v>12</v>
      </c>
      <c r="C454" s="5">
        <v>32907</v>
      </c>
      <c r="D454" s="4" t="s">
        <v>97</v>
      </c>
      <c r="E454" s="4" t="s">
        <v>26</v>
      </c>
      <c r="F454" s="4" t="s">
        <v>23</v>
      </c>
      <c r="G454" s="6">
        <v>84</v>
      </c>
      <c r="H454" s="7">
        <v>8400</v>
      </c>
      <c r="I454" s="145">
        <f t="shared" ca="1" si="28"/>
        <v>34</v>
      </c>
      <c r="J454" s="8" t="b">
        <f t="shared" ca="1" si="29"/>
        <v>1</v>
      </c>
      <c r="K454" s="8" t="b">
        <f t="shared" ca="1" si="30"/>
        <v>0</v>
      </c>
      <c r="L454" s="8">
        <f t="shared" ca="1" si="31"/>
        <v>0</v>
      </c>
    </row>
    <row r="455" spans="1:12" ht="15.75" customHeight="1" x14ac:dyDescent="0.25">
      <c r="A455" s="4">
        <v>27003</v>
      </c>
      <c r="B455" s="4" t="s">
        <v>12</v>
      </c>
      <c r="C455" s="5">
        <v>32520</v>
      </c>
      <c r="D455" s="4" t="s">
        <v>180</v>
      </c>
      <c r="E455" s="4" t="s">
        <v>39</v>
      </c>
      <c r="F455" s="4" t="s">
        <v>40</v>
      </c>
      <c r="G455" s="6">
        <v>84</v>
      </c>
      <c r="H455" s="7">
        <v>8385</v>
      </c>
      <c r="I455" s="145">
        <f t="shared" ca="1" si="28"/>
        <v>35</v>
      </c>
      <c r="J455" s="8" t="b">
        <f t="shared" ca="1" si="29"/>
        <v>1</v>
      </c>
      <c r="K455" s="8" t="b">
        <f t="shared" ca="1" si="30"/>
        <v>0</v>
      </c>
      <c r="L455" s="8">
        <f t="shared" ca="1" si="31"/>
        <v>0</v>
      </c>
    </row>
    <row r="456" spans="1:12" ht="15.75" customHeight="1" x14ac:dyDescent="0.25">
      <c r="A456" s="4">
        <v>129265</v>
      </c>
      <c r="B456" s="4" t="s">
        <v>12</v>
      </c>
      <c r="C456" s="5">
        <v>32477</v>
      </c>
      <c r="D456" s="4" t="s">
        <v>165</v>
      </c>
      <c r="E456" s="4" t="s">
        <v>26</v>
      </c>
      <c r="F456" s="4" t="s">
        <v>23</v>
      </c>
      <c r="G456" s="6">
        <v>83</v>
      </c>
      <c r="H456" s="7">
        <v>8344</v>
      </c>
      <c r="I456" s="145">
        <f t="shared" ca="1" si="28"/>
        <v>35</v>
      </c>
      <c r="J456" s="8" t="b">
        <f t="shared" ca="1" si="29"/>
        <v>1</v>
      </c>
      <c r="K456" s="8" t="b">
        <f t="shared" ca="1" si="30"/>
        <v>0</v>
      </c>
      <c r="L456" s="8">
        <f t="shared" ca="1" si="31"/>
        <v>0</v>
      </c>
    </row>
    <row r="457" spans="1:12" ht="15.75" customHeight="1" x14ac:dyDescent="0.25">
      <c r="A457" s="4">
        <v>22636</v>
      </c>
      <c r="B457" s="4" t="s">
        <v>12</v>
      </c>
      <c r="C457" s="5">
        <v>27430</v>
      </c>
      <c r="D457" s="4" t="s">
        <v>164</v>
      </c>
      <c r="E457" s="4" t="s">
        <v>52</v>
      </c>
      <c r="F457" s="4" t="s">
        <v>15</v>
      </c>
      <c r="G457" s="6">
        <v>80</v>
      </c>
      <c r="H457" s="7">
        <v>7950</v>
      </c>
      <c r="I457" s="145">
        <f t="shared" ca="1" si="28"/>
        <v>49</v>
      </c>
      <c r="J457" s="8" t="b">
        <f t="shared" ca="1" si="29"/>
        <v>0</v>
      </c>
      <c r="K457" s="8" t="b">
        <f t="shared" ca="1" si="30"/>
        <v>0</v>
      </c>
      <c r="L457" s="8">
        <f t="shared" ca="1" si="31"/>
        <v>0</v>
      </c>
    </row>
    <row r="458" spans="1:12" ht="15.75" customHeight="1" x14ac:dyDescent="0.25">
      <c r="A458" s="4">
        <v>20894</v>
      </c>
      <c r="B458" s="4" t="s">
        <v>12</v>
      </c>
      <c r="C458" s="5">
        <v>33763</v>
      </c>
      <c r="D458" s="4" t="s">
        <v>50</v>
      </c>
      <c r="E458" s="4" t="s">
        <v>20</v>
      </c>
      <c r="F458" s="4" t="s">
        <v>15</v>
      </c>
      <c r="G458" s="6">
        <v>76</v>
      </c>
      <c r="H458" s="7">
        <v>7564</v>
      </c>
      <c r="I458" s="145">
        <f t="shared" ca="1" si="28"/>
        <v>32</v>
      </c>
      <c r="J458" s="8" t="b">
        <f t="shared" ca="1" si="29"/>
        <v>1</v>
      </c>
      <c r="K458" s="8" t="b">
        <f t="shared" ca="1" si="30"/>
        <v>0</v>
      </c>
      <c r="L458" s="8">
        <f t="shared" ca="1" si="31"/>
        <v>0</v>
      </c>
    </row>
    <row r="459" spans="1:12" ht="15.75" customHeight="1" x14ac:dyDescent="0.25">
      <c r="A459" s="4">
        <v>20571</v>
      </c>
      <c r="B459" s="4" t="s">
        <v>12</v>
      </c>
      <c r="C459" s="5">
        <v>31479</v>
      </c>
      <c r="D459" s="4" t="s">
        <v>48</v>
      </c>
      <c r="E459" s="4" t="s">
        <v>20</v>
      </c>
      <c r="F459" s="4" t="s">
        <v>15</v>
      </c>
      <c r="G459" s="6">
        <v>75</v>
      </c>
      <c r="H459" s="7">
        <v>7500</v>
      </c>
      <c r="I459" s="145">
        <f t="shared" ca="1" si="28"/>
        <v>38</v>
      </c>
      <c r="J459" s="8" t="b">
        <f t="shared" ca="1" si="29"/>
        <v>1</v>
      </c>
      <c r="K459" s="8" t="b">
        <f t="shared" ca="1" si="30"/>
        <v>0</v>
      </c>
      <c r="L459" s="8">
        <f t="shared" ca="1" si="31"/>
        <v>0</v>
      </c>
    </row>
    <row r="460" spans="1:12" ht="15.75" customHeight="1" x14ac:dyDescent="0.25">
      <c r="A460" s="4">
        <v>33416</v>
      </c>
      <c r="B460" s="4" t="s">
        <v>12</v>
      </c>
      <c r="C460" s="5">
        <v>28589</v>
      </c>
      <c r="D460" s="4" t="s">
        <v>181</v>
      </c>
      <c r="E460" s="4" t="s">
        <v>182</v>
      </c>
      <c r="F460" s="4" t="s">
        <v>18</v>
      </c>
      <c r="G460" s="6">
        <v>75</v>
      </c>
      <c r="H460" s="7">
        <v>7450</v>
      </c>
      <c r="I460" s="145">
        <f t="shared" ca="1" si="28"/>
        <v>46</v>
      </c>
      <c r="J460" s="8" t="b">
        <f t="shared" ca="1" si="29"/>
        <v>0</v>
      </c>
      <c r="K460" s="8" t="b">
        <f t="shared" ca="1" si="30"/>
        <v>0</v>
      </c>
      <c r="L460" s="8">
        <f t="shared" ca="1" si="31"/>
        <v>0</v>
      </c>
    </row>
    <row r="461" spans="1:12" ht="15.75" customHeight="1" x14ac:dyDescent="0.25">
      <c r="A461" s="4">
        <v>23633</v>
      </c>
      <c r="B461" s="4" t="s">
        <v>12</v>
      </c>
      <c r="C461" s="5">
        <v>31956</v>
      </c>
      <c r="D461" s="4" t="s">
        <v>127</v>
      </c>
      <c r="E461" s="4" t="s">
        <v>37</v>
      </c>
      <c r="F461" s="4" t="s">
        <v>18</v>
      </c>
      <c r="G461" s="6">
        <v>72</v>
      </c>
      <c r="H461" s="7">
        <v>7224</v>
      </c>
      <c r="I461" s="145">
        <f t="shared" ca="1" si="28"/>
        <v>37</v>
      </c>
      <c r="J461" s="8" t="b">
        <f t="shared" ca="1" si="29"/>
        <v>1</v>
      </c>
      <c r="K461" s="8" t="b">
        <f t="shared" ca="1" si="30"/>
        <v>0</v>
      </c>
      <c r="L461" s="8">
        <f t="shared" ca="1" si="31"/>
        <v>0</v>
      </c>
    </row>
    <row r="462" spans="1:12" ht="15.75" customHeight="1" x14ac:dyDescent="0.25">
      <c r="A462" s="4">
        <v>129777</v>
      </c>
      <c r="B462" s="4" t="s">
        <v>24</v>
      </c>
      <c r="C462" s="5">
        <v>31050</v>
      </c>
      <c r="D462" s="4" t="s">
        <v>32</v>
      </c>
      <c r="E462" s="4" t="s">
        <v>20</v>
      </c>
      <c r="F462" s="4" t="s">
        <v>15</v>
      </c>
      <c r="G462" s="6">
        <v>69</v>
      </c>
      <c r="H462" s="7">
        <v>6930</v>
      </c>
      <c r="I462" s="145">
        <f t="shared" ca="1" si="28"/>
        <v>39</v>
      </c>
      <c r="J462" s="8" t="b">
        <f t="shared" ca="1" si="29"/>
        <v>0</v>
      </c>
      <c r="K462" s="8" t="b">
        <f t="shared" ca="1" si="30"/>
        <v>1</v>
      </c>
      <c r="L462" s="8">
        <f t="shared" ca="1" si="31"/>
        <v>0</v>
      </c>
    </row>
    <row r="463" spans="1:12" ht="15.75" customHeight="1" x14ac:dyDescent="0.25">
      <c r="A463" s="4">
        <v>141694</v>
      </c>
      <c r="B463" s="4" t="s">
        <v>12</v>
      </c>
      <c r="C463" s="5">
        <v>28166</v>
      </c>
      <c r="D463" s="4" t="s">
        <v>81</v>
      </c>
      <c r="E463" s="4" t="s">
        <v>39</v>
      </c>
      <c r="F463" s="4" t="s">
        <v>40</v>
      </c>
      <c r="G463" s="6">
        <v>69</v>
      </c>
      <c r="H463" s="7">
        <v>6882</v>
      </c>
      <c r="I463" s="145">
        <f t="shared" ca="1" si="28"/>
        <v>47</v>
      </c>
      <c r="J463" s="8" t="b">
        <f t="shared" ca="1" si="29"/>
        <v>0</v>
      </c>
      <c r="K463" s="8" t="b">
        <f t="shared" ca="1" si="30"/>
        <v>0</v>
      </c>
      <c r="L463" s="8">
        <f t="shared" ca="1" si="31"/>
        <v>0</v>
      </c>
    </row>
    <row r="464" spans="1:12" ht="15.75" customHeight="1" x14ac:dyDescent="0.25">
      <c r="A464" s="4">
        <v>121398</v>
      </c>
      <c r="B464" s="4" t="s">
        <v>12</v>
      </c>
      <c r="C464" s="5">
        <v>33650</v>
      </c>
      <c r="D464" s="4" t="s">
        <v>32</v>
      </c>
      <c r="E464" s="4" t="s">
        <v>20</v>
      </c>
      <c r="F464" s="4" t="s">
        <v>15</v>
      </c>
      <c r="G464" s="6">
        <v>68</v>
      </c>
      <c r="H464" s="7">
        <v>6840</v>
      </c>
      <c r="I464" s="145">
        <f t="shared" ca="1" si="28"/>
        <v>32</v>
      </c>
      <c r="J464" s="8" t="b">
        <f t="shared" ca="1" si="29"/>
        <v>1</v>
      </c>
      <c r="K464" s="8" t="b">
        <f t="shared" ca="1" si="30"/>
        <v>0</v>
      </c>
      <c r="L464" s="8">
        <f t="shared" ca="1" si="31"/>
        <v>0</v>
      </c>
    </row>
    <row r="465" spans="1:12" ht="15.75" customHeight="1" x14ac:dyDescent="0.25">
      <c r="A465" s="4">
        <v>120444</v>
      </c>
      <c r="B465" s="4" t="s">
        <v>12</v>
      </c>
      <c r="C465" s="5">
        <v>33947</v>
      </c>
      <c r="D465" s="4" t="s">
        <v>60</v>
      </c>
      <c r="E465" s="4" t="s">
        <v>20</v>
      </c>
      <c r="F465" s="4" t="s">
        <v>15</v>
      </c>
      <c r="G465" s="6">
        <v>67</v>
      </c>
      <c r="H465" s="7">
        <v>6708</v>
      </c>
      <c r="I465" s="145">
        <f t="shared" ca="1" si="28"/>
        <v>31</v>
      </c>
      <c r="J465" s="8" t="b">
        <f t="shared" ca="1" si="29"/>
        <v>1</v>
      </c>
      <c r="K465" s="8" t="b">
        <f t="shared" ca="1" si="30"/>
        <v>0</v>
      </c>
      <c r="L465" s="8">
        <f t="shared" ca="1" si="31"/>
        <v>0</v>
      </c>
    </row>
    <row r="466" spans="1:12" ht="15.75" customHeight="1" x14ac:dyDescent="0.25">
      <c r="A466" s="4">
        <v>37310</v>
      </c>
      <c r="B466" s="4" t="s">
        <v>12</v>
      </c>
      <c r="C466" s="5">
        <v>31067</v>
      </c>
      <c r="D466" s="4" t="s">
        <v>109</v>
      </c>
      <c r="E466" s="4" t="s">
        <v>26</v>
      </c>
      <c r="F466" s="4" t="s">
        <v>23</v>
      </c>
      <c r="G466" s="6">
        <v>67</v>
      </c>
      <c r="H466" s="7">
        <v>6700</v>
      </c>
      <c r="I466" s="145">
        <f t="shared" ca="1" si="28"/>
        <v>39</v>
      </c>
      <c r="J466" s="8" t="b">
        <f t="shared" ca="1" si="29"/>
        <v>1</v>
      </c>
      <c r="K466" s="8" t="b">
        <f t="shared" ca="1" si="30"/>
        <v>0</v>
      </c>
      <c r="L466" s="8">
        <f t="shared" ca="1" si="31"/>
        <v>0</v>
      </c>
    </row>
    <row r="467" spans="1:12" ht="15.75" customHeight="1" x14ac:dyDescent="0.25">
      <c r="A467" s="4">
        <v>120375</v>
      </c>
      <c r="B467" s="4" t="s">
        <v>24</v>
      </c>
      <c r="C467" s="5">
        <v>29741</v>
      </c>
      <c r="D467" s="4" t="s">
        <v>68</v>
      </c>
      <c r="E467" s="4" t="s">
        <v>28</v>
      </c>
      <c r="F467" s="4" t="s">
        <v>23</v>
      </c>
      <c r="G467" s="6">
        <v>67</v>
      </c>
      <c r="H467" s="7">
        <v>6666</v>
      </c>
      <c r="I467" s="145">
        <f t="shared" ca="1" si="28"/>
        <v>43</v>
      </c>
      <c r="J467" s="8" t="b">
        <f t="shared" ca="1" si="29"/>
        <v>0</v>
      </c>
      <c r="K467" s="8" t="b">
        <f t="shared" ca="1" si="30"/>
        <v>1</v>
      </c>
      <c r="L467" s="8">
        <f t="shared" ca="1" si="31"/>
        <v>0</v>
      </c>
    </row>
    <row r="468" spans="1:12" ht="15.75" customHeight="1" x14ac:dyDescent="0.25">
      <c r="A468" s="4">
        <v>27392</v>
      </c>
      <c r="B468" s="4" t="s">
        <v>12</v>
      </c>
      <c r="C468" s="5">
        <v>31945</v>
      </c>
      <c r="D468" s="4" t="s">
        <v>183</v>
      </c>
      <c r="E468" s="4" t="s">
        <v>39</v>
      </c>
      <c r="F468" s="4" t="s">
        <v>79</v>
      </c>
      <c r="G468" s="6">
        <v>64</v>
      </c>
      <c r="H468" s="7">
        <v>6435</v>
      </c>
      <c r="I468" s="145">
        <f t="shared" ca="1" si="28"/>
        <v>37</v>
      </c>
      <c r="J468" s="8" t="b">
        <f t="shared" ca="1" si="29"/>
        <v>1</v>
      </c>
      <c r="K468" s="8" t="b">
        <f t="shared" ca="1" si="30"/>
        <v>0</v>
      </c>
      <c r="L468" s="8">
        <f t="shared" ca="1" si="31"/>
        <v>0</v>
      </c>
    </row>
    <row r="469" spans="1:12" ht="15.75" customHeight="1" x14ac:dyDescent="0.25">
      <c r="A469" s="4">
        <v>36155</v>
      </c>
      <c r="B469" s="4" t="s">
        <v>12</v>
      </c>
      <c r="C469" s="5">
        <v>26240</v>
      </c>
      <c r="D469" s="4" t="s">
        <v>61</v>
      </c>
      <c r="E469" s="4" t="s">
        <v>26</v>
      </c>
      <c r="F469" s="4" t="s">
        <v>23</v>
      </c>
      <c r="G469" s="6">
        <v>62</v>
      </c>
      <c r="H469" s="7">
        <v>6240</v>
      </c>
      <c r="I469" s="145">
        <f t="shared" ca="1" si="28"/>
        <v>52</v>
      </c>
      <c r="J469" s="8" t="b">
        <f t="shared" ca="1" si="29"/>
        <v>0</v>
      </c>
      <c r="K469" s="8" t="b">
        <f t="shared" ca="1" si="30"/>
        <v>0</v>
      </c>
      <c r="L469" s="8">
        <f t="shared" ca="1" si="31"/>
        <v>0</v>
      </c>
    </row>
    <row r="470" spans="1:12" ht="15.75" customHeight="1" x14ac:dyDescent="0.25">
      <c r="A470" s="4">
        <v>140169</v>
      </c>
      <c r="B470" s="4" t="s">
        <v>24</v>
      </c>
      <c r="C470" s="5">
        <v>22825</v>
      </c>
      <c r="D470" s="4" t="s">
        <v>178</v>
      </c>
      <c r="E470" s="4" t="s">
        <v>26</v>
      </c>
      <c r="F470" s="4" t="s">
        <v>23</v>
      </c>
      <c r="G470" s="6">
        <v>60</v>
      </c>
      <c r="H470" s="7">
        <v>6000</v>
      </c>
      <c r="I470" s="145">
        <f t="shared" ca="1" si="28"/>
        <v>62</v>
      </c>
      <c r="J470" s="8" t="b">
        <f t="shared" ca="1" si="29"/>
        <v>0</v>
      </c>
      <c r="K470" s="8" t="b">
        <f t="shared" ca="1" si="30"/>
        <v>0</v>
      </c>
      <c r="L470" s="8">
        <f t="shared" ca="1" si="31"/>
        <v>10000</v>
      </c>
    </row>
    <row r="471" spans="1:12" ht="15.75" customHeight="1" x14ac:dyDescent="0.25">
      <c r="A471" s="4">
        <v>128689</v>
      </c>
      <c r="B471" s="4" t="s">
        <v>12</v>
      </c>
      <c r="C471" s="5">
        <v>24864</v>
      </c>
      <c r="D471" s="4" t="s">
        <v>184</v>
      </c>
      <c r="E471" s="4" t="s">
        <v>26</v>
      </c>
      <c r="F471" s="4" t="s">
        <v>23</v>
      </c>
      <c r="G471" s="6">
        <v>60</v>
      </c>
      <c r="H471" s="7">
        <v>6000</v>
      </c>
      <c r="I471" s="145">
        <f t="shared" ca="1" si="28"/>
        <v>56</v>
      </c>
      <c r="J471" s="8" t="b">
        <f t="shared" ca="1" si="29"/>
        <v>0</v>
      </c>
      <c r="K471" s="8" t="b">
        <f t="shared" ca="1" si="30"/>
        <v>0</v>
      </c>
      <c r="L471" s="8">
        <f t="shared" ca="1" si="31"/>
        <v>0</v>
      </c>
    </row>
    <row r="472" spans="1:12" ht="15.75" customHeight="1" x14ac:dyDescent="0.25">
      <c r="A472" s="4">
        <v>31817</v>
      </c>
      <c r="B472" s="4" t="s">
        <v>12</v>
      </c>
      <c r="C472" s="5">
        <v>32176</v>
      </c>
      <c r="D472" s="4" t="s">
        <v>156</v>
      </c>
      <c r="E472" s="4" t="s">
        <v>157</v>
      </c>
      <c r="F472" s="4" t="s">
        <v>40</v>
      </c>
      <c r="G472" s="6">
        <v>60</v>
      </c>
      <c r="H472" s="7">
        <v>5952</v>
      </c>
      <c r="I472" s="145">
        <f t="shared" ca="1" si="28"/>
        <v>36</v>
      </c>
      <c r="J472" s="8" t="b">
        <f t="shared" ca="1" si="29"/>
        <v>1</v>
      </c>
      <c r="K472" s="8" t="b">
        <f t="shared" ca="1" si="30"/>
        <v>0</v>
      </c>
      <c r="L472" s="8">
        <f t="shared" ca="1" si="31"/>
        <v>0</v>
      </c>
    </row>
    <row r="473" spans="1:12" ht="15.75" customHeight="1" x14ac:dyDescent="0.25">
      <c r="A473" s="4">
        <v>21759</v>
      </c>
      <c r="B473" s="4" t="s">
        <v>24</v>
      </c>
      <c r="C473" s="5">
        <v>32413</v>
      </c>
      <c r="D473" s="4" t="s">
        <v>31</v>
      </c>
      <c r="E473" s="4" t="s">
        <v>20</v>
      </c>
      <c r="F473" s="4" t="s">
        <v>15</v>
      </c>
      <c r="G473" s="6">
        <v>55</v>
      </c>
      <c r="H473" s="7">
        <v>5500</v>
      </c>
      <c r="I473" s="145">
        <f t="shared" ca="1" si="28"/>
        <v>35</v>
      </c>
      <c r="J473" s="8" t="b">
        <f t="shared" ca="1" si="29"/>
        <v>0</v>
      </c>
      <c r="K473" s="8" t="b">
        <f t="shared" ca="1" si="30"/>
        <v>1</v>
      </c>
      <c r="L473" s="8">
        <f t="shared" ca="1" si="31"/>
        <v>0</v>
      </c>
    </row>
    <row r="474" spans="1:12" ht="15.75" customHeight="1" x14ac:dyDescent="0.25">
      <c r="A474" s="4">
        <v>129446</v>
      </c>
      <c r="B474" s="4" t="s">
        <v>12</v>
      </c>
      <c r="C474" s="5">
        <v>22675</v>
      </c>
      <c r="D474" s="4" t="s">
        <v>124</v>
      </c>
      <c r="E474" s="4" t="s">
        <v>14</v>
      </c>
      <c r="F474" s="4" t="s">
        <v>15</v>
      </c>
      <c r="G474" s="6">
        <v>55</v>
      </c>
      <c r="H474" s="7">
        <v>5500</v>
      </c>
      <c r="I474" s="145">
        <f t="shared" ca="1" si="28"/>
        <v>62</v>
      </c>
      <c r="J474" s="8" t="b">
        <f t="shared" ca="1" si="29"/>
        <v>0</v>
      </c>
      <c r="K474" s="8" t="b">
        <f t="shared" ca="1" si="30"/>
        <v>0</v>
      </c>
      <c r="L474" s="8">
        <f t="shared" ca="1" si="31"/>
        <v>0</v>
      </c>
    </row>
    <row r="475" spans="1:12" ht="15.75" customHeight="1" x14ac:dyDescent="0.25">
      <c r="A475" s="4">
        <v>130192</v>
      </c>
      <c r="B475" s="4" t="s">
        <v>12</v>
      </c>
      <c r="C475" s="5">
        <v>25236</v>
      </c>
      <c r="D475" s="4" t="s">
        <v>152</v>
      </c>
      <c r="E475" s="4" t="s">
        <v>74</v>
      </c>
      <c r="F475" s="4" t="s">
        <v>79</v>
      </c>
      <c r="G475" s="6">
        <v>54</v>
      </c>
      <c r="H475" s="7">
        <v>5400</v>
      </c>
      <c r="I475" s="145">
        <f t="shared" ca="1" si="28"/>
        <v>55</v>
      </c>
      <c r="J475" s="8" t="b">
        <f t="shared" ca="1" si="29"/>
        <v>0</v>
      </c>
      <c r="K475" s="8" t="b">
        <f t="shared" ca="1" si="30"/>
        <v>0</v>
      </c>
      <c r="L475" s="8">
        <f t="shared" ca="1" si="31"/>
        <v>0</v>
      </c>
    </row>
    <row r="476" spans="1:12" ht="15.75" customHeight="1" x14ac:dyDescent="0.25">
      <c r="A476" s="4">
        <v>20875</v>
      </c>
      <c r="B476" s="4" t="s">
        <v>12</v>
      </c>
      <c r="C476" s="5">
        <v>30343</v>
      </c>
      <c r="D476" s="4" t="s">
        <v>118</v>
      </c>
      <c r="E476" s="4" t="s">
        <v>20</v>
      </c>
      <c r="F476" s="4" t="s">
        <v>15</v>
      </c>
      <c r="G476" s="6">
        <v>53</v>
      </c>
      <c r="H476" s="7">
        <v>5304</v>
      </c>
      <c r="I476" s="145">
        <f t="shared" ca="1" si="28"/>
        <v>41</v>
      </c>
      <c r="J476" s="8" t="b">
        <f t="shared" ca="1" si="29"/>
        <v>0</v>
      </c>
      <c r="K476" s="8" t="b">
        <f t="shared" ca="1" si="30"/>
        <v>0</v>
      </c>
      <c r="L476" s="8">
        <f t="shared" ca="1" si="31"/>
        <v>0</v>
      </c>
    </row>
    <row r="477" spans="1:12" ht="15.75" customHeight="1" x14ac:dyDescent="0.25">
      <c r="A477" s="4">
        <v>26811</v>
      </c>
      <c r="B477" s="4" t="s">
        <v>12</v>
      </c>
      <c r="C477" s="5">
        <v>27817</v>
      </c>
      <c r="D477" s="4" t="s">
        <v>60</v>
      </c>
      <c r="E477" s="4" t="s">
        <v>20</v>
      </c>
      <c r="F477" s="4" t="s">
        <v>15</v>
      </c>
      <c r="G477" s="6">
        <v>52</v>
      </c>
      <c r="H477" s="7">
        <v>5220</v>
      </c>
      <c r="I477" s="145">
        <f t="shared" ca="1" si="28"/>
        <v>48</v>
      </c>
      <c r="J477" s="8" t="b">
        <f t="shared" ca="1" si="29"/>
        <v>0</v>
      </c>
      <c r="K477" s="8" t="b">
        <f t="shared" ca="1" si="30"/>
        <v>0</v>
      </c>
      <c r="L477" s="8">
        <f t="shared" ca="1" si="31"/>
        <v>0</v>
      </c>
    </row>
    <row r="478" spans="1:12" ht="15.75" customHeight="1" x14ac:dyDescent="0.25">
      <c r="A478" s="4">
        <v>129858</v>
      </c>
      <c r="B478" s="4" t="s">
        <v>12</v>
      </c>
      <c r="C478" s="5">
        <v>30453</v>
      </c>
      <c r="D478" s="4" t="s">
        <v>46</v>
      </c>
      <c r="E478" s="4" t="s">
        <v>35</v>
      </c>
      <c r="F478" s="4" t="s">
        <v>15</v>
      </c>
      <c r="G478" s="6">
        <v>52</v>
      </c>
      <c r="H478" s="7">
        <v>5200</v>
      </c>
      <c r="I478" s="145">
        <f t="shared" ca="1" si="28"/>
        <v>41</v>
      </c>
      <c r="J478" s="8" t="b">
        <f t="shared" ca="1" si="29"/>
        <v>0</v>
      </c>
      <c r="K478" s="8" t="b">
        <f t="shared" ca="1" si="30"/>
        <v>0</v>
      </c>
      <c r="L478" s="8">
        <f t="shared" ca="1" si="31"/>
        <v>0</v>
      </c>
    </row>
    <row r="479" spans="1:12" ht="15.75" customHeight="1" x14ac:dyDescent="0.25">
      <c r="A479" s="4">
        <v>25535</v>
      </c>
      <c r="B479" s="4" t="s">
        <v>24</v>
      </c>
      <c r="C479" s="5">
        <v>30469</v>
      </c>
      <c r="D479" s="4" t="s">
        <v>19</v>
      </c>
      <c r="E479" s="4" t="s">
        <v>20</v>
      </c>
      <c r="F479" s="4" t="s">
        <v>15</v>
      </c>
      <c r="G479" s="6">
        <v>51</v>
      </c>
      <c r="H479" s="7">
        <v>5100</v>
      </c>
      <c r="I479" s="145">
        <f t="shared" ca="1" si="28"/>
        <v>41</v>
      </c>
      <c r="J479" s="8" t="b">
        <f t="shared" ca="1" si="29"/>
        <v>0</v>
      </c>
      <c r="K479" s="8" t="b">
        <f t="shared" ca="1" si="30"/>
        <v>1</v>
      </c>
      <c r="L479" s="8">
        <f t="shared" ca="1" si="31"/>
        <v>0</v>
      </c>
    </row>
    <row r="480" spans="1:12" ht="15.75" customHeight="1" x14ac:dyDescent="0.25">
      <c r="A480" s="4">
        <v>132997</v>
      </c>
      <c r="B480" s="4" t="s">
        <v>12</v>
      </c>
      <c r="C480" s="5">
        <v>29495</v>
      </c>
      <c r="D480" s="4" t="s">
        <v>185</v>
      </c>
      <c r="E480" s="4" t="s">
        <v>39</v>
      </c>
      <c r="F480" s="4" t="s">
        <v>18</v>
      </c>
      <c r="G480" s="6">
        <v>51</v>
      </c>
      <c r="H480" s="7">
        <v>5100</v>
      </c>
      <c r="I480" s="145">
        <f t="shared" ca="1" si="28"/>
        <v>43</v>
      </c>
      <c r="J480" s="8" t="b">
        <f t="shared" ca="1" si="29"/>
        <v>0</v>
      </c>
      <c r="K480" s="8" t="b">
        <f t="shared" ca="1" si="30"/>
        <v>0</v>
      </c>
      <c r="L480" s="8">
        <f t="shared" ca="1" si="31"/>
        <v>0</v>
      </c>
    </row>
    <row r="481" spans="1:12" ht="15.75" customHeight="1" x14ac:dyDescent="0.25">
      <c r="A481" s="4">
        <v>124337</v>
      </c>
      <c r="B481" s="4" t="s">
        <v>24</v>
      </c>
      <c r="C481" s="5">
        <v>24743</v>
      </c>
      <c r="D481" s="4" t="s">
        <v>46</v>
      </c>
      <c r="E481" s="4" t="s">
        <v>35</v>
      </c>
      <c r="F481" s="4" t="s">
        <v>15</v>
      </c>
      <c r="G481" s="6">
        <v>50</v>
      </c>
      <c r="H481" s="7">
        <v>5000</v>
      </c>
      <c r="I481" s="145">
        <f t="shared" ca="1" si="28"/>
        <v>56</v>
      </c>
      <c r="J481" s="8" t="b">
        <f t="shared" ca="1" si="29"/>
        <v>0</v>
      </c>
      <c r="K481" s="8" t="b">
        <f t="shared" ca="1" si="30"/>
        <v>0</v>
      </c>
      <c r="L481" s="8">
        <f t="shared" ca="1" si="31"/>
        <v>10000</v>
      </c>
    </row>
    <row r="482" spans="1:12" ht="15.75" customHeight="1" x14ac:dyDescent="0.25">
      <c r="A482" s="4">
        <v>21283</v>
      </c>
      <c r="B482" s="4" t="s">
        <v>12</v>
      </c>
      <c r="C482" s="5">
        <v>20952</v>
      </c>
      <c r="D482" s="4" t="s">
        <v>57</v>
      </c>
      <c r="E482" s="4" t="s">
        <v>35</v>
      </c>
      <c r="F482" s="4" t="s">
        <v>15</v>
      </c>
      <c r="G482" s="6">
        <v>49</v>
      </c>
      <c r="H482" s="7">
        <v>4896</v>
      </c>
      <c r="I482" s="145">
        <f t="shared" ca="1" si="28"/>
        <v>67</v>
      </c>
      <c r="J482" s="8" t="b">
        <f t="shared" ca="1" si="29"/>
        <v>0</v>
      </c>
      <c r="K482" s="8" t="b">
        <f t="shared" ca="1" si="30"/>
        <v>0</v>
      </c>
      <c r="L482" s="8">
        <f t="shared" ca="1" si="31"/>
        <v>0</v>
      </c>
    </row>
    <row r="483" spans="1:12" ht="15.75" customHeight="1" x14ac:dyDescent="0.25">
      <c r="A483" s="4">
        <v>30474</v>
      </c>
      <c r="B483" s="4" t="s">
        <v>12</v>
      </c>
      <c r="C483" s="5">
        <v>28902</v>
      </c>
      <c r="D483" s="4" t="s">
        <v>97</v>
      </c>
      <c r="E483" s="4" t="s">
        <v>26</v>
      </c>
      <c r="F483" s="4" t="s">
        <v>23</v>
      </c>
      <c r="G483" s="6">
        <v>46</v>
      </c>
      <c r="H483" s="7">
        <v>4590</v>
      </c>
      <c r="I483" s="145">
        <f t="shared" ca="1" si="28"/>
        <v>45</v>
      </c>
      <c r="J483" s="8" t="b">
        <f t="shared" ca="1" si="29"/>
        <v>0</v>
      </c>
      <c r="K483" s="8" t="b">
        <f t="shared" ca="1" si="30"/>
        <v>0</v>
      </c>
      <c r="L483" s="8">
        <f t="shared" ca="1" si="31"/>
        <v>0</v>
      </c>
    </row>
    <row r="484" spans="1:12" ht="15.75" customHeight="1" x14ac:dyDescent="0.25">
      <c r="A484" s="4">
        <v>21089</v>
      </c>
      <c r="B484" s="4" t="s">
        <v>12</v>
      </c>
      <c r="C484" s="5">
        <v>28810</v>
      </c>
      <c r="D484" s="4" t="s">
        <v>19</v>
      </c>
      <c r="E484" s="4" t="s">
        <v>20</v>
      </c>
      <c r="F484" s="4" t="s">
        <v>15</v>
      </c>
      <c r="G484" s="6">
        <v>45</v>
      </c>
      <c r="H484" s="7">
        <v>4500</v>
      </c>
      <c r="I484" s="145">
        <f t="shared" ca="1" si="28"/>
        <v>45</v>
      </c>
      <c r="J484" s="8" t="b">
        <f t="shared" ca="1" si="29"/>
        <v>0</v>
      </c>
      <c r="K484" s="8" t="b">
        <f t="shared" ca="1" si="30"/>
        <v>0</v>
      </c>
      <c r="L484" s="8">
        <f t="shared" ca="1" si="31"/>
        <v>0</v>
      </c>
    </row>
    <row r="485" spans="1:12" ht="15.75" customHeight="1" x14ac:dyDescent="0.25">
      <c r="A485" s="4">
        <v>129154</v>
      </c>
      <c r="B485" s="4" t="s">
        <v>12</v>
      </c>
      <c r="C485" s="5">
        <v>18249</v>
      </c>
      <c r="D485" s="4" t="s">
        <v>66</v>
      </c>
      <c r="E485" s="4" t="s">
        <v>26</v>
      </c>
      <c r="F485" s="4" t="s">
        <v>23</v>
      </c>
      <c r="G485" s="6">
        <v>43</v>
      </c>
      <c r="H485" s="7">
        <v>4275</v>
      </c>
      <c r="I485" s="145">
        <f t="shared" ca="1" si="28"/>
        <v>74</v>
      </c>
      <c r="J485" s="8" t="b">
        <f t="shared" ca="1" si="29"/>
        <v>0</v>
      </c>
      <c r="K485" s="8" t="b">
        <f t="shared" ca="1" si="30"/>
        <v>0</v>
      </c>
      <c r="L485" s="8">
        <f t="shared" ca="1" si="31"/>
        <v>0</v>
      </c>
    </row>
    <row r="486" spans="1:12" ht="15.75" customHeight="1" x14ac:dyDescent="0.25">
      <c r="A486" s="4">
        <v>122594</v>
      </c>
      <c r="B486" s="4" t="s">
        <v>12</v>
      </c>
      <c r="C486" s="5">
        <v>33808</v>
      </c>
      <c r="D486" s="4" t="s">
        <v>60</v>
      </c>
      <c r="E486" s="4" t="s">
        <v>20</v>
      </c>
      <c r="F486" s="4" t="s">
        <v>15</v>
      </c>
      <c r="G486" s="6">
        <v>42</v>
      </c>
      <c r="H486" s="7">
        <v>4216</v>
      </c>
      <c r="I486" s="145">
        <f t="shared" ca="1" si="28"/>
        <v>31</v>
      </c>
      <c r="J486" s="8" t="b">
        <f t="shared" ca="1" si="29"/>
        <v>1</v>
      </c>
      <c r="K486" s="8" t="b">
        <f t="shared" ca="1" si="30"/>
        <v>0</v>
      </c>
      <c r="L486" s="8">
        <f t="shared" ca="1" si="31"/>
        <v>0</v>
      </c>
    </row>
    <row r="487" spans="1:12" ht="15.75" customHeight="1" x14ac:dyDescent="0.25">
      <c r="A487" s="4">
        <v>20529</v>
      </c>
      <c r="B487" s="4" t="s">
        <v>12</v>
      </c>
      <c r="C487" s="5">
        <v>33224</v>
      </c>
      <c r="D487" s="4" t="s">
        <v>48</v>
      </c>
      <c r="E487" s="4" t="s">
        <v>20</v>
      </c>
      <c r="F487" s="4" t="s">
        <v>15</v>
      </c>
      <c r="G487" s="6">
        <v>39</v>
      </c>
      <c r="H487" s="7">
        <v>3864</v>
      </c>
      <c r="I487" s="145">
        <f t="shared" ca="1" si="28"/>
        <v>33</v>
      </c>
      <c r="J487" s="8" t="b">
        <f t="shared" ca="1" si="29"/>
        <v>1</v>
      </c>
      <c r="K487" s="8" t="b">
        <f t="shared" ca="1" si="30"/>
        <v>0</v>
      </c>
      <c r="L487" s="8">
        <f t="shared" ca="1" si="31"/>
        <v>0</v>
      </c>
    </row>
    <row r="488" spans="1:12" ht="15.75" customHeight="1" x14ac:dyDescent="0.25">
      <c r="A488" s="4">
        <v>139532</v>
      </c>
      <c r="B488" s="4" t="s">
        <v>12</v>
      </c>
      <c r="C488" s="5">
        <v>25590</v>
      </c>
      <c r="D488" s="4" t="s">
        <v>130</v>
      </c>
      <c r="E488" s="4" t="s">
        <v>20</v>
      </c>
      <c r="F488" s="4" t="s">
        <v>15</v>
      </c>
      <c r="G488" s="6">
        <v>32</v>
      </c>
      <c r="H488" s="7">
        <v>3200</v>
      </c>
      <c r="I488" s="145">
        <f t="shared" ca="1" si="28"/>
        <v>54</v>
      </c>
      <c r="J488" s="8" t="b">
        <f t="shared" ca="1" si="29"/>
        <v>0</v>
      </c>
      <c r="K488" s="8" t="b">
        <f t="shared" ca="1" si="30"/>
        <v>0</v>
      </c>
      <c r="L488" s="8">
        <f t="shared" ca="1" si="31"/>
        <v>0</v>
      </c>
    </row>
    <row r="489" spans="1:12" ht="15.75" customHeight="1" x14ac:dyDescent="0.25">
      <c r="A489" s="4">
        <v>21547</v>
      </c>
      <c r="B489" s="4" t="s">
        <v>12</v>
      </c>
      <c r="C489" s="5">
        <v>31177</v>
      </c>
      <c r="D489" s="4" t="s">
        <v>108</v>
      </c>
      <c r="E489" s="4" t="s">
        <v>74</v>
      </c>
      <c r="F489" s="4" t="s">
        <v>79</v>
      </c>
      <c r="G489" s="6">
        <v>32</v>
      </c>
      <c r="H489" s="7">
        <v>3185</v>
      </c>
      <c r="I489" s="145">
        <f t="shared" ca="1" si="28"/>
        <v>39</v>
      </c>
      <c r="J489" s="8" t="b">
        <f t="shared" ca="1" si="29"/>
        <v>1</v>
      </c>
      <c r="K489" s="8" t="b">
        <f t="shared" ca="1" si="30"/>
        <v>0</v>
      </c>
      <c r="L489" s="8">
        <f t="shared" ca="1" si="31"/>
        <v>0</v>
      </c>
    </row>
    <row r="490" spans="1:12" ht="15.75" customHeight="1" x14ac:dyDescent="0.25">
      <c r="A490" s="4">
        <v>22414</v>
      </c>
      <c r="B490" s="4" t="s">
        <v>12</v>
      </c>
      <c r="C490" s="5">
        <v>31035</v>
      </c>
      <c r="D490" s="4" t="s">
        <v>170</v>
      </c>
      <c r="E490" s="4" t="s">
        <v>26</v>
      </c>
      <c r="F490" s="4" t="s">
        <v>23</v>
      </c>
      <c r="G490" s="6">
        <v>31</v>
      </c>
      <c r="H490" s="7">
        <v>3082</v>
      </c>
      <c r="I490" s="145">
        <f t="shared" ca="1" si="28"/>
        <v>39</v>
      </c>
      <c r="J490" s="8" t="b">
        <f t="shared" ca="1" si="29"/>
        <v>1</v>
      </c>
      <c r="K490" s="8" t="b">
        <f t="shared" ca="1" si="30"/>
        <v>0</v>
      </c>
      <c r="L490" s="8">
        <f t="shared" ca="1" si="31"/>
        <v>0</v>
      </c>
    </row>
    <row r="491" spans="1:12" ht="15.75" customHeight="1" x14ac:dyDescent="0.25">
      <c r="A491" s="4">
        <v>22076</v>
      </c>
      <c r="B491" s="4" t="s">
        <v>12</v>
      </c>
      <c r="C491" s="5">
        <v>30757</v>
      </c>
      <c r="D491" s="4" t="s">
        <v>75</v>
      </c>
      <c r="E491" s="4" t="s">
        <v>20</v>
      </c>
      <c r="F491" s="4" t="s">
        <v>15</v>
      </c>
      <c r="G491" s="6">
        <v>28</v>
      </c>
      <c r="H491" s="7">
        <v>2793</v>
      </c>
      <c r="I491" s="145">
        <f t="shared" ca="1" si="28"/>
        <v>40</v>
      </c>
      <c r="J491" s="8" t="b">
        <f t="shared" ca="1" si="29"/>
        <v>0</v>
      </c>
      <c r="K491" s="8" t="b">
        <f t="shared" ca="1" si="30"/>
        <v>0</v>
      </c>
      <c r="L491" s="8">
        <f t="shared" ca="1" si="31"/>
        <v>0</v>
      </c>
    </row>
    <row r="492" spans="1:12" ht="15.75" customHeight="1" x14ac:dyDescent="0.25">
      <c r="A492" s="4">
        <v>94257</v>
      </c>
      <c r="B492" s="4" t="s">
        <v>12</v>
      </c>
      <c r="C492" s="5">
        <v>33706</v>
      </c>
      <c r="D492" s="4" t="s">
        <v>186</v>
      </c>
      <c r="E492" s="4" t="s">
        <v>20</v>
      </c>
      <c r="F492" s="4" t="s">
        <v>15</v>
      </c>
      <c r="G492" s="6">
        <v>27</v>
      </c>
      <c r="H492" s="7">
        <v>2695</v>
      </c>
      <c r="I492" s="145">
        <f t="shared" ca="1" si="28"/>
        <v>32</v>
      </c>
      <c r="J492" s="8" t="b">
        <f t="shared" ca="1" si="29"/>
        <v>1</v>
      </c>
      <c r="K492" s="8" t="b">
        <f t="shared" ca="1" si="30"/>
        <v>0</v>
      </c>
      <c r="L492" s="8">
        <f t="shared" ca="1" si="31"/>
        <v>0</v>
      </c>
    </row>
    <row r="493" spans="1:12" ht="15.75" customHeight="1" x14ac:dyDescent="0.25">
      <c r="A493" s="4">
        <v>22085</v>
      </c>
      <c r="B493" s="4" t="s">
        <v>12</v>
      </c>
      <c r="C493" s="5">
        <v>28805</v>
      </c>
      <c r="D493" s="4" t="s">
        <v>186</v>
      </c>
      <c r="E493" s="4" t="s">
        <v>20</v>
      </c>
      <c r="F493" s="4" t="s">
        <v>15</v>
      </c>
      <c r="G493" s="6">
        <v>26</v>
      </c>
      <c r="H493" s="7">
        <v>2597</v>
      </c>
      <c r="I493" s="145">
        <f t="shared" ca="1" si="28"/>
        <v>45</v>
      </c>
      <c r="J493" s="8" t="b">
        <f t="shared" ca="1" si="29"/>
        <v>0</v>
      </c>
      <c r="K493" s="8" t="b">
        <f t="shared" ca="1" si="30"/>
        <v>0</v>
      </c>
      <c r="L493" s="8">
        <f t="shared" ca="1" si="31"/>
        <v>0</v>
      </c>
    </row>
    <row r="494" spans="1:12" ht="15.75" customHeight="1" x14ac:dyDescent="0.25">
      <c r="A494" s="4">
        <v>125335</v>
      </c>
      <c r="B494" s="4" t="s">
        <v>12</v>
      </c>
      <c r="C494" s="5">
        <v>29104</v>
      </c>
      <c r="D494" s="4" t="s">
        <v>30</v>
      </c>
      <c r="E494" s="4" t="s">
        <v>20</v>
      </c>
      <c r="F494" s="4" t="s">
        <v>15</v>
      </c>
      <c r="G494" s="6">
        <v>25</v>
      </c>
      <c r="H494" s="7">
        <v>2496</v>
      </c>
      <c r="I494" s="145">
        <f t="shared" ca="1" si="28"/>
        <v>44</v>
      </c>
      <c r="J494" s="8" t="b">
        <f t="shared" ca="1" si="29"/>
        <v>0</v>
      </c>
      <c r="K494" s="8" t="b">
        <f t="shared" ca="1" si="30"/>
        <v>0</v>
      </c>
      <c r="L494" s="8">
        <f t="shared" ca="1" si="31"/>
        <v>0</v>
      </c>
    </row>
    <row r="495" spans="1:12" ht="15.75" customHeight="1" x14ac:dyDescent="0.25">
      <c r="A495" s="4">
        <v>123608</v>
      </c>
      <c r="B495" s="4" t="s">
        <v>12</v>
      </c>
      <c r="C495" s="5">
        <v>33638</v>
      </c>
      <c r="D495" s="4" t="s">
        <v>127</v>
      </c>
      <c r="E495" s="4" t="s">
        <v>37</v>
      </c>
      <c r="F495" s="4" t="s">
        <v>18</v>
      </c>
      <c r="G495" s="6">
        <v>24</v>
      </c>
      <c r="H495" s="7">
        <v>2356</v>
      </c>
      <c r="I495" s="145">
        <f t="shared" ca="1" si="28"/>
        <v>32</v>
      </c>
      <c r="J495" s="8" t="b">
        <f t="shared" ca="1" si="29"/>
        <v>1</v>
      </c>
      <c r="K495" s="8" t="b">
        <f t="shared" ca="1" si="30"/>
        <v>0</v>
      </c>
      <c r="L495" s="8">
        <f t="shared" ca="1" si="31"/>
        <v>0</v>
      </c>
    </row>
    <row r="496" spans="1:12" ht="15.75" customHeight="1" x14ac:dyDescent="0.25">
      <c r="A496" s="4">
        <v>134874</v>
      </c>
      <c r="B496" s="4" t="s">
        <v>12</v>
      </c>
      <c r="C496" s="5">
        <v>29825</v>
      </c>
      <c r="D496" s="4" t="s">
        <v>41</v>
      </c>
      <c r="E496" s="4" t="s">
        <v>20</v>
      </c>
      <c r="F496" s="4" t="s">
        <v>15</v>
      </c>
      <c r="G496" s="6">
        <v>17</v>
      </c>
      <c r="H496" s="7">
        <v>1701</v>
      </c>
      <c r="I496" s="145">
        <f t="shared" ca="1" si="28"/>
        <v>42</v>
      </c>
      <c r="J496" s="8" t="b">
        <f t="shared" ca="1" si="29"/>
        <v>0</v>
      </c>
      <c r="K496" s="8" t="b">
        <f t="shared" ca="1" si="30"/>
        <v>0</v>
      </c>
      <c r="L496" s="8">
        <f t="shared" ca="1" si="31"/>
        <v>0</v>
      </c>
    </row>
    <row r="497" spans="1:12" ht="15.75" customHeight="1" x14ac:dyDescent="0.25">
      <c r="A497" s="4">
        <v>24335</v>
      </c>
      <c r="B497" s="4" t="s">
        <v>12</v>
      </c>
      <c r="C497" s="5">
        <v>31939</v>
      </c>
      <c r="D497" s="4" t="s">
        <v>33</v>
      </c>
      <c r="E497" s="4" t="s">
        <v>20</v>
      </c>
      <c r="F497" s="4" t="s">
        <v>15</v>
      </c>
      <c r="G497" s="6">
        <v>17</v>
      </c>
      <c r="H497" s="7">
        <v>1680</v>
      </c>
      <c r="I497" s="145">
        <f t="shared" ca="1" si="28"/>
        <v>37</v>
      </c>
      <c r="J497" s="8" t="b">
        <f t="shared" ca="1" si="29"/>
        <v>1</v>
      </c>
      <c r="K497" s="8" t="b">
        <f t="shared" ca="1" si="30"/>
        <v>0</v>
      </c>
      <c r="L497" s="8">
        <f t="shared" ca="1" si="31"/>
        <v>0</v>
      </c>
    </row>
    <row r="498" spans="1:12" ht="15.75" customHeight="1" x14ac:dyDescent="0.25">
      <c r="A498" s="4">
        <v>22299</v>
      </c>
      <c r="B498" s="4" t="s">
        <v>12</v>
      </c>
      <c r="C498" s="5">
        <v>32955</v>
      </c>
      <c r="D498" s="4" t="s">
        <v>45</v>
      </c>
      <c r="E498" s="4" t="s">
        <v>28</v>
      </c>
      <c r="F498" s="4" t="s">
        <v>23</v>
      </c>
      <c r="G498" s="6">
        <v>12</v>
      </c>
      <c r="H498" s="7">
        <v>1220</v>
      </c>
      <c r="I498" s="145">
        <f t="shared" ca="1" si="28"/>
        <v>34</v>
      </c>
      <c r="J498" s="8" t="b">
        <f t="shared" ca="1" si="29"/>
        <v>1</v>
      </c>
      <c r="K498" s="8" t="b">
        <f t="shared" ca="1" si="30"/>
        <v>0</v>
      </c>
      <c r="L498" s="8">
        <f t="shared" ca="1" si="31"/>
        <v>0</v>
      </c>
    </row>
    <row r="499" spans="1:12" ht="15.75" customHeight="1" x14ac:dyDescent="0.25">
      <c r="A499" s="4">
        <v>125064</v>
      </c>
      <c r="B499" s="4" t="s">
        <v>12</v>
      </c>
      <c r="C499" s="5">
        <v>26720</v>
      </c>
      <c r="D499" s="4" t="s">
        <v>73</v>
      </c>
      <c r="E499" s="4" t="s">
        <v>74</v>
      </c>
      <c r="F499" s="4" t="s">
        <v>23</v>
      </c>
      <c r="G499" s="6">
        <v>12</v>
      </c>
      <c r="H499" s="7">
        <v>1176</v>
      </c>
      <c r="I499" s="145">
        <f t="shared" ca="1" si="28"/>
        <v>51</v>
      </c>
      <c r="J499" s="8" t="b">
        <f t="shared" ca="1" si="29"/>
        <v>0</v>
      </c>
      <c r="K499" s="8" t="b">
        <f t="shared" ca="1" si="30"/>
        <v>0</v>
      </c>
      <c r="L499" s="8">
        <f t="shared" ca="1" si="31"/>
        <v>0</v>
      </c>
    </row>
    <row r="500" spans="1:12" ht="15.75" customHeight="1" x14ac:dyDescent="0.25">
      <c r="A500" s="4">
        <v>27411</v>
      </c>
      <c r="B500" s="4" t="s">
        <v>12</v>
      </c>
      <c r="C500" s="5">
        <v>31051</v>
      </c>
      <c r="D500" s="4" t="s">
        <v>59</v>
      </c>
      <c r="E500" s="4" t="s">
        <v>28</v>
      </c>
      <c r="F500" s="4" t="s">
        <v>23</v>
      </c>
      <c r="G500" s="6">
        <v>6</v>
      </c>
      <c r="H500" s="7">
        <v>590</v>
      </c>
      <c r="I500" s="145">
        <f t="shared" ca="1" si="28"/>
        <v>39</v>
      </c>
      <c r="J500" s="8" t="b">
        <f t="shared" ca="1" si="29"/>
        <v>1</v>
      </c>
      <c r="K500" s="8" t="b">
        <f ca="1">AND(B500="Female",I500&lt;50)</f>
        <v>0</v>
      </c>
      <c r="L500" s="8">
        <f t="shared" ca="1" si="31"/>
        <v>0</v>
      </c>
    </row>
    <row r="501" spans="1:12" ht="15.75" customHeight="1" x14ac:dyDescent="0.25">
      <c r="A501" s="4">
        <v>131079</v>
      </c>
      <c r="B501" s="4" t="s">
        <v>12</v>
      </c>
      <c r="C501" s="5">
        <v>32547</v>
      </c>
      <c r="D501" s="4" t="s">
        <v>118</v>
      </c>
      <c r="E501" s="4" t="s">
        <v>20</v>
      </c>
      <c r="F501" s="4" t="s">
        <v>15</v>
      </c>
      <c r="G501" s="6">
        <v>6</v>
      </c>
      <c r="H501" s="7">
        <v>583</v>
      </c>
      <c r="I501" s="145">
        <f t="shared" ca="1" si="28"/>
        <v>35</v>
      </c>
      <c r="J501" s="8" t="b">
        <f t="shared" ca="1" si="29"/>
        <v>1</v>
      </c>
      <c r="K501" s="8" t="b">
        <f t="shared" ref="K501" ca="1" si="32">AND(B501="Female",I501&lt;50)</f>
        <v>0</v>
      </c>
      <c r="L501" s="8">
        <f t="shared" ca="1" si="31"/>
        <v>0</v>
      </c>
    </row>
    <row r="502" spans="1:12" ht="15.75" customHeight="1" x14ac:dyDescent="0.25">
      <c r="I502" s="146"/>
      <c r="J502" s="11"/>
      <c r="K502" s="11"/>
      <c r="L502" s="12"/>
    </row>
    <row r="503" spans="1:12" ht="15.75" customHeight="1" x14ac:dyDescent="0.25">
      <c r="I503" s="146"/>
      <c r="J503" s="11"/>
      <c r="K503" s="11"/>
      <c r="L503" s="12"/>
    </row>
    <row r="504" spans="1:12" ht="15.75" customHeight="1" x14ac:dyDescent="0.25">
      <c r="I504" s="146"/>
      <c r="J504" s="11"/>
      <c r="K504" s="11"/>
      <c r="L504" s="12"/>
    </row>
    <row r="505" spans="1:12" ht="15.75" customHeight="1" x14ac:dyDescent="0.25">
      <c r="I505" s="146"/>
      <c r="J505" s="11"/>
      <c r="K505" s="11"/>
      <c r="L505" s="12"/>
    </row>
    <row r="506" spans="1:12" ht="15.75" customHeight="1" x14ac:dyDescent="0.25">
      <c r="I506" s="146"/>
      <c r="J506" s="11"/>
      <c r="K506" s="11"/>
      <c r="L506" s="12"/>
    </row>
    <row r="507" spans="1:12" ht="15.75" customHeight="1" x14ac:dyDescent="0.25">
      <c r="I507" s="146"/>
      <c r="J507" s="11"/>
      <c r="K507" s="11"/>
      <c r="L507" s="12"/>
    </row>
    <row r="508" spans="1:12" ht="15.75" customHeight="1" x14ac:dyDescent="0.25">
      <c r="I508" s="146"/>
      <c r="J508" s="11"/>
      <c r="K508" s="11"/>
      <c r="L508" s="12"/>
    </row>
    <row r="509" spans="1:12" ht="15.75" customHeight="1" x14ac:dyDescent="0.25">
      <c r="I509" s="146"/>
      <c r="J509" s="11"/>
      <c r="K509" s="11"/>
      <c r="L509" s="12"/>
    </row>
    <row r="510" spans="1:12" ht="15.75" customHeight="1" x14ac:dyDescent="0.25">
      <c r="I510" s="146"/>
      <c r="J510" s="11"/>
      <c r="K510" s="11"/>
      <c r="L510" s="12"/>
    </row>
    <row r="511" spans="1:12" ht="15.75" customHeight="1" x14ac:dyDescent="0.25">
      <c r="I511" s="146"/>
      <c r="J511" s="11"/>
      <c r="K511" s="11"/>
      <c r="L511" s="12"/>
    </row>
    <row r="512" spans="1:12" ht="15.75" customHeight="1" x14ac:dyDescent="0.25">
      <c r="I512" s="146"/>
      <c r="J512" s="11"/>
      <c r="K512" s="11"/>
      <c r="L512" s="12"/>
    </row>
    <row r="513" spans="9:12" ht="15.75" customHeight="1" x14ac:dyDescent="0.25">
      <c r="I513" s="146"/>
      <c r="J513" s="11"/>
      <c r="K513" s="11"/>
      <c r="L513" s="12"/>
    </row>
    <row r="514" spans="9:12" ht="15.75" customHeight="1" x14ac:dyDescent="0.25">
      <c r="I514" s="146"/>
      <c r="J514" s="11"/>
      <c r="K514" s="11"/>
      <c r="L514" s="12"/>
    </row>
    <row r="515" spans="9:12" ht="15.75" customHeight="1" x14ac:dyDescent="0.25">
      <c r="I515" s="146"/>
      <c r="J515" s="11"/>
      <c r="K515" s="11"/>
      <c r="L515" s="12"/>
    </row>
    <row r="516" spans="9:12" ht="15.75" customHeight="1" x14ac:dyDescent="0.25">
      <c r="I516" s="146"/>
      <c r="J516" s="11"/>
      <c r="K516" s="11"/>
      <c r="L516" s="12"/>
    </row>
    <row r="517" spans="9:12" ht="15.75" customHeight="1" x14ac:dyDescent="0.25">
      <c r="I517" s="146"/>
      <c r="J517" s="11"/>
      <c r="K517" s="11"/>
      <c r="L517" s="12"/>
    </row>
    <row r="518" spans="9:12" ht="15.75" customHeight="1" x14ac:dyDescent="0.25">
      <c r="I518" s="146"/>
      <c r="J518" s="11"/>
      <c r="K518" s="11"/>
      <c r="L518" s="12"/>
    </row>
    <row r="519" spans="9:12" ht="15.75" customHeight="1" x14ac:dyDescent="0.25">
      <c r="I519" s="146"/>
      <c r="J519" s="11"/>
      <c r="K519" s="11"/>
      <c r="L519" s="12"/>
    </row>
    <row r="520" spans="9:12" ht="15.75" customHeight="1" x14ac:dyDescent="0.25">
      <c r="I520" s="146"/>
      <c r="J520" s="11"/>
      <c r="K520" s="11"/>
      <c r="L520" s="12"/>
    </row>
    <row r="521" spans="9:12" ht="15.75" customHeight="1" x14ac:dyDescent="0.25">
      <c r="I521" s="146"/>
      <c r="J521" s="11"/>
      <c r="K521" s="11"/>
      <c r="L521" s="12"/>
    </row>
    <row r="522" spans="9:12" ht="15.75" customHeight="1" x14ac:dyDescent="0.25">
      <c r="I522" s="146"/>
      <c r="J522" s="11"/>
      <c r="K522" s="11"/>
      <c r="L522" s="12"/>
    </row>
    <row r="523" spans="9:12" ht="15.75" customHeight="1" x14ac:dyDescent="0.25">
      <c r="I523" s="146"/>
      <c r="J523" s="11"/>
      <c r="K523" s="11"/>
      <c r="L523" s="12"/>
    </row>
    <row r="524" spans="9:12" ht="15.75" customHeight="1" x14ac:dyDescent="0.25">
      <c r="I524" s="146"/>
      <c r="J524" s="11"/>
      <c r="K524" s="11"/>
      <c r="L524" s="12"/>
    </row>
    <row r="525" spans="9:12" ht="15.75" customHeight="1" x14ac:dyDescent="0.25">
      <c r="I525" s="146"/>
      <c r="J525" s="11"/>
      <c r="K525" s="11"/>
      <c r="L525" s="12"/>
    </row>
    <row r="526" spans="9:12" ht="15.75" customHeight="1" x14ac:dyDescent="0.25">
      <c r="I526" s="146"/>
      <c r="J526" s="11"/>
      <c r="K526" s="11"/>
      <c r="L526" s="12"/>
    </row>
    <row r="527" spans="9:12" ht="15.75" customHeight="1" x14ac:dyDescent="0.25">
      <c r="I527" s="146"/>
      <c r="J527" s="11"/>
      <c r="K527" s="11"/>
      <c r="L527" s="12"/>
    </row>
    <row r="528" spans="9:12" ht="15.75" customHeight="1" x14ac:dyDescent="0.25">
      <c r="I528" s="146"/>
      <c r="J528" s="11"/>
      <c r="K528" s="11"/>
      <c r="L528" s="12"/>
    </row>
    <row r="529" spans="9:12" ht="15.75" customHeight="1" x14ac:dyDescent="0.25">
      <c r="I529" s="146"/>
      <c r="J529" s="11"/>
      <c r="K529" s="11"/>
      <c r="L529" s="12"/>
    </row>
    <row r="530" spans="9:12" ht="15.75" customHeight="1" x14ac:dyDescent="0.25">
      <c r="I530" s="146"/>
      <c r="J530" s="11"/>
      <c r="K530" s="11"/>
      <c r="L530" s="12"/>
    </row>
    <row r="531" spans="9:12" ht="15.75" customHeight="1" x14ac:dyDescent="0.25">
      <c r="I531" s="146"/>
      <c r="J531" s="11"/>
      <c r="K531" s="11"/>
      <c r="L531" s="12"/>
    </row>
    <row r="532" spans="9:12" ht="15.75" customHeight="1" x14ac:dyDescent="0.25">
      <c r="I532" s="146"/>
      <c r="J532" s="11"/>
      <c r="K532" s="11"/>
      <c r="L532" s="12"/>
    </row>
    <row r="533" spans="9:12" ht="15.75" customHeight="1" x14ac:dyDescent="0.25">
      <c r="I533" s="146"/>
      <c r="J533" s="11"/>
      <c r="K533" s="11"/>
      <c r="L533" s="12"/>
    </row>
    <row r="534" spans="9:12" ht="15.75" customHeight="1" x14ac:dyDescent="0.25">
      <c r="I534" s="146"/>
      <c r="J534" s="11"/>
      <c r="K534" s="11"/>
      <c r="L534" s="12"/>
    </row>
    <row r="535" spans="9:12" ht="15.75" customHeight="1" x14ac:dyDescent="0.25">
      <c r="I535" s="146"/>
      <c r="J535" s="11"/>
      <c r="K535" s="11"/>
      <c r="L535" s="12"/>
    </row>
    <row r="536" spans="9:12" ht="15.75" customHeight="1" x14ac:dyDescent="0.25">
      <c r="I536" s="146"/>
      <c r="J536" s="11"/>
      <c r="K536" s="11"/>
      <c r="L536" s="12"/>
    </row>
    <row r="537" spans="9:12" ht="15.75" customHeight="1" x14ac:dyDescent="0.25">
      <c r="I537" s="146"/>
      <c r="J537" s="11"/>
      <c r="K537" s="11"/>
      <c r="L537" s="12"/>
    </row>
    <row r="538" spans="9:12" ht="15.75" customHeight="1" x14ac:dyDescent="0.25">
      <c r="I538" s="146"/>
      <c r="J538" s="11"/>
      <c r="K538" s="11"/>
      <c r="L538" s="12"/>
    </row>
    <row r="539" spans="9:12" ht="15.75" customHeight="1" x14ac:dyDescent="0.25">
      <c r="I539" s="146"/>
      <c r="J539" s="11"/>
      <c r="K539" s="11"/>
      <c r="L539" s="12"/>
    </row>
    <row r="540" spans="9:12" ht="15.75" customHeight="1" x14ac:dyDescent="0.25">
      <c r="I540" s="146"/>
      <c r="J540" s="11"/>
      <c r="K540" s="11"/>
      <c r="L540" s="12"/>
    </row>
    <row r="541" spans="9:12" ht="15.75" customHeight="1" x14ac:dyDescent="0.25">
      <c r="I541" s="146"/>
      <c r="J541" s="11"/>
      <c r="K541" s="11"/>
      <c r="L541" s="12"/>
    </row>
    <row r="542" spans="9:12" ht="15.75" customHeight="1" x14ac:dyDescent="0.25">
      <c r="I542" s="146"/>
      <c r="J542" s="11"/>
      <c r="K542" s="11"/>
      <c r="L542" s="12"/>
    </row>
    <row r="543" spans="9:12" ht="15.75" customHeight="1" x14ac:dyDescent="0.25">
      <c r="I543" s="146"/>
      <c r="J543" s="11"/>
      <c r="K543" s="11"/>
      <c r="L543" s="12"/>
    </row>
    <row r="544" spans="9:12" ht="15.75" customHeight="1" x14ac:dyDescent="0.25">
      <c r="I544" s="146"/>
      <c r="J544" s="11"/>
      <c r="K544" s="11"/>
      <c r="L544" s="12"/>
    </row>
    <row r="545" spans="9:12" ht="15.75" customHeight="1" x14ac:dyDescent="0.25">
      <c r="I545" s="146"/>
      <c r="J545" s="11"/>
      <c r="K545" s="11"/>
      <c r="L545" s="12"/>
    </row>
    <row r="546" spans="9:12" ht="15.75" customHeight="1" x14ac:dyDescent="0.25">
      <c r="I546" s="146"/>
      <c r="J546" s="11"/>
      <c r="K546" s="11"/>
      <c r="L546" s="12"/>
    </row>
    <row r="547" spans="9:12" ht="15.75" customHeight="1" x14ac:dyDescent="0.25">
      <c r="I547" s="146"/>
      <c r="J547" s="11"/>
      <c r="K547" s="11"/>
      <c r="L547" s="12"/>
    </row>
    <row r="548" spans="9:12" ht="15.75" customHeight="1" x14ac:dyDescent="0.25">
      <c r="I548" s="146"/>
      <c r="J548" s="11"/>
      <c r="K548" s="11"/>
      <c r="L548" s="12"/>
    </row>
    <row r="549" spans="9:12" ht="15.75" customHeight="1" x14ac:dyDescent="0.25">
      <c r="I549" s="146"/>
      <c r="J549" s="11"/>
      <c r="K549" s="11"/>
      <c r="L549" s="12"/>
    </row>
    <row r="550" spans="9:12" ht="15.75" customHeight="1" x14ac:dyDescent="0.25">
      <c r="I550" s="146"/>
      <c r="J550" s="11"/>
      <c r="K550" s="11"/>
      <c r="L550" s="12"/>
    </row>
    <row r="551" spans="9:12" ht="15.75" customHeight="1" x14ac:dyDescent="0.25">
      <c r="I551" s="146"/>
      <c r="J551" s="11"/>
      <c r="K551" s="11"/>
      <c r="L551" s="12"/>
    </row>
    <row r="552" spans="9:12" ht="15.75" customHeight="1" x14ac:dyDescent="0.25">
      <c r="I552" s="146"/>
      <c r="J552" s="11"/>
      <c r="K552" s="11"/>
      <c r="L552" s="12"/>
    </row>
    <row r="553" spans="9:12" ht="15.75" customHeight="1" x14ac:dyDescent="0.25">
      <c r="I553" s="146"/>
      <c r="J553" s="11"/>
      <c r="K553" s="11"/>
      <c r="L553" s="12"/>
    </row>
    <row r="554" spans="9:12" ht="15.75" customHeight="1" x14ac:dyDescent="0.25">
      <c r="I554" s="146"/>
      <c r="J554" s="11"/>
      <c r="K554" s="11"/>
      <c r="L554" s="12"/>
    </row>
    <row r="555" spans="9:12" ht="15.75" customHeight="1" x14ac:dyDescent="0.25">
      <c r="I555" s="146"/>
      <c r="J555" s="11"/>
      <c r="K555" s="11"/>
      <c r="L555" s="12"/>
    </row>
    <row r="556" spans="9:12" ht="15.75" customHeight="1" x14ac:dyDescent="0.25">
      <c r="I556" s="146"/>
      <c r="J556" s="11"/>
      <c r="K556" s="11"/>
      <c r="L556" s="12"/>
    </row>
    <row r="557" spans="9:12" ht="15.75" customHeight="1" x14ac:dyDescent="0.25">
      <c r="I557" s="146"/>
      <c r="J557" s="11"/>
      <c r="K557" s="11"/>
      <c r="L557" s="12"/>
    </row>
    <row r="558" spans="9:12" ht="15.75" customHeight="1" x14ac:dyDescent="0.25">
      <c r="I558" s="146"/>
      <c r="J558" s="11"/>
      <c r="K558" s="11"/>
      <c r="L558" s="12"/>
    </row>
    <row r="559" spans="9:12" ht="15.75" customHeight="1" x14ac:dyDescent="0.25">
      <c r="I559" s="146"/>
      <c r="J559" s="11"/>
      <c r="K559" s="11"/>
      <c r="L559" s="12"/>
    </row>
    <row r="560" spans="9:12" ht="15.75" customHeight="1" x14ac:dyDescent="0.25">
      <c r="I560" s="146"/>
      <c r="J560" s="11"/>
      <c r="K560" s="11"/>
      <c r="L560" s="12"/>
    </row>
    <row r="561" spans="9:12" ht="15.75" customHeight="1" x14ac:dyDescent="0.25">
      <c r="I561" s="146"/>
      <c r="J561" s="11"/>
      <c r="K561" s="11"/>
      <c r="L561" s="12"/>
    </row>
    <row r="562" spans="9:12" ht="15.75" customHeight="1" x14ac:dyDescent="0.25">
      <c r="I562" s="146"/>
      <c r="J562" s="11"/>
      <c r="K562" s="11"/>
      <c r="L562" s="12"/>
    </row>
    <row r="563" spans="9:12" ht="15.75" customHeight="1" x14ac:dyDescent="0.25">
      <c r="I563" s="146"/>
      <c r="J563" s="11"/>
      <c r="K563" s="11"/>
      <c r="L563" s="12"/>
    </row>
    <row r="564" spans="9:12" ht="15.75" customHeight="1" x14ac:dyDescent="0.25">
      <c r="I564" s="146"/>
      <c r="J564" s="11"/>
      <c r="K564" s="11"/>
      <c r="L564" s="12"/>
    </row>
    <row r="565" spans="9:12" ht="15.75" customHeight="1" x14ac:dyDescent="0.25">
      <c r="I565" s="146"/>
      <c r="J565" s="11"/>
      <c r="K565" s="11"/>
      <c r="L565" s="12"/>
    </row>
    <row r="566" spans="9:12" ht="15.75" customHeight="1" x14ac:dyDescent="0.25">
      <c r="I566" s="146"/>
      <c r="J566" s="11"/>
      <c r="K566" s="11"/>
      <c r="L566" s="12"/>
    </row>
    <row r="567" spans="9:12" ht="15.75" customHeight="1" x14ac:dyDescent="0.25">
      <c r="I567" s="146"/>
      <c r="J567" s="11"/>
      <c r="K567" s="11"/>
      <c r="L567" s="12"/>
    </row>
    <row r="568" spans="9:12" ht="15.75" customHeight="1" x14ac:dyDescent="0.25">
      <c r="I568" s="146"/>
      <c r="J568" s="11"/>
      <c r="K568" s="11"/>
      <c r="L568" s="12"/>
    </row>
    <row r="569" spans="9:12" ht="15.75" customHeight="1" x14ac:dyDescent="0.25">
      <c r="I569" s="146"/>
      <c r="J569" s="11"/>
      <c r="K569" s="11"/>
      <c r="L569" s="12"/>
    </row>
    <row r="570" spans="9:12" ht="15.75" customHeight="1" x14ac:dyDescent="0.25">
      <c r="I570" s="146"/>
      <c r="J570" s="11"/>
      <c r="K570" s="11"/>
      <c r="L570" s="12"/>
    </row>
    <row r="571" spans="9:12" ht="15.75" customHeight="1" x14ac:dyDescent="0.25">
      <c r="I571" s="146"/>
      <c r="J571" s="11"/>
      <c r="K571" s="11"/>
      <c r="L571" s="12"/>
    </row>
    <row r="572" spans="9:12" ht="15.75" customHeight="1" x14ac:dyDescent="0.25">
      <c r="I572" s="146"/>
      <c r="J572" s="11"/>
      <c r="K572" s="11"/>
      <c r="L572" s="12"/>
    </row>
    <row r="573" spans="9:12" ht="15.75" customHeight="1" x14ac:dyDescent="0.25">
      <c r="I573" s="146"/>
      <c r="J573" s="11"/>
      <c r="K573" s="11"/>
      <c r="L573" s="12"/>
    </row>
    <row r="574" spans="9:12" ht="15.75" customHeight="1" x14ac:dyDescent="0.25">
      <c r="I574" s="146"/>
      <c r="J574" s="11"/>
      <c r="K574" s="11"/>
      <c r="L574" s="12"/>
    </row>
    <row r="575" spans="9:12" ht="15.75" customHeight="1" x14ac:dyDescent="0.25">
      <c r="I575" s="146"/>
      <c r="J575" s="11"/>
      <c r="K575" s="11"/>
      <c r="L575" s="12"/>
    </row>
    <row r="576" spans="9:12" ht="15.75" customHeight="1" x14ac:dyDescent="0.25">
      <c r="I576" s="146"/>
      <c r="J576" s="11"/>
      <c r="K576" s="11"/>
      <c r="L576" s="12"/>
    </row>
    <row r="577" spans="9:12" ht="15.75" customHeight="1" x14ac:dyDescent="0.25">
      <c r="I577" s="146"/>
      <c r="J577" s="11"/>
      <c r="K577" s="11"/>
      <c r="L577" s="12"/>
    </row>
    <row r="578" spans="9:12" ht="15.75" customHeight="1" x14ac:dyDescent="0.25">
      <c r="I578" s="146"/>
      <c r="J578" s="11"/>
      <c r="K578" s="11"/>
      <c r="L578" s="12"/>
    </row>
    <row r="579" spans="9:12" ht="15.75" customHeight="1" x14ac:dyDescent="0.25">
      <c r="I579" s="146"/>
      <c r="J579" s="11"/>
      <c r="K579" s="11"/>
      <c r="L579" s="12"/>
    </row>
    <row r="580" spans="9:12" ht="15.75" customHeight="1" x14ac:dyDescent="0.25">
      <c r="I580" s="146"/>
      <c r="J580" s="11"/>
      <c r="K580" s="11"/>
      <c r="L580" s="12"/>
    </row>
    <row r="581" spans="9:12" ht="15.75" customHeight="1" x14ac:dyDescent="0.25">
      <c r="I581" s="146"/>
      <c r="J581" s="11"/>
      <c r="K581" s="11"/>
      <c r="L581" s="12"/>
    </row>
    <row r="582" spans="9:12" ht="15.75" customHeight="1" x14ac:dyDescent="0.25">
      <c r="I582" s="146"/>
      <c r="J582" s="11"/>
      <c r="K582" s="11"/>
      <c r="L582" s="12"/>
    </row>
    <row r="583" spans="9:12" ht="15.75" customHeight="1" x14ac:dyDescent="0.25">
      <c r="I583" s="146"/>
      <c r="J583" s="11"/>
      <c r="K583" s="11"/>
      <c r="L583" s="12"/>
    </row>
    <row r="584" spans="9:12" ht="15.75" customHeight="1" x14ac:dyDescent="0.25">
      <c r="I584" s="146"/>
      <c r="J584" s="11"/>
      <c r="K584" s="11"/>
      <c r="L584" s="12"/>
    </row>
    <row r="585" spans="9:12" ht="15.75" customHeight="1" x14ac:dyDescent="0.25">
      <c r="I585" s="146"/>
      <c r="J585" s="11"/>
      <c r="K585" s="11"/>
      <c r="L585" s="12"/>
    </row>
    <row r="586" spans="9:12" ht="15.75" customHeight="1" x14ac:dyDescent="0.25">
      <c r="I586" s="146"/>
      <c r="J586" s="11"/>
      <c r="K586" s="11"/>
      <c r="L586" s="12"/>
    </row>
    <row r="587" spans="9:12" ht="15.75" customHeight="1" x14ac:dyDescent="0.25">
      <c r="I587" s="146"/>
      <c r="J587" s="11"/>
      <c r="K587" s="11"/>
      <c r="L587" s="12"/>
    </row>
    <row r="588" spans="9:12" ht="15.75" customHeight="1" x14ac:dyDescent="0.25">
      <c r="I588" s="146"/>
      <c r="J588" s="11"/>
      <c r="K588" s="11"/>
      <c r="L588" s="12"/>
    </row>
    <row r="589" spans="9:12" ht="15.75" customHeight="1" x14ac:dyDescent="0.25">
      <c r="I589" s="146"/>
      <c r="J589" s="11"/>
      <c r="K589" s="11"/>
      <c r="L589" s="12"/>
    </row>
    <row r="590" spans="9:12" ht="15.75" customHeight="1" x14ac:dyDescent="0.25">
      <c r="I590" s="146"/>
      <c r="J590" s="11"/>
      <c r="K590" s="11"/>
      <c r="L590" s="12"/>
    </row>
    <row r="591" spans="9:12" ht="15.75" customHeight="1" x14ac:dyDescent="0.25">
      <c r="I591" s="146"/>
      <c r="J591" s="11"/>
      <c r="K591" s="11"/>
      <c r="L591" s="12"/>
    </row>
    <row r="592" spans="9:12" ht="15.75" customHeight="1" x14ac:dyDescent="0.25">
      <c r="I592" s="146"/>
      <c r="J592" s="11"/>
      <c r="K592" s="11"/>
      <c r="L592" s="12"/>
    </row>
    <row r="593" spans="9:12" ht="15.75" customHeight="1" x14ac:dyDescent="0.25">
      <c r="I593" s="146"/>
      <c r="J593" s="11"/>
      <c r="K593" s="11"/>
      <c r="L593" s="12"/>
    </row>
    <row r="594" spans="9:12" ht="15.75" customHeight="1" x14ac:dyDescent="0.25">
      <c r="I594" s="146"/>
      <c r="J594" s="11"/>
      <c r="K594" s="11"/>
      <c r="L594" s="12"/>
    </row>
    <row r="595" spans="9:12" ht="15.75" customHeight="1" x14ac:dyDescent="0.25">
      <c r="I595" s="146"/>
      <c r="J595" s="11"/>
      <c r="K595" s="11"/>
      <c r="L595" s="12"/>
    </row>
    <row r="596" spans="9:12" ht="15.75" customHeight="1" x14ac:dyDescent="0.25">
      <c r="I596" s="146"/>
      <c r="J596" s="11"/>
      <c r="K596" s="11"/>
      <c r="L596" s="12"/>
    </row>
    <row r="597" spans="9:12" ht="15.75" customHeight="1" x14ac:dyDescent="0.25">
      <c r="I597" s="146"/>
      <c r="J597" s="11"/>
      <c r="K597" s="11"/>
      <c r="L597" s="12"/>
    </row>
    <row r="598" spans="9:12" ht="15.75" customHeight="1" x14ac:dyDescent="0.25">
      <c r="I598" s="146"/>
      <c r="J598" s="11"/>
      <c r="K598" s="11"/>
      <c r="L598" s="12"/>
    </row>
    <row r="599" spans="9:12" ht="15.75" customHeight="1" x14ac:dyDescent="0.25">
      <c r="I599" s="146"/>
      <c r="J599" s="11"/>
      <c r="K599" s="11"/>
      <c r="L599" s="12"/>
    </row>
    <row r="600" spans="9:12" ht="15.75" customHeight="1" x14ac:dyDescent="0.25">
      <c r="I600" s="146"/>
      <c r="J600" s="11"/>
      <c r="K600" s="11"/>
      <c r="L600" s="12"/>
    </row>
    <row r="601" spans="9:12" ht="15.75" customHeight="1" x14ac:dyDescent="0.25">
      <c r="I601" s="146"/>
      <c r="J601" s="11"/>
      <c r="K601" s="11"/>
      <c r="L601" s="12"/>
    </row>
    <row r="602" spans="9:12" ht="15.75" customHeight="1" x14ac:dyDescent="0.25">
      <c r="I602" s="146"/>
      <c r="J602" s="11"/>
      <c r="K602" s="11"/>
      <c r="L602" s="12"/>
    </row>
    <row r="603" spans="9:12" ht="15.75" customHeight="1" x14ac:dyDescent="0.25">
      <c r="I603" s="146"/>
      <c r="J603" s="11"/>
      <c r="K603" s="11"/>
      <c r="L603" s="12"/>
    </row>
    <row r="604" spans="9:12" ht="15.75" customHeight="1" x14ac:dyDescent="0.25">
      <c r="I604" s="146"/>
      <c r="J604" s="11"/>
      <c r="K604" s="11"/>
      <c r="L604" s="12"/>
    </row>
    <row r="605" spans="9:12" ht="15.75" customHeight="1" x14ac:dyDescent="0.25">
      <c r="I605" s="146"/>
      <c r="J605" s="11"/>
      <c r="K605" s="11"/>
      <c r="L605" s="12"/>
    </row>
    <row r="606" spans="9:12" ht="15.75" customHeight="1" x14ac:dyDescent="0.25">
      <c r="I606" s="146"/>
      <c r="J606" s="11"/>
      <c r="K606" s="11"/>
      <c r="L606" s="12"/>
    </row>
    <row r="607" spans="9:12" ht="15.75" customHeight="1" x14ac:dyDescent="0.25">
      <c r="I607" s="146"/>
      <c r="J607" s="11"/>
      <c r="K607" s="11"/>
      <c r="L607" s="12"/>
    </row>
    <row r="608" spans="9:12" ht="15.75" customHeight="1" x14ac:dyDescent="0.25">
      <c r="I608" s="146"/>
      <c r="J608" s="11"/>
      <c r="K608" s="11"/>
      <c r="L608" s="12"/>
    </row>
    <row r="609" spans="9:12" ht="15.75" customHeight="1" x14ac:dyDescent="0.25">
      <c r="I609" s="146"/>
      <c r="J609" s="11"/>
      <c r="K609" s="11"/>
      <c r="L609" s="12"/>
    </row>
    <row r="610" spans="9:12" ht="15.75" customHeight="1" x14ac:dyDescent="0.25">
      <c r="I610" s="146"/>
      <c r="J610" s="11"/>
      <c r="K610" s="11"/>
      <c r="L610" s="12"/>
    </row>
    <row r="611" spans="9:12" ht="15.75" customHeight="1" x14ac:dyDescent="0.25">
      <c r="I611" s="146"/>
      <c r="J611" s="11"/>
      <c r="K611" s="11"/>
      <c r="L611" s="12"/>
    </row>
    <row r="612" spans="9:12" ht="15.75" customHeight="1" x14ac:dyDescent="0.25">
      <c r="I612" s="146"/>
      <c r="J612" s="11"/>
      <c r="K612" s="11"/>
      <c r="L612" s="12"/>
    </row>
    <row r="613" spans="9:12" ht="15.75" customHeight="1" x14ac:dyDescent="0.25">
      <c r="I613" s="146"/>
      <c r="J613" s="11"/>
      <c r="K613" s="11"/>
      <c r="L613" s="12"/>
    </row>
    <row r="614" spans="9:12" ht="15.75" customHeight="1" x14ac:dyDescent="0.25">
      <c r="I614" s="146"/>
      <c r="J614" s="11"/>
      <c r="K614" s="11"/>
      <c r="L614" s="12"/>
    </row>
    <row r="615" spans="9:12" ht="15.75" customHeight="1" x14ac:dyDescent="0.25">
      <c r="I615" s="146"/>
      <c r="J615" s="11"/>
      <c r="K615" s="11"/>
      <c r="L615" s="12"/>
    </row>
    <row r="616" spans="9:12" ht="15.75" customHeight="1" x14ac:dyDescent="0.25">
      <c r="I616" s="146"/>
      <c r="J616" s="11"/>
      <c r="K616" s="11"/>
      <c r="L616" s="12"/>
    </row>
    <row r="617" spans="9:12" ht="15.75" customHeight="1" x14ac:dyDescent="0.25">
      <c r="I617" s="146"/>
      <c r="J617" s="11"/>
      <c r="K617" s="11"/>
      <c r="L617" s="12"/>
    </row>
    <row r="618" spans="9:12" ht="15.75" customHeight="1" x14ac:dyDescent="0.25">
      <c r="I618" s="146"/>
      <c r="J618" s="11"/>
      <c r="K618" s="11"/>
      <c r="L618" s="12"/>
    </row>
    <row r="619" spans="9:12" ht="15.75" customHeight="1" x14ac:dyDescent="0.25">
      <c r="I619" s="146"/>
      <c r="J619" s="11"/>
      <c r="K619" s="11"/>
      <c r="L619" s="12"/>
    </row>
    <row r="620" spans="9:12" ht="15.75" customHeight="1" x14ac:dyDescent="0.25">
      <c r="I620" s="146"/>
      <c r="J620" s="11"/>
      <c r="K620" s="11"/>
      <c r="L620" s="12"/>
    </row>
    <row r="621" spans="9:12" ht="15.75" customHeight="1" x14ac:dyDescent="0.25">
      <c r="I621" s="146"/>
      <c r="J621" s="11"/>
      <c r="K621" s="11"/>
      <c r="L621" s="12"/>
    </row>
    <row r="622" spans="9:12" ht="15.75" customHeight="1" x14ac:dyDescent="0.25">
      <c r="I622" s="146"/>
      <c r="J622" s="11"/>
      <c r="K622" s="11"/>
      <c r="L622" s="12"/>
    </row>
    <row r="623" spans="9:12" ht="15.75" customHeight="1" x14ac:dyDescent="0.25">
      <c r="I623" s="146"/>
      <c r="J623" s="11"/>
      <c r="K623" s="11"/>
      <c r="L623" s="12"/>
    </row>
    <row r="624" spans="9:12" ht="15.75" customHeight="1" x14ac:dyDescent="0.25">
      <c r="I624" s="146"/>
      <c r="J624" s="11"/>
      <c r="K624" s="11"/>
      <c r="L624" s="12"/>
    </row>
    <row r="625" spans="9:12" ht="15.75" customHeight="1" x14ac:dyDescent="0.25">
      <c r="I625" s="146"/>
      <c r="J625" s="11"/>
      <c r="K625" s="11"/>
      <c r="L625" s="12"/>
    </row>
    <row r="626" spans="9:12" ht="15.75" customHeight="1" x14ac:dyDescent="0.25">
      <c r="I626" s="146"/>
      <c r="J626" s="11"/>
      <c r="K626" s="11"/>
      <c r="L626" s="12"/>
    </row>
    <row r="627" spans="9:12" ht="15.75" customHeight="1" x14ac:dyDescent="0.25">
      <c r="I627" s="146"/>
      <c r="J627" s="11"/>
      <c r="K627" s="11"/>
      <c r="L627" s="12"/>
    </row>
    <row r="628" spans="9:12" ht="15.75" customHeight="1" x14ac:dyDescent="0.25">
      <c r="I628" s="146"/>
      <c r="J628" s="11"/>
      <c r="K628" s="11"/>
      <c r="L628" s="12"/>
    </row>
    <row r="629" spans="9:12" ht="15.75" customHeight="1" x14ac:dyDescent="0.25">
      <c r="I629" s="146"/>
      <c r="J629" s="11"/>
      <c r="K629" s="11"/>
      <c r="L629" s="12"/>
    </row>
    <row r="630" spans="9:12" ht="15.75" customHeight="1" x14ac:dyDescent="0.25">
      <c r="I630" s="146"/>
      <c r="J630" s="11"/>
      <c r="K630" s="11"/>
      <c r="L630" s="12"/>
    </row>
    <row r="631" spans="9:12" ht="15.75" customHeight="1" x14ac:dyDescent="0.25">
      <c r="I631" s="146"/>
      <c r="J631" s="11"/>
      <c r="K631" s="11"/>
      <c r="L631" s="12"/>
    </row>
    <row r="632" spans="9:12" ht="15.75" customHeight="1" x14ac:dyDescent="0.25">
      <c r="I632" s="146"/>
      <c r="J632" s="11"/>
      <c r="K632" s="11"/>
      <c r="L632" s="12"/>
    </row>
    <row r="633" spans="9:12" ht="15.75" customHeight="1" x14ac:dyDescent="0.25">
      <c r="I633" s="146"/>
      <c r="J633" s="11"/>
      <c r="K633" s="11"/>
      <c r="L633" s="12"/>
    </row>
    <row r="634" spans="9:12" ht="15.75" customHeight="1" x14ac:dyDescent="0.25">
      <c r="I634" s="146"/>
      <c r="J634" s="11"/>
      <c r="K634" s="11"/>
      <c r="L634" s="12"/>
    </row>
    <row r="635" spans="9:12" ht="15.75" customHeight="1" x14ac:dyDescent="0.25">
      <c r="I635" s="146"/>
      <c r="J635" s="11"/>
      <c r="K635" s="11"/>
      <c r="L635" s="12"/>
    </row>
    <row r="636" spans="9:12" ht="15.75" customHeight="1" x14ac:dyDescent="0.25">
      <c r="I636" s="146"/>
      <c r="J636" s="11"/>
      <c r="K636" s="11"/>
      <c r="L636" s="12"/>
    </row>
    <row r="637" spans="9:12" ht="15.75" customHeight="1" x14ac:dyDescent="0.25">
      <c r="I637" s="146"/>
      <c r="J637" s="11"/>
      <c r="K637" s="11"/>
      <c r="L637" s="12"/>
    </row>
    <row r="638" spans="9:12" ht="15.75" customHeight="1" x14ac:dyDescent="0.25">
      <c r="I638" s="146"/>
      <c r="J638" s="11"/>
      <c r="K638" s="11"/>
      <c r="L638" s="12"/>
    </row>
    <row r="639" spans="9:12" ht="15.75" customHeight="1" x14ac:dyDescent="0.25">
      <c r="I639" s="146"/>
      <c r="J639" s="11"/>
      <c r="K639" s="11"/>
      <c r="L639" s="12"/>
    </row>
    <row r="640" spans="9:12" ht="15.75" customHeight="1" x14ac:dyDescent="0.25">
      <c r="I640" s="146"/>
      <c r="J640" s="11"/>
      <c r="K640" s="11"/>
      <c r="L640" s="12"/>
    </row>
    <row r="641" spans="9:12" ht="15.75" customHeight="1" x14ac:dyDescent="0.25">
      <c r="I641" s="146"/>
      <c r="J641" s="11"/>
      <c r="K641" s="11"/>
      <c r="L641" s="12"/>
    </row>
    <row r="642" spans="9:12" ht="15.75" customHeight="1" x14ac:dyDescent="0.25">
      <c r="I642" s="146"/>
      <c r="J642" s="11"/>
      <c r="K642" s="11"/>
      <c r="L642" s="12"/>
    </row>
    <row r="643" spans="9:12" ht="15.75" customHeight="1" x14ac:dyDescent="0.25">
      <c r="I643" s="146"/>
      <c r="J643" s="11"/>
      <c r="K643" s="11"/>
      <c r="L643" s="12"/>
    </row>
    <row r="644" spans="9:12" ht="15.75" customHeight="1" x14ac:dyDescent="0.25">
      <c r="I644" s="146"/>
      <c r="J644" s="11"/>
      <c r="K644" s="11"/>
      <c r="L644" s="12"/>
    </row>
    <row r="645" spans="9:12" ht="15.75" customHeight="1" x14ac:dyDescent="0.25">
      <c r="I645" s="146"/>
      <c r="J645" s="11"/>
      <c r="K645" s="11"/>
      <c r="L645" s="12"/>
    </row>
    <row r="646" spans="9:12" ht="15.75" customHeight="1" x14ac:dyDescent="0.25">
      <c r="I646" s="146"/>
      <c r="J646" s="11"/>
      <c r="K646" s="11"/>
      <c r="L646" s="12"/>
    </row>
    <row r="647" spans="9:12" ht="15.75" customHeight="1" x14ac:dyDescent="0.25">
      <c r="I647" s="146"/>
      <c r="J647" s="11"/>
      <c r="K647" s="11"/>
      <c r="L647" s="12"/>
    </row>
    <row r="648" spans="9:12" ht="15.75" customHeight="1" x14ac:dyDescent="0.25">
      <c r="I648" s="146"/>
      <c r="J648" s="11"/>
      <c r="K648" s="11"/>
      <c r="L648" s="12"/>
    </row>
    <row r="649" spans="9:12" ht="15.75" customHeight="1" x14ac:dyDescent="0.25">
      <c r="I649" s="146"/>
      <c r="J649" s="11"/>
      <c r="K649" s="11"/>
      <c r="L649" s="12"/>
    </row>
    <row r="650" spans="9:12" ht="15.75" customHeight="1" x14ac:dyDescent="0.25">
      <c r="I650" s="146"/>
      <c r="J650" s="11"/>
      <c r="K650" s="11"/>
      <c r="L650" s="12"/>
    </row>
    <row r="651" spans="9:12" ht="15.75" customHeight="1" x14ac:dyDescent="0.25">
      <c r="I651" s="146"/>
      <c r="J651" s="11"/>
      <c r="K651" s="11"/>
      <c r="L651" s="12"/>
    </row>
    <row r="652" spans="9:12" ht="15.75" customHeight="1" x14ac:dyDescent="0.25">
      <c r="I652" s="146"/>
      <c r="J652" s="11"/>
      <c r="K652" s="11"/>
      <c r="L652" s="12"/>
    </row>
    <row r="653" spans="9:12" ht="15.75" customHeight="1" x14ac:dyDescent="0.25">
      <c r="I653" s="146"/>
      <c r="J653" s="11"/>
      <c r="K653" s="11"/>
      <c r="L653" s="12"/>
    </row>
    <row r="654" spans="9:12" ht="15.75" customHeight="1" x14ac:dyDescent="0.25">
      <c r="I654" s="146"/>
      <c r="J654" s="11"/>
      <c r="K654" s="11"/>
      <c r="L654" s="12"/>
    </row>
    <row r="655" spans="9:12" ht="15.75" customHeight="1" x14ac:dyDescent="0.25">
      <c r="I655" s="146"/>
      <c r="J655" s="11"/>
      <c r="K655" s="11"/>
      <c r="L655" s="12"/>
    </row>
    <row r="656" spans="9:12" ht="15.75" customHeight="1" x14ac:dyDescent="0.25">
      <c r="I656" s="146"/>
      <c r="J656" s="11"/>
      <c r="K656" s="11"/>
      <c r="L656" s="12"/>
    </row>
    <row r="657" spans="9:12" ht="15.75" customHeight="1" x14ac:dyDescent="0.25">
      <c r="I657" s="146"/>
      <c r="J657" s="11"/>
      <c r="K657" s="11"/>
      <c r="L657" s="12"/>
    </row>
    <row r="658" spans="9:12" ht="15.75" customHeight="1" x14ac:dyDescent="0.25">
      <c r="I658" s="146"/>
      <c r="J658" s="11"/>
      <c r="K658" s="11"/>
      <c r="L658" s="12"/>
    </row>
    <row r="659" spans="9:12" ht="15.75" customHeight="1" x14ac:dyDescent="0.25">
      <c r="I659" s="146"/>
      <c r="J659" s="11"/>
      <c r="K659" s="11"/>
      <c r="L659" s="12"/>
    </row>
    <row r="660" spans="9:12" ht="15.75" customHeight="1" x14ac:dyDescent="0.25">
      <c r="I660" s="146"/>
      <c r="J660" s="11"/>
      <c r="K660" s="11"/>
      <c r="L660" s="12"/>
    </row>
    <row r="661" spans="9:12" ht="15.75" customHeight="1" x14ac:dyDescent="0.25">
      <c r="I661" s="146"/>
      <c r="J661" s="11"/>
      <c r="K661" s="11"/>
      <c r="L661" s="12"/>
    </row>
    <row r="662" spans="9:12" ht="15.75" customHeight="1" x14ac:dyDescent="0.25">
      <c r="I662" s="146"/>
      <c r="J662" s="11"/>
      <c r="K662" s="11"/>
      <c r="L662" s="12"/>
    </row>
    <row r="663" spans="9:12" ht="15.75" customHeight="1" x14ac:dyDescent="0.25">
      <c r="I663" s="146"/>
      <c r="J663" s="11"/>
      <c r="K663" s="11"/>
      <c r="L663" s="12"/>
    </row>
    <row r="664" spans="9:12" ht="15.75" customHeight="1" x14ac:dyDescent="0.25">
      <c r="I664" s="146"/>
      <c r="J664" s="11"/>
      <c r="K664" s="11"/>
      <c r="L664" s="12"/>
    </row>
    <row r="665" spans="9:12" ht="15.75" customHeight="1" x14ac:dyDescent="0.25">
      <c r="I665" s="146"/>
      <c r="J665" s="11"/>
      <c r="K665" s="11"/>
      <c r="L665" s="12"/>
    </row>
    <row r="666" spans="9:12" ht="15.75" customHeight="1" x14ac:dyDescent="0.25">
      <c r="I666" s="146"/>
      <c r="J666" s="11"/>
      <c r="K666" s="11"/>
      <c r="L666" s="12"/>
    </row>
    <row r="667" spans="9:12" ht="15.75" customHeight="1" x14ac:dyDescent="0.25">
      <c r="I667" s="146"/>
      <c r="J667" s="11"/>
      <c r="K667" s="11"/>
      <c r="L667" s="12"/>
    </row>
    <row r="668" spans="9:12" ht="15.75" customHeight="1" x14ac:dyDescent="0.25">
      <c r="I668" s="146"/>
      <c r="J668" s="11"/>
      <c r="K668" s="11"/>
      <c r="L668" s="12"/>
    </row>
    <row r="669" spans="9:12" ht="15.75" customHeight="1" x14ac:dyDescent="0.25">
      <c r="I669" s="146"/>
      <c r="J669" s="11"/>
      <c r="K669" s="11"/>
      <c r="L669" s="12"/>
    </row>
    <row r="670" spans="9:12" ht="15.75" customHeight="1" x14ac:dyDescent="0.25">
      <c r="I670" s="146"/>
      <c r="J670" s="11"/>
      <c r="K670" s="11"/>
      <c r="L670" s="12"/>
    </row>
    <row r="671" spans="9:12" ht="15.75" customHeight="1" x14ac:dyDescent="0.25">
      <c r="I671" s="146"/>
      <c r="J671" s="11"/>
      <c r="K671" s="11"/>
      <c r="L671" s="12"/>
    </row>
    <row r="672" spans="9:12" ht="15.75" customHeight="1" x14ac:dyDescent="0.25">
      <c r="I672" s="146"/>
      <c r="J672" s="11"/>
      <c r="K672" s="11"/>
      <c r="L672" s="12"/>
    </row>
    <row r="673" spans="9:12" ht="15.75" customHeight="1" x14ac:dyDescent="0.25">
      <c r="I673" s="146"/>
      <c r="J673" s="11"/>
      <c r="K673" s="11"/>
      <c r="L673" s="12"/>
    </row>
    <row r="674" spans="9:12" ht="15.75" customHeight="1" x14ac:dyDescent="0.25">
      <c r="I674" s="146"/>
      <c r="J674" s="11"/>
      <c r="K674" s="11"/>
      <c r="L674" s="12"/>
    </row>
    <row r="675" spans="9:12" ht="15.75" customHeight="1" x14ac:dyDescent="0.25">
      <c r="I675" s="146"/>
      <c r="J675" s="11"/>
      <c r="K675" s="11"/>
      <c r="L675" s="12"/>
    </row>
    <row r="676" spans="9:12" ht="15.75" customHeight="1" x14ac:dyDescent="0.25">
      <c r="I676" s="146"/>
      <c r="J676" s="11"/>
      <c r="K676" s="11"/>
      <c r="L676" s="12"/>
    </row>
    <row r="677" spans="9:12" ht="15.75" customHeight="1" x14ac:dyDescent="0.25">
      <c r="I677" s="146"/>
      <c r="J677" s="11"/>
      <c r="K677" s="11"/>
      <c r="L677" s="12"/>
    </row>
    <row r="678" spans="9:12" ht="15.75" customHeight="1" x14ac:dyDescent="0.25">
      <c r="I678" s="146"/>
      <c r="J678" s="11"/>
      <c r="K678" s="11"/>
      <c r="L678" s="12"/>
    </row>
    <row r="679" spans="9:12" ht="15.75" customHeight="1" x14ac:dyDescent="0.25">
      <c r="I679" s="146"/>
      <c r="J679" s="11"/>
      <c r="K679" s="11"/>
      <c r="L679" s="12"/>
    </row>
    <row r="680" spans="9:12" ht="15.75" customHeight="1" x14ac:dyDescent="0.25">
      <c r="I680" s="146"/>
      <c r="J680" s="11"/>
      <c r="K680" s="11"/>
      <c r="L680" s="12"/>
    </row>
    <row r="681" spans="9:12" ht="15.75" customHeight="1" x14ac:dyDescent="0.25">
      <c r="I681" s="146"/>
      <c r="J681" s="11"/>
      <c r="K681" s="11"/>
      <c r="L681" s="12"/>
    </row>
    <row r="682" spans="9:12" ht="15.75" customHeight="1" x14ac:dyDescent="0.25">
      <c r="I682" s="146"/>
      <c r="J682" s="11"/>
      <c r="K682" s="11"/>
      <c r="L682" s="12"/>
    </row>
    <row r="683" spans="9:12" ht="15.75" customHeight="1" x14ac:dyDescent="0.25">
      <c r="I683" s="146"/>
      <c r="J683" s="11"/>
      <c r="K683" s="11"/>
      <c r="L683" s="12"/>
    </row>
    <row r="684" spans="9:12" ht="15.75" customHeight="1" x14ac:dyDescent="0.25">
      <c r="I684" s="146"/>
      <c r="J684" s="11"/>
      <c r="K684" s="11"/>
      <c r="L684" s="12"/>
    </row>
    <row r="685" spans="9:12" ht="15.75" customHeight="1" x14ac:dyDescent="0.25">
      <c r="I685" s="146"/>
      <c r="J685" s="11"/>
      <c r="K685" s="11"/>
      <c r="L685" s="12"/>
    </row>
    <row r="686" spans="9:12" ht="15.75" customHeight="1" x14ac:dyDescent="0.25">
      <c r="I686" s="146"/>
      <c r="J686" s="11"/>
      <c r="K686" s="11"/>
      <c r="L686" s="12"/>
    </row>
    <row r="687" spans="9:12" ht="15.75" customHeight="1" x14ac:dyDescent="0.25">
      <c r="I687" s="146"/>
      <c r="J687" s="11"/>
      <c r="K687" s="11"/>
      <c r="L687" s="12"/>
    </row>
    <row r="688" spans="9:12" ht="15.75" customHeight="1" x14ac:dyDescent="0.25">
      <c r="I688" s="146"/>
      <c r="J688" s="11"/>
      <c r="K688" s="11"/>
      <c r="L688" s="12"/>
    </row>
    <row r="689" spans="9:12" ht="15.75" customHeight="1" x14ac:dyDescent="0.25">
      <c r="I689" s="146"/>
      <c r="J689" s="11"/>
      <c r="K689" s="11"/>
      <c r="L689" s="12"/>
    </row>
    <row r="690" spans="9:12" ht="15.75" customHeight="1" x14ac:dyDescent="0.25">
      <c r="I690" s="146"/>
      <c r="J690" s="11"/>
      <c r="K690" s="11"/>
      <c r="L690" s="12"/>
    </row>
    <row r="691" spans="9:12" ht="15.75" customHeight="1" x14ac:dyDescent="0.25">
      <c r="I691" s="146"/>
      <c r="J691" s="11"/>
      <c r="K691" s="11"/>
      <c r="L691" s="12"/>
    </row>
    <row r="692" spans="9:12" ht="15.75" customHeight="1" x14ac:dyDescent="0.25">
      <c r="I692" s="146"/>
      <c r="J692" s="11"/>
      <c r="K692" s="11"/>
      <c r="L692" s="12"/>
    </row>
    <row r="693" spans="9:12" ht="15.75" customHeight="1" x14ac:dyDescent="0.25">
      <c r="I693" s="146"/>
      <c r="J693" s="11"/>
      <c r="K693" s="11"/>
      <c r="L693" s="12"/>
    </row>
    <row r="694" spans="9:12" ht="15.75" customHeight="1" x14ac:dyDescent="0.25">
      <c r="I694" s="146"/>
      <c r="J694" s="11"/>
      <c r="K694" s="11"/>
      <c r="L694" s="12"/>
    </row>
    <row r="695" spans="9:12" ht="15.75" customHeight="1" x14ac:dyDescent="0.25">
      <c r="I695" s="146"/>
      <c r="J695" s="11"/>
      <c r="K695" s="11"/>
      <c r="L695" s="12"/>
    </row>
    <row r="696" spans="9:12" ht="15.75" customHeight="1" x14ac:dyDescent="0.25">
      <c r="I696" s="146"/>
      <c r="J696" s="11"/>
      <c r="K696" s="11"/>
      <c r="L696" s="12"/>
    </row>
    <row r="697" spans="9:12" ht="15.75" customHeight="1" x14ac:dyDescent="0.25">
      <c r="I697" s="146"/>
      <c r="J697" s="11"/>
      <c r="K697" s="11"/>
      <c r="L697" s="12"/>
    </row>
    <row r="698" spans="9:12" ht="15.75" customHeight="1" x14ac:dyDescent="0.25">
      <c r="I698" s="146"/>
      <c r="J698" s="11"/>
      <c r="K698" s="11"/>
      <c r="L698" s="12"/>
    </row>
    <row r="699" spans="9:12" ht="15.75" customHeight="1" x14ac:dyDescent="0.25">
      <c r="I699" s="146"/>
      <c r="J699" s="11"/>
      <c r="K699" s="11"/>
      <c r="L699" s="12"/>
    </row>
    <row r="700" spans="9:12" ht="15.75" customHeight="1" x14ac:dyDescent="0.25">
      <c r="I700" s="146"/>
      <c r="J700" s="11"/>
      <c r="K700" s="11"/>
      <c r="L700" s="12"/>
    </row>
    <row r="701" spans="9:12" ht="15.75" customHeight="1" x14ac:dyDescent="0.25">
      <c r="I701" s="146"/>
      <c r="J701" s="11"/>
      <c r="K701" s="11"/>
      <c r="L701" s="12"/>
    </row>
    <row r="702" spans="9:12" ht="15.75" customHeight="1" x14ac:dyDescent="0.25">
      <c r="I702" s="146"/>
      <c r="J702" s="11"/>
      <c r="K702" s="11"/>
      <c r="L702" s="12"/>
    </row>
    <row r="703" spans="9:12" ht="15.75" customHeight="1" x14ac:dyDescent="0.25">
      <c r="I703" s="146"/>
      <c r="J703" s="11"/>
      <c r="K703" s="11"/>
      <c r="L703" s="12"/>
    </row>
    <row r="704" spans="9:12" ht="15.75" customHeight="1" x14ac:dyDescent="0.25">
      <c r="I704" s="146"/>
      <c r="J704" s="11"/>
      <c r="K704" s="11"/>
      <c r="L704" s="12"/>
    </row>
    <row r="705" spans="9:12" ht="15.75" customHeight="1" x14ac:dyDescent="0.25">
      <c r="I705" s="146"/>
      <c r="J705" s="11"/>
      <c r="K705" s="11"/>
      <c r="L705" s="12"/>
    </row>
    <row r="706" spans="9:12" ht="15.75" customHeight="1" x14ac:dyDescent="0.25">
      <c r="I706" s="146"/>
      <c r="J706" s="11"/>
      <c r="K706" s="11"/>
      <c r="L706" s="12"/>
    </row>
    <row r="707" spans="9:12" ht="15.75" customHeight="1" x14ac:dyDescent="0.25">
      <c r="I707" s="146"/>
      <c r="J707" s="11"/>
      <c r="K707" s="11"/>
      <c r="L707" s="12"/>
    </row>
    <row r="708" spans="9:12" ht="15.75" customHeight="1" x14ac:dyDescent="0.25">
      <c r="I708" s="146"/>
      <c r="J708" s="11"/>
      <c r="K708" s="11"/>
      <c r="L708" s="12"/>
    </row>
    <row r="709" spans="9:12" ht="15.75" customHeight="1" x14ac:dyDescent="0.25">
      <c r="I709" s="146"/>
      <c r="J709" s="11"/>
      <c r="K709" s="11"/>
      <c r="L709" s="12"/>
    </row>
    <row r="710" spans="9:12" ht="15.75" customHeight="1" x14ac:dyDescent="0.25">
      <c r="I710" s="146"/>
      <c r="J710" s="11"/>
      <c r="K710" s="11"/>
      <c r="L710" s="12"/>
    </row>
    <row r="711" spans="9:12" ht="15.75" customHeight="1" x14ac:dyDescent="0.25">
      <c r="I711" s="146"/>
      <c r="J711" s="11"/>
      <c r="K711" s="11"/>
      <c r="L711" s="12"/>
    </row>
    <row r="712" spans="9:12" ht="15.75" customHeight="1" x14ac:dyDescent="0.25">
      <c r="I712" s="146"/>
      <c r="J712" s="11"/>
      <c r="K712" s="11"/>
      <c r="L712" s="12"/>
    </row>
    <row r="713" spans="9:12" ht="15.75" customHeight="1" x14ac:dyDescent="0.25">
      <c r="I713" s="146"/>
      <c r="J713" s="11"/>
      <c r="K713" s="11"/>
      <c r="L713" s="12"/>
    </row>
    <row r="714" spans="9:12" ht="15.75" customHeight="1" x14ac:dyDescent="0.25">
      <c r="I714" s="146"/>
      <c r="J714" s="11"/>
      <c r="K714" s="11"/>
      <c r="L714" s="12"/>
    </row>
    <row r="715" spans="9:12" ht="15.75" customHeight="1" x14ac:dyDescent="0.25">
      <c r="I715" s="146"/>
      <c r="J715" s="11"/>
      <c r="K715" s="11"/>
      <c r="L715" s="12"/>
    </row>
    <row r="716" spans="9:12" ht="15.75" customHeight="1" x14ac:dyDescent="0.25">
      <c r="I716" s="146"/>
      <c r="J716" s="11"/>
      <c r="K716" s="11"/>
      <c r="L716" s="12"/>
    </row>
    <row r="717" spans="9:12" ht="15.75" customHeight="1" x14ac:dyDescent="0.25">
      <c r="I717" s="146"/>
      <c r="J717" s="11"/>
      <c r="K717" s="11"/>
      <c r="L717" s="12"/>
    </row>
    <row r="718" spans="9:12" ht="15.75" customHeight="1" x14ac:dyDescent="0.25">
      <c r="I718" s="146"/>
      <c r="J718" s="11"/>
      <c r="K718" s="11"/>
      <c r="L718" s="12"/>
    </row>
    <row r="719" spans="9:12" ht="15.75" customHeight="1" x14ac:dyDescent="0.25">
      <c r="I719" s="146"/>
      <c r="J719" s="11"/>
      <c r="K719" s="11"/>
      <c r="L719" s="12"/>
    </row>
    <row r="720" spans="9:12" ht="15.75" customHeight="1" x14ac:dyDescent="0.25">
      <c r="I720" s="146"/>
      <c r="J720" s="11"/>
      <c r="K720" s="11"/>
      <c r="L720" s="12"/>
    </row>
    <row r="721" spans="9:12" ht="15.75" customHeight="1" x14ac:dyDescent="0.25">
      <c r="I721" s="146"/>
      <c r="J721" s="11"/>
      <c r="K721" s="11"/>
      <c r="L721" s="12"/>
    </row>
    <row r="722" spans="9:12" ht="15.75" customHeight="1" x14ac:dyDescent="0.25">
      <c r="I722" s="146"/>
      <c r="J722" s="11"/>
      <c r="K722" s="11"/>
      <c r="L722" s="12"/>
    </row>
    <row r="723" spans="9:12" ht="15.75" customHeight="1" x14ac:dyDescent="0.25">
      <c r="I723" s="146"/>
      <c r="J723" s="11"/>
      <c r="K723" s="11"/>
      <c r="L723" s="12"/>
    </row>
    <row r="724" spans="9:12" ht="15.75" customHeight="1" x14ac:dyDescent="0.25">
      <c r="I724" s="146"/>
      <c r="J724" s="11"/>
      <c r="K724" s="11"/>
      <c r="L724" s="12"/>
    </row>
    <row r="725" spans="9:12" ht="15.75" customHeight="1" x14ac:dyDescent="0.25">
      <c r="I725" s="146"/>
      <c r="J725" s="11"/>
      <c r="K725" s="11"/>
      <c r="L725" s="12"/>
    </row>
    <row r="726" spans="9:12" ht="15.75" customHeight="1" x14ac:dyDescent="0.25">
      <c r="I726" s="146"/>
      <c r="J726" s="11"/>
      <c r="K726" s="11"/>
      <c r="L726" s="12"/>
    </row>
    <row r="727" spans="9:12" ht="15.75" customHeight="1" x14ac:dyDescent="0.25">
      <c r="I727" s="146"/>
      <c r="J727" s="11"/>
      <c r="K727" s="11"/>
      <c r="L727" s="12"/>
    </row>
    <row r="728" spans="9:12" ht="15.75" customHeight="1" x14ac:dyDescent="0.25">
      <c r="I728" s="146"/>
      <c r="J728" s="11"/>
      <c r="K728" s="11"/>
      <c r="L728" s="12"/>
    </row>
    <row r="729" spans="9:12" ht="15.75" customHeight="1" x14ac:dyDescent="0.25">
      <c r="I729" s="146"/>
      <c r="J729" s="11"/>
      <c r="K729" s="11"/>
      <c r="L729" s="12"/>
    </row>
    <row r="730" spans="9:12" ht="15.75" customHeight="1" x14ac:dyDescent="0.25">
      <c r="I730" s="146"/>
      <c r="J730" s="11"/>
      <c r="K730" s="11"/>
      <c r="L730" s="12"/>
    </row>
    <row r="731" spans="9:12" ht="15.75" customHeight="1" x14ac:dyDescent="0.25">
      <c r="I731" s="146"/>
      <c r="J731" s="11"/>
      <c r="K731" s="11"/>
      <c r="L731" s="12"/>
    </row>
    <row r="732" spans="9:12" ht="15.75" customHeight="1" x14ac:dyDescent="0.25">
      <c r="I732" s="146"/>
      <c r="J732" s="11"/>
      <c r="K732" s="11"/>
      <c r="L732" s="12"/>
    </row>
    <row r="733" spans="9:12" ht="15.75" customHeight="1" x14ac:dyDescent="0.25">
      <c r="I733" s="146"/>
      <c r="J733" s="11"/>
      <c r="K733" s="11"/>
      <c r="L733" s="12"/>
    </row>
    <row r="734" spans="9:12" ht="15.75" customHeight="1" x14ac:dyDescent="0.25">
      <c r="I734" s="146"/>
      <c r="J734" s="11"/>
      <c r="K734" s="11"/>
      <c r="L734" s="12"/>
    </row>
    <row r="735" spans="9:12" ht="15.75" customHeight="1" x14ac:dyDescent="0.25">
      <c r="I735" s="146"/>
      <c r="J735" s="11"/>
      <c r="K735" s="11"/>
      <c r="L735" s="12"/>
    </row>
    <row r="736" spans="9:12" ht="15.75" customHeight="1" x14ac:dyDescent="0.25">
      <c r="I736" s="146"/>
      <c r="J736" s="11"/>
      <c r="K736" s="11"/>
      <c r="L736" s="12"/>
    </row>
    <row r="737" spans="9:12" ht="15.75" customHeight="1" x14ac:dyDescent="0.25">
      <c r="I737" s="146"/>
      <c r="J737" s="11"/>
      <c r="K737" s="11"/>
      <c r="L737" s="12"/>
    </row>
    <row r="738" spans="9:12" ht="15.75" customHeight="1" x14ac:dyDescent="0.25">
      <c r="I738" s="146"/>
      <c r="J738" s="11"/>
      <c r="K738" s="11"/>
      <c r="L738" s="12"/>
    </row>
    <row r="739" spans="9:12" ht="15.75" customHeight="1" x14ac:dyDescent="0.25">
      <c r="I739" s="146"/>
      <c r="J739" s="11"/>
      <c r="K739" s="11"/>
      <c r="L739" s="12"/>
    </row>
    <row r="740" spans="9:12" ht="15.75" customHeight="1" x14ac:dyDescent="0.25">
      <c r="I740" s="146"/>
      <c r="J740" s="11"/>
      <c r="K740" s="11"/>
      <c r="L740" s="12"/>
    </row>
    <row r="741" spans="9:12" ht="15.75" customHeight="1" x14ac:dyDescent="0.25">
      <c r="I741" s="146"/>
      <c r="J741" s="11"/>
      <c r="K741" s="11"/>
      <c r="L741" s="12"/>
    </row>
    <row r="742" spans="9:12" ht="15.75" customHeight="1" x14ac:dyDescent="0.25">
      <c r="I742" s="146"/>
      <c r="J742" s="11"/>
      <c r="K742" s="11"/>
      <c r="L742" s="12"/>
    </row>
    <row r="743" spans="9:12" ht="15.75" customHeight="1" x14ac:dyDescent="0.25">
      <c r="I743" s="146"/>
      <c r="J743" s="11"/>
      <c r="K743" s="11"/>
      <c r="L743" s="12"/>
    </row>
    <row r="744" spans="9:12" ht="15.75" customHeight="1" x14ac:dyDescent="0.25">
      <c r="I744" s="146"/>
      <c r="J744" s="11"/>
      <c r="K744" s="11"/>
      <c r="L744" s="12"/>
    </row>
    <row r="745" spans="9:12" ht="15.75" customHeight="1" x14ac:dyDescent="0.25">
      <c r="I745" s="146"/>
      <c r="J745" s="11"/>
      <c r="K745" s="11"/>
      <c r="L745" s="12"/>
    </row>
    <row r="746" spans="9:12" ht="15.75" customHeight="1" x14ac:dyDescent="0.25">
      <c r="I746" s="146"/>
      <c r="J746" s="11"/>
      <c r="K746" s="11"/>
      <c r="L746" s="12"/>
    </row>
    <row r="747" spans="9:12" ht="15.75" customHeight="1" x14ac:dyDescent="0.25">
      <c r="I747" s="146"/>
      <c r="J747" s="11"/>
      <c r="K747" s="11"/>
      <c r="L747" s="12"/>
    </row>
    <row r="748" spans="9:12" ht="15.75" customHeight="1" x14ac:dyDescent="0.25">
      <c r="I748" s="146"/>
      <c r="J748" s="11"/>
      <c r="K748" s="11"/>
      <c r="L748" s="12"/>
    </row>
    <row r="749" spans="9:12" ht="15.75" customHeight="1" x14ac:dyDescent="0.25">
      <c r="I749" s="146"/>
      <c r="J749" s="11"/>
      <c r="K749" s="11"/>
      <c r="L749" s="12"/>
    </row>
    <row r="750" spans="9:12" ht="15.75" customHeight="1" x14ac:dyDescent="0.25">
      <c r="I750" s="146"/>
      <c r="J750" s="11"/>
      <c r="K750" s="11"/>
      <c r="L750" s="12"/>
    </row>
    <row r="751" spans="9:12" ht="15.75" customHeight="1" x14ac:dyDescent="0.25">
      <c r="I751" s="146"/>
      <c r="J751" s="11"/>
      <c r="K751" s="11"/>
      <c r="L751" s="12"/>
    </row>
    <row r="752" spans="9:12" ht="15.75" customHeight="1" x14ac:dyDescent="0.25">
      <c r="I752" s="146"/>
      <c r="J752" s="11"/>
      <c r="K752" s="11"/>
      <c r="L752" s="12"/>
    </row>
    <row r="753" spans="9:12" ht="15.75" customHeight="1" x14ac:dyDescent="0.25">
      <c r="I753" s="146"/>
      <c r="J753" s="11"/>
      <c r="K753" s="11"/>
      <c r="L753" s="12"/>
    </row>
    <row r="754" spans="9:12" ht="15.75" customHeight="1" x14ac:dyDescent="0.25">
      <c r="I754" s="146"/>
      <c r="J754" s="11"/>
      <c r="K754" s="11"/>
      <c r="L754" s="12"/>
    </row>
    <row r="755" spans="9:12" ht="15.75" customHeight="1" x14ac:dyDescent="0.25">
      <c r="I755" s="146"/>
      <c r="J755" s="11"/>
      <c r="K755" s="11"/>
      <c r="L755" s="12"/>
    </row>
    <row r="756" spans="9:12" ht="15.75" customHeight="1" x14ac:dyDescent="0.25">
      <c r="I756" s="146"/>
      <c r="J756" s="11"/>
      <c r="K756" s="11"/>
      <c r="L756" s="12"/>
    </row>
    <row r="757" spans="9:12" ht="15.75" customHeight="1" x14ac:dyDescent="0.25">
      <c r="I757" s="146"/>
      <c r="J757" s="11"/>
      <c r="K757" s="11"/>
      <c r="L757" s="12"/>
    </row>
    <row r="758" spans="9:12" ht="15.75" customHeight="1" x14ac:dyDescent="0.25">
      <c r="I758" s="146"/>
      <c r="J758" s="11"/>
      <c r="K758" s="11"/>
      <c r="L758" s="12"/>
    </row>
    <row r="759" spans="9:12" ht="15.75" customHeight="1" x14ac:dyDescent="0.25">
      <c r="I759" s="146"/>
      <c r="J759" s="11"/>
      <c r="K759" s="11"/>
      <c r="L759" s="12"/>
    </row>
    <row r="760" spans="9:12" ht="15.75" customHeight="1" x14ac:dyDescent="0.25">
      <c r="I760" s="146"/>
      <c r="J760" s="11"/>
      <c r="K760" s="11"/>
      <c r="L760" s="12"/>
    </row>
    <row r="761" spans="9:12" ht="15.75" customHeight="1" x14ac:dyDescent="0.25">
      <c r="I761" s="146"/>
      <c r="J761" s="11"/>
      <c r="K761" s="11"/>
      <c r="L761" s="12"/>
    </row>
    <row r="762" spans="9:12" ht="15.75" customHeight="1" x14ac:dyDescent="0.25">
      <c r="I762" s="146"/>
      <c r="J762" s="11"/>
      <c r="K762" s="11"/>
      <c r="L762" s="12"/>
    </row>
    <row r="763" spans="9:12" ht="15.75" customHeight="1" x14ac:dyDescent="0.25">
      <c r="I763" s="146"/>
      <c r="J763" s="11"/>
      <c r="K763" s="11"/>
      <c r="L763" s="12"/>
    </row>
    <row r="764" spans="9:12" ht="15.75" customHeight="1" x14ac:dyDescent="0.25">
      <c r="I764" s="146"/>
      <c r="J764" s="11"/>
      <c r="K764" s="11"/>
      <c r="L764" s="12"/>
    </row>
    <row r="765" spans="9:12" ht="15.75" customHeight="1" x14ac:dyDescent="0.25">
      <c r="I765" s="146"/>
      <c r="J765" s="11"/>
      <c r="K765" s="11"/>
      <c r="L765" s="12"/>
    </row>
    <row r="766" spans="9:12" ht="15.75" customHeight="1" x14ac:dyDescent="0.25">
      <c r="I766" s="146"/>
      <c r="J766" s="11"/>
      <c r="K766" s="11"/>
      <c r="L766" s="12"/>
    </row>
    <row r="767" spans="9:12" ht="15.75" customHeight="1" x14ac:dyDescent="0.25">
      <c r="I767" s="146"/>
      <c r="J767" s="11"/>
      <c r="K767" s="11"/>
      <c r="L767" s="12"/>
    </row>
    <row r="768" spans="9:12" ht="15.75" customHeight="1" x14ac:dyDescent="0.25">
      <c r="I768" s="146"/>
      <c r="J768" s="11"/>
      <c r="K768" s="11"/>
      <c r="L768" s="12"/>
    </row>
    <row r="769" spans="9:12" ht="15.75" customHeight="1" x14ac:dyDescent="0.25">
      <c r="I769" s="146"/>
      <c r="J769" s="11"/>
      <c r="K769" s="11"/>
      <c r="L769" s="12"/>
    </row>
    <row r="770" spans="9:12" ht="15.75" customHeight="1" x14ac:dyDescent="0.25">
      <c r="I770" s="146"/>
      <c r="J770" s="11"/>
      <c r="K770" s="11"/>
      <c r="L770" s="12"/>
    </row>
    <row r="771" spans="9:12" ht="15.75" customHeight="1" x14ac:dyDescent="0.25">
      <c r="I771" s="146"/>
      <c r="J771" s="11"/>
      <c r="K771" s="11"/>
      <c r="L771" s="12"/>
    </row>
    <row r="772" spans="9:12" ht="15.75" customHeight="1" x14ac:dyDescent="0.25">
      <c r="I772" s="146"/>
      <c r="J772" s="11"/>
      <c r="K772" s="11"/>
      <c r="L772" s="12"/>
    </row>
    <row r="773" spans="9:12" ht="15.75" customHeight="1" x14ac:dyDescent="0.25">
      <c r="I773" s="146"/>
      <c r="J773" s="11"/>
      <c r="K773" s="11"/>
      <c r="L773" s="12"/>
    </row>
    <row r="774" spans="9:12" ht="15.75" customHeight="1" x14ac:dyDescent="0.25">
      <c r="I774" s="146"/>
      <c r="J774" s="11"/>
      <c r="K774" s="11"/>
      <c r="L774" s="12"/>
    </row>
    <row r="775" spans="9:12" ht="15.75" customHeight="1" x14ac:dyDescent="0.25">
      <c r="I775" s="146"/>
      <c r="J775" s="11"/>
      <c r="K775" s="11"/>
      <c r="L775" s="12"/>
    </row>
    <row r="776" spans="9:12" ht="15.75" customHeight="1" x14ac:dyDescent="0.25">
      <c r="I776" s="146"/>
      <c r="J776" s="11"/>
      <c r="K776" s="11"/>
      <c r="L776" s="12"/>
    </row>
    <row r="777" spans="9:12" ht="15.75" customHeight="1" x14ac:dyDescent="0.25">
      <c r="I777" s="146"/>
      <c r="J777" s="11"/>
      <c r="K777" s="11"/>
      <c r="L777" s="12"/>
    </row>
    <row r="778" spans="9:12" ht="15.75" customHeight="1" x14ac:dyDescent="0.25">
      <c r="I778" s="146"/>
      <c r="J778" s="11"/>
      <c r="K778" s="11"/>
      <c r="L778" s="12"/>
    </row>
    <row r="779" spans="9:12" ht="15.75" customHeight="1" x14ac:dyDescent="0.25">
      <c r="I779" s="146"/>
      <c r="J779" s="11"/>
      <c r="K779" s="11"/>
      <c r="L779" s="12"/>
    </row>
    <row r="780" spans="9:12" ht="15.75" customHeight="1" x14ac:dyDescent="0.25">
      <c r="I780" s="146"/>
      <c r="J780" s="11"/>
      <c r="K780" s="11"/>
      <c r="L780" s="12"/>
    </row>
    <row r="781" spans="9:12" ht="15.75" customHeight="1" x14ac:dyDescent="0.25">
      <c r="I781" s="146"/>
      <c r="J781" s="11"/>
      <c r="K781" s="11"/>
      <c r="L781" s="12"/>
    </row>
    <row r="782" spans="9:12" ht="15.75" customHeight="1" x14ac:dyDescent="0.25">
      <c r="I782" s="146"/>
      <c r="J782" s="11"/>
      <c r="K782" s="11"/>
      <c r="L782" s="12"/>
    </row>
    <row r="783" spans="9:12" ht="15.75" customHeight="1" x14ac:dyDescent="0.25">
      <c r="I783" s="146"/>
      <c r="J783" s="11"/>
      <c r="K783" s="11"/>
      <c r="L783" s="12"/>
    </row>
    <row r="784" spans="9:12" ht="15.75" customHeight="1" x14ac:dyDescent="0.25">
      <c r="I784" s="146"/>
      <c r="J784" s="11"/>
      <c r="K784" s="11"/>
      <c r="L784" s="12"/>
    </row>
    <row r="785" spans="9:12" ht="15.75" customHeight="1" x14ac:dyDescent="0.25">
      <c r="I785" s="146"/>
      <c r="J785" s="11"/>
      <c r="K785" s="11"/>
      <c r="L785" s="12"/>
    </row>
    <row r="786" spans="9:12" ht="15.75" customHeight="1" x14ac:dyDescent="0.25">
      <c r="I786" s="146"/>
      <c r="J786" s="11"/>
      <c r="K786" s="11"/>
      <c r="L786" s="12"/>
    </row>
    <row r="787" spans="9:12" ht="15.75" customHeight="1" x14ac:dyDescent="0.25">
      <c r="I787" s="146"/>
      <c r="J787" s="11"/>
      <c r="K787" s="11"/>
      <c r="L787" s="12"/>
    </row>
    <row r="788" spans="9:12" ht="15.75" customHeight="1" x14ac:dyDescent="0.25">
      <c r="I788" s="146"/>
      <c r="J788" s="11"/>
      <c r="K788" s="11"/>
      <c r="L788" s="12"/>
    </row>
    <row r="789" spans="9:12" ht="15.75" customHeight="1" x14ac:dyDescent="0.25">
      <c r="I789" s="146"/>
      <c r="J789" s="11"/>
      <c r="K789" s="11"/>
      <c r="L789" s="12"/>
    </row>
    <row r="790" spans="9:12" ht="15.75" customHeight="1" x14ac:dyDescent="0.25">
      <c r="I790" s="146"/>
      <c r="J790" s="11"/>
      <c r="K790" s="11"/>
      <c r="L790" s="12"/>
    </row>
    <row r="791" spans="9:12" ht="15.75" customHeight="1" x14ac:dyDescent="0.25">
      <c r="I791" s="146"/>
      <c r="J791" s="11"/>
      <c r="K791" s="11"/>
      <c r="L791" s="12"/>
    </row>
    <row r="792" spans="9:12" ht="15.75" customHeight="1" x14ac:dyDescent="0.25">
      <c r="I792" s="146"/>
      <c r="J792" s="11"/>
      <c r="K792" s="11"/>
      <c r="L792" s="12"/>
    </row>
    <row r="793" spans="9:12" ht="15.75" customHeight="1" x14ac:dyDescent="0.25">
      <c r="I793" s="146"/>
      <c r="J793" s="11"/>
      <c r="K793" s="11"/>
      <c r="L793" s="12"/>
    </row>
    <row r="794" spans="9:12" ht="15.75" customHeight="1" x14ac:dyDescent="0.25">
      <c r="I794" s="146"/>
      <c r="J794" s="11"/>
      <c r="K794" s="11"/>
      <c r="L794" s="12"/>
    </row>
    <row r="795" spans="9:12" ht="15.75" customHeight="1" x14ac:dyDescent="0.25">
      <c r="I795" s="146"/>
      <c r="J795" s="11"/>
      <c r="K795" s="11"/>
      <c r="L795" s="12"/>
    </row>
    <row r="796" spans="9:12" ht="15.75" customHeight="1" x14ac:dyDescent="0.25">
      <c r="I796" s="146"/>
      <c r="J796" s="11"/>
      <c r="K796" s="11"/>
      <c r="L796" s="12"/>
    </row>
    <row r="797" spans="9:12" ht="15.75" customHeight="1" x14ac:dyDescent="0.25">
      <c r="I797" s="146"/>
      <c r="J797" s="11"/>
      <c r="K797" s="11"/>
      <c r="L797" s="12"/>
    </row>
    <row r="798" spans="9:12" ht="15.75" customHeight="1" x14ac:dyDescent="0.25">
      <c r="I798" s="146"/>
      <c r="J798" s="11"/>
      <c r="K798" s="11"/>
      <c r="L798" s="12"/>
    </row>
    <row r="799" spans="9:12" ht="15.75" customHeight="1" x14ac:dyDescent="0.25">
      <c r="I799" s="146"/>
      <c r="J799" s="11"/>
      <c r="K799" s="11"/>
      <c r="L799" s="12"/>
    </row>
    <row r="800" spans="9:12" ht="15.75" customHeight="1" x14ac:dyDescent="0.25">
      <c r="I800" s="146"/>
      <c r="J800" s="11"/>
      <c r="K800" s="11"/>
      <c r="L800" s="12"/>
    </row>
    <row r="801" spans="9:12" ht="15.75" customHeight="1" x14ac:dyDescent="0.25">
      <c r="I801" s="146"/>
      <c r="J801" s="11"/>
      <c r="K801" s="11"/>
      <c r="L801" s="12"/>
    </row>
    <row r="802" spans="9:12" ht="15.75" customHeight="1" x14ac:dyDescent="0.25">
      <c r="I802" s="146"/>
      <c r="J802" s="11"/>
      <c r="K802" s="11"/>
      <c r="L802" s="12"/>
    </row>
    <row r="803" spans="9:12" ht="15.75" customHeight="1" x14ac:dyDescent="0.25">
      <c r="I803" s="146"/>
      <c r="J803" s="11"/>
      <c r="K803" s="11"/>
      <c r="L803" s="12"/>
    </row>
    <row r="804" spans="9:12" ht="15.75" customHeight="1" x14ac:dyDescent="0.25">
      <c r="I804" s="146"/>
      <c r="J804" s="11"/>
      <c r="K804" s="11"/>
      <c r="L804" s="12"/>
    </row>
    <row r="805" spans="9:12" ht="15.75" customHeight="1" x14ac:dyDescent="0.25">
      <c r="I805" s="146"/>
      <c r="J805" s="11"/>
      <c r="K805" s="11"/>
      <c r="L805" s="12"/>
    </row>
    <row r="806" spans="9:12" ht="15.75" customHeight="1" x14ac:dyDescent="0.25">
      <c r="I806" s="146"/>
      <c r="J806" s="11"/>
      <c r="K806" s="11"/>
      <c r="L806" s="12"/>
    </row>
    <row r="807" spans="9:12" ht="15.75" customHeight="1" x14ac:dyDescent="0.25">
      <c r="I807" s="146"/>
      <c r="J807" s="11"/>
      <c r="K807" s="11"/>
      <c r="L807" s="12"/>
    </row>
    <row r="808" spans="9:12" ht="15.75" customHeight="1" x14ac:dyDescent="0.25">
      <c r="I808" s="146"/>
      <c r="J808" s="11"/>
      <c r="K808" s="11"/>
      <c r="L808" s="12"/>
    </row>
    <row r="809" spans="9:12" ht="15.75" customHeight="1" x14ac:dyDescent="0.25">
      <c r="I809" s="146"/>
      <c r="J809" s="11"/>
      <c r="K809" s="11"/>
      <c r="L809" s="12"/>
    </row>
    <row r="810" spans="9:12" ht="15.75" customHeight="1" x14ac:dyDescent="0.25">
      <c r="I810" s="146"/>
      <c r="J810" s="11"/>
      <c r="K810" s="11"/>
      <c r="L810" s="12"/>
    </row>
    <row r="811" spans="9:12" ht="15.75" customHeight="1" x14ac:dyDescent="0.25">
      <c r="I811" s="146"/>
      <c r="J811" s="11"/>
      <c r="K811" s="11"/>
      <c r="L811" s="12"/>
    </row>
    <row r="812" spans="9:12" ht="15.75" customHeight="1" x14ac:dyDescent="0.25">
      <c r="I812" s="146"/>
      <c r="J812" s="11"/>
      <c r="K812" s="11"/>
      <c r="L812" s="12"/>
    </row>
    <row r="813" spans="9:12" ht="15.75" customHeight="1" x14ac:dyDescent="0.25">
      <c r="I813" s="146"/>
      <c r="J813" s="11"/>
      <c r="K813" s="11"/>
      <c r="L813" s="12"/>
    </row>
    <row r="814" spans="9:12" ht="15.75" customHeight="1" x14ac:dyDescent="0.25">
      <c r="I814" s="146"/>
      <c r="J814" s="11"/>
      <c r="K814" s="11"/>
      <c r="L814" s="12"/>
    </row>
    <row r="815" spans="9:12" ht="15.75" customHeight="1" x14ac:dyDescent="0.25">
      <c r="I815" s="146"/>
      <c r="J815" s="11"/>
      <c r="K815" s="11"/>
      <c r="L815" s="12"/>
    </row>
    <row r="816" spans="9:12" ht="15.75" customHeight="1" x14ac:dyDescent="0.25">
      <c r="I816" s="146"/>
      <c r="J816" s="11"/>
      <c r="K816" s="11"/>
      <c r="L816" s="12"/>
    </row>
    <row r="817" spans="9:12" ht="15.75" customHeight="1" x14ac:dyDescent="0.25">
      <c r="I817" s="146"/>
      <c r="J817" s="11"/>
      <c r="K817" s="11"/>
      <c r="L817" s="12"/>
    </row>
    <row r="818" spans="9:12" ht="15.75" customHeight="1" x14ac:dyDescent="0.25">
      <c r="I818" s="146"/>
      <c r="J818" s="11"/>
      <c r="K818" s="11"/>
      <c r="L818" s="12"/>
    </row>
    <row r="819" spans="9:12" ht="15.75" customHeight="1" x14ac:dyDescent="0.25">
      <c r="I819" s="146"/>
      <c r="J819" s="11"/>
      <c r="K819" s="11"/>
      <c r="L819" s="12"/>
    </row>
    <row r="820" spans="9:12" ht="15.75" customHeight="1" x14ac:dyDescent="0.25">
      <c r="I820" s="146"/>
      <c r="J820" s="11"/>
      <c r="K820" s="11"/>
      <c r="L820" s="12"/>
    </row>
    <row r="821" spans="9:12" ht="15.75" customHeight="1" x14ac:dyDescent="0.25">
      <c r="I821" s="146"/>
      <c r="J821" s="11"/>
      <c r="K821" s="11"/>
      <c r="L821" s="12"/>
    </row>
    <row r="822" spans="9:12" ht="15.75" customHeight="1" x14ac:dyDescent="0.25">
      <c r="I822" s="146"/>
      <c r="J822" s="11"/>
      <c r="K822" s="11"/>
      <c r="L822" s="12"/>
    </row>
    <row r="823" spans="9:12" ht="15.75" customHeight="1" x14ac:dyDescent="0.25">
      <c r="I823" s="146"/>
      <c r="J823" s="11"/>
      <c r="K823" s="11"/>
      <c r="L823" s="12"/>
    </row>
    <row r="824" spans="9:12" ht="15.75" customHeight="1" x14ac:dyDescent="0.25">
      <c r="I824" s="146"/>
      <c r="J824" s="11"/>
      <c r="K824" s="11"/>
      <c r="L824" s="12"/>
    </row>
    <row r="825" spans="9:12" ht="15.75" customHeight="1" x14ac:dyDescent="0.25">
      <c r="I825" s="146"/>
      <c r="J825" s="11"/>
      <c r="K825" s="11"/>
      <c r="L825" s="12"/>
    </row>
    <row r="826" spans="9:12" ht="15.75" customHeight="1" x14ac:dyDescent="0.25">
      <c r="I826" s="146"/>
      <c r="J826" s="11"/>
      <c r="K826" s="11"/>
      <c r="L826" s="12"/>
    </row>
    <row r="827" spans="9:12" ht="15.75" customHeight="1" x14ac:dyDescent="0.25">
      <c r="I827" s="146"/>
      <c r="J827" s="11"/>
      <c r="K827" s="11"/>
      <c r="L827" s="12"/>
    </row>
    <row r="828" spans="9:12" ht="15.75" customHeight="1" x14ac:dyDescent="0.25">
      <c r="I828" s="146"/>
      <c r="J828" s="11"/>
      <c r="K828" s="11"/>
      <c r="L828" s="12"/>
    </row>
    <row r="829" spans="9:12" ht="15.75" customHeight="1" x14ac:dyDescent="0.25">
      <c r="I829" s="146"/>
      <c r="J829" s="11"/>
      <c r="K829" s="11"/>
      <c r="L829" s="12"/>
    </row>
    <row r="830" spans="9:12" ht="15.75" customHeight="1" x14ac:dyDescent="0.25">
      <c r="I830" s="146"/>
      <c r="J830" s="11"/>
      <c r="K830" s="11"/>
      <c r="L830" s="12"/>
    </row>
    <row r="831" spans="9:12" ht="15.75" customHeight="1" x14ac:dyDescent="0.25">
      <c r="I831" s="146"/>
      <c r="J831" s="11"/>
      <c r="K831" s="11"/>
      <c r="L831" s="12"/>
    </row>
    <row r="832" spans="9:12" ht="15.75" customHeight="1" x14ac:dyDescent="0.25">
      <c r="I832" s="146"/>
      <c r="J832" s="11"/>
      <c r="K832" s="11"/>
      <c r="L832" s="12"/>
    </row>
    <row r="833" spans="9:12" ht="15.75" customHeight="1" x14ac:dyDescent="0.25">
      <c r="I833" s="146"/>
      <c r="J833" s="11"/>
      <c r="K833" s="11"/>
      <c r="L833" s="12"/>
    </row>
    <row r="834" spans="9:12" ht="15.75" customHeight="1" x14ac:dyDescent="0.25">
      <c r="I834" s="146"/>
      <c r="J834" s="11"/>
      <c r="K834" s="11"/>
      <c r="L834" s="12"/>
    </row>
    <row r="835" spans="9:12" ht="15.75" customHeight="1" x14ac:dyDescent="0.25">
      <c r="I835" s="146"/>
      <c r="J835" s="11"/>
      <c r="K835" s="11"/>
      <c r="L835" s="12"/>
    </row>
    <row r="836" spans="9:12" ht="15.75" customHeight="1" x14ac:dyDescent="0.25">
      <c r="I836" s="146"/>
      <c r="J836" s="11"/>
      <c r="K836" s="11"/>
      <c r="L836" s="12"/>
    </row>
    <row r="837" spans="9:12" ht="15.75" customHeight="1" x14ac:dyDescent="0.25">
      <c r="I837" s="146"/>
      <c r="J837" s="11"/>
      <c r="K837" s="11"/>
      <c r="L837" s="12"/>
    </row>
    <row r="838" spans="9:12" ht="15.75" customHeight="1" x14ac:dyDescent="0.25">
      <c r="I838" s="146"/>
      <c r="J838" s="11"/>
      <c r="K838" s="11"/>
      <c r="L838" s="12"/>
    </row>
    <row r="839" spans="9:12" ht="15.75" customHeight="1" x14ac:dyDescent="0.25">
      <c r="I839" s="146"/>
      <c r="J839" s="11"/>
      <c r="K839" s="11"/>
      <c r="L839" s="12"/>
    </row>
    <row r="840" spans="9:12" ht="15.75" customHeight="1" x14ac:dyDescent="0.25">
      <c r="I840" s="146"/>
      <c r="J840" s="11"/>
      <c r="K840" s="11"/>
      <c r="L840" s="12"/>
    </row>
    <row r="841" spans="9:12" ht="15.75" customHeight="1" x14ac:dyDescent="0.25">
      <c r="I841" s="146"/>
      <c r="J841" s="11"/>
      <c r="K841" s="11"/>
      <c r="L841" s="12"/>
    </row>
    <row r="842" spans="9:12" ht="15.75" customHeight="1" x14ac:dyDescent="0.25">
      <c r="I842" s="146"/>
      <c r="J842" s="11"/>
      <c r="K842" s="11"/>
      <c r="L842" s="12"/>
    </row>
    <row r="843" spans="9:12" ht="15.75" customHeight="1" x14ac:dyDescent="0.25">
      <c r="I843" s="146"/>
      <c r="J843" s="11"/>
      <c r="K843" s="11"/>
      <c r="L843" s="12"/>
    </row>
    <row r="844" spans="9:12" ht="15.75" customHeight="1" x14ac:dyDescent="0.25">
      <c r="I844" s="146"/>
      <c r="J844" s="11"/>
      <c r="K844" s="11"/>
      <c r="L844" s="12"/>
    </row>
    <row r="845" spans="9:12" ht="15.75" customHeight="1" x14ac:dyDescent="0.25">
      <c r="I845" s="146"/>
      <c r="J845" s="11"/>
      <c r="K845" s="11"/>
      <c r="L845" s="12"/>
    </row>
    <row r="846" spans="9:12" ht="15.75" customHeight="1" x14ac:dyDescent="0.25">
      <c r="I846" s="146"/>
      <c r="J846" s="11"/>
      <c r="K846" s="11"/>
      <c r="L846" s="12"/>
    </row>
    <row r="847" spans="9:12" ht="15.75" customHeight="1" x14ac:dyDescent="0.25">
      <c r="I847" s="146"/>
      <c r="J847" s="11"/>
      <c r="K847" s="11"/>
      <c r="L847" s="12"/>
    </row>
    <row r="848" spans="9:12" ht="15.75" customHeight="1" x14ac:dyDescent="0.25">
      <c r="I848" s="146"/>
      <c r="J848" s="11"/>
      <c r="K848" s="11"/>
      <c r="L848" s="12"/>
    </row>
    <row r="849" spans="9:12" ht="15.75" customHeight="1" x14ac:dyDescent="0.25">
      <c r="I849" s="146"/>
      <c r="J849" s="11"/>
      <c r="K849" s="11"/>
      <c r="L849" s="12"/>
    </row>
    <row r="850" spans="9:12" ht="15.75" customHeight="1" x14ac:dyDescent="0.25">
      <c r="I850" s="146"/>
      <c r="J850" s="11"/>
      <c r="K850" s="11"/>
      <c r="L850" s="12"/>
    </row>
    <row r="851" spans="9:12" ht="15.75" customHeight="1" x14ac:dyDescent="0.25">
      <c r="I851" s="146"/>
      <c r="J851" s="11"/>
      <c r="K851" s="11"/>
      <c r="L851" s="12"/>
    </row>
    <row r="852" spans="9:12" ht="15.75" customHeight="1" x14ac:dyDescent="0.25">
      <c r="I852" s="146"/>
      <c r="J852" s="11"/>
      <c r="K852" s="11"/>
      <c r="L852" s="12"/>
    </row>
    <row r="853" spans="9:12" ht="15.75" customHeight="1" x14ac:dyDescent="0.25">
      <c r="I853" s="146"/>
      <c r="J853" s="11"/>
      <c r="K853" s="11"/>
      <c r="L853" s="12"/>
    </row>
    <row r="854" spans="9:12" ht="15.75" customHeight="1" x14ac:dyDescent="0.25">
      <c r="I854" s="146"/>
      <c r="J854" s="11"/>
      <c r="K854" s="11"/>
      <c r="L854" s="12"/>
    </row>
    <row r="855" spans="9:12" ht="15.75" customHeight="1" x14ac:dyDescent="0.25">
      <c r="I855" s="146"/>
      <c r="J855" s="11"/>
      <c r="K855" s="11"/>
      <c r="L855" s="12"/>
    </row>
    <row r="856" spans="9:12" ht="15.75" customHeight="1" x14ac:dyDescent="0.25">
      <c r="I856" s="146"/>
      <c r="J856" s="11"/>
      <c r="K856" s="11"/>
      <c r="L856" s="12"/>
    </row>
    <row r="857" spans="9:12" ht="15.75" customHeight="1" x14ac:dyDescent="0.25">
      <c r="I857" s="146"/>
      <c r="J857" s="11"/>
      <c r="K857" s="11"/>
      <c r="L857" s="12"/>
    </row>
    <row r="858" spans="9:12" ht="15.75" customHeight="1" x14ac:dyDescent="0.25">
      <c r="I858" s="146"/>
      <c r="J858" s="11"/>
      <c r="K858" s="11"/>
      <c r="L858" s="12"/>
    </row>
    <row r="859" spans="9:12" ht="15.75" customHeight="1" x14ac:dyDescent="0.25">
      <c r="I859" s="146"/>
      <c r="J859" s="11"/>
      <c r="K859" s="11"/>
      <c r="L859" s="12"/>
    </row>
    <row r="860" spans="9:12" ht="15.75" customHeight="1" x14ac:dyDescent="0.25">
      <c r="I860" s="146"/>
      <c r="J860" s="11"/>
      <c r="K860" s="11"/>
      <c r="L860" s="12"/>
    </row>
    <row r="861" spans="9:12" ht="15.75" customHeight="1" x14ac:dyDescent="0.25">
      <c r="I861" s="146"/>
      <c r="J861" s="11"/>
      <c r="K861" s="11"/>
      <c r="L861" s="12"/>
    </row>
    <row r="862" spans="9:12" ht="15.75" customHeight="1" x14ac:dyDescent="0.25">
      <c r="I862" s="146"/>
      <c r="J862" s="11"/>
      <c r="K862" s="11"/>
      <c r="L862" s="12"/>
    </row>
    <row r="863" spans="9:12" ht="15.75" customHeight="1" x14ac:dyDescent="0.25">
      <c r="I863" s="146"/>
      <c r="J863" s="11"/>
      <c r="K863" s="11"/>
      <c r="L863" s="12"/>
    </row>
    <row r="864" spans="9:12" ht="15.75" customHeight="1" x14ac:dyDescent="0.25">
      <c r="I864" s="146"/>
      <c r="J864" s="11"/>
      <c r="K864" s="11"/>
      <c r="L864" s="12"/>
    </row>
    <row r="865" spans="9:12" ht="15.75" customHeight="1" x14ac:dyDescent="0.25">
      <c r="I865" s="146"/>
      <c r="J865" s="11"/>
      <c r="K865" s="11"/>
      <c r="L865" s="12"/>
    </row>
    <row r="866" spans="9:12" ht="15.75" customHeight="1" x14ac:dyDescent="0.25">
      <c r="I866" s="146"/>
      <c r="J866" s="11"/>
      <c r="K866" s="11"/>
      <c r="L866" s="12"/>
    </row>
    <row r="867" spans="9:12" ht="15.75" customHeight="1" x14ac:dyDescent="0.25">
      <c r="I867" s="146"/>
      <c r="J867" s="11"/>
      <c r="K867" s="11"/>
      <c r="L867" s="12"/>
    </row>
    <row r="868" spans="9:12" ht="15.75" customHeight="1" x14ac:dyDescent="0.25">
      <c r="I868" s="146"/>
      <c r="J868" s="11"/>
      <c r="K868" s="11"/>
      <c r="L868" s="12"/>
    </row>
    <row r="869" spans="9:12" ht="15.75" customHeight="1" x14ac:dyDescent="0.25">
      <c r="I869" s="146"/>
      <c r="J869" s="11"/>
      <c r="K869" s="11"/>
      <c r="L869" s="12"/>
    </row>
    <row r="870" spans="9:12" ht="15.75" customHeight="1" x14ac:dyDescent="0.25">
      <c r="I870" s="146"/>
      <c r="J870" s="11"/>
      <c r="K870" s="11"/>
      <c r="L870" s="12"/>
    </row>
    <row r="871" spans="9:12" ht="15.75" customHeight="1" x14ac:dyDescent="0.25">
      <c r="I871" s="146"/>
      <c r="J871" s="11"/>
      <c r="K871" s="11"/>
      <c r="L871" s="12"/>
    </row>
    <row r="872" spans="9:12" ht="15.75" customHeight="1" x14ac:dyDescent="0.25">
      <c r="I872" s="146"/>
      <c r="J872" s="11"/>
      <c r="K872" s="11"/>
      <c r="L872" s="12"/>
    </row>
    <row r="873" spans="9:12" ht="15.75" customHeight="1" x14ac:dyDescent="0.25">
      <c r="I873" s="146"/>
      <c r="J873" s="11"/>
      <c r="K873" s="11"/>
      <c r="L873" s="12"/>
    </row>
    <row r="874" spans="9:12" ht="15.75" customHeight="1" x14ac:dyDescent="0.25">
      <c r="I874" s="146"/>
      <c r="J874" s="11"/>
      <c r="K874" s="11"/>
      <c r="L874" s="12"/>
    </row>
    <row r="875" spans="9:12" ht="15.75" customHeight="1" x14ac:dyDescent="0.25">
      <c r="I875" s="146"/>
      <c r="J875" s="11"/>
      <c r="K875" s="11"/>
      <c r="L875" s="12"/>
    </row>
    <row r="876" spans="9:12" ht="15.75" customHeight="1" x14ac:dyDescent="0.25">
      <c r="I876" s="146"/>
      <c r="J876" s="11"/>
      <c r="K876" s="11"/>
      <c r="L876" s="12"/>
    </row>
    <row r="877" spans="9:12" ht="15.75" customHeight="1" x14ac:dyDescent="0.25">
      <c r="I877" s="146"/>
      <c r="J877" s="11"/>
      <c r="K877" s="11"/>
      <c r="L877" s="12"/>
    </row>
    <row r="878" spans="9:12" ht="15.75" customHeight="1" x14ac:dyDescent="0.25">
      <c r="I878" s="146"/>
      <c r="J878" s="11"/>
      <c r="K878" s="11"/>
      <c r="L878" s="12"/>
    </row>
    <row r="879" spans="9:12" ht="15.75" customHeight="1" x14ac:dyDescent="0.25">
      <c r="I879" s="146"/>
      <c r="J879" s="11"/>
      <c r="K879" s="11"/>
      <c r="L879" s="12"/>
    </row>
    <row r="880" spans="9:12" ht="15.75" customHeight="1" x14ac:dyDescent="0.25">
      <c r="I880" s="146"/>
      <c r="J880" s="11"/>
      <c r="K880" s="11"/>
      <c r="L880" s="12"/>
    </row>
    <row r="881" spans="9:12" ht="15.75" customHeight="1" x14ac:dyDescent="0.25">
      <c r="I881" s="146"/>
      <c r="J881" s="11"/>
      <c r="K881" s="11"/>
      <c r="L881" s="12"/>
    </row>
    <row r="882" spans="9:12" ht="15.75" customHeight="1" x14ac:dyDescent="0.25">
      <c r="I882" s="146"/>
      <c r="J882" s="11"/>
      <c r="K882" s="11"/>
      <c r="L882" s="12"/>
    </row>
    <row r="883" spans="9:12" ht="15.75" customHeight="1" x14ac:dyDescent="0.25">
      <c r="I883" s="146"/>
      <c r="J883" s="11"/>
      <c r="K883" s="11"/>
      <c r="L883" s="12"/>
    </row>
    <row r="884" spans="9:12" ht="15.75" customHeight="1" x14ac:dyDescent="0.25">
      <c r="I884" s="146"/>
      <c r="J884" s="11"/>
      <c r="K884" s="11"/>
      <c r="L884" s="12"/>
    </row>
    <row r="885" spans="9:12" ht="15.75" customHeight="1" x14ac:dyDescent="0.25">
      <c r="I885" s="146"/>
      <c r="J885" s="11"/>
      <c r="K885" s="11"/>
      <c r="L885" s="12"/>
    </row>
    <row r="886" spans="9:12" ht="15.75" customHeight="1" x14ac:dyDescent="0.25">
      <c r="I886" s="146"/>
      <c r="J886" s="11"/>
      <c r="K886" s="11"/>
      <c r="L886" s="12"/>
    </row>
    <row r="887" spans="9:12" ht="15.75" customHeight="1" x14ac:dyDescent="0.25">
      <c r="I887" s="146"/>
      <c r="J887" s="11"/>
      <c r="K887" s="11"/>
      <c r="L887" s="12"/>
    </row>
    <row r="888" spans="9:12" ht="15.75" customHeight="1" x14ac:dyDescent="0.25">
      <c r="I888" s="146"/>
      <c r="J888" s="11"/>
      <c r="K888" s="11"/>
      <c r="L888" s="12"/>
    </row>
    <row r="889" spans="9:12" ht="15.75" customHeight="1" x14ac:dyDescent="0.25">
      <c r="I889" s="146"/>
      <c r="J889" s="11"/>
      <c r="K889" s="11"/>
      <c r="L889" s="12"/>
    </row>
    <row r="890" spans="9:12" ht="15.75" customHeight="1" x14ac:dyDescent="0.25">
      <c r="I890" s="146"/>
      <c r="J890" s="11"/>
      <c r="K890" s="11"/>
      <c r="L890" s="12"/>
    </row>
    <row r="891" spans="9:12" ht="15.75" customHeight="1" x14ac:dyDescent="0.25">
      <c r="I891" s="146"/>
      <c r="J891" s="11"/>
      <c r="K891" s="11"/>
      <c r="L891" s="12"/>
    </row>
    <row r="892" spans="9:12" ht="15.75" customHeight="1" x14ac:dyDescent="0.25">
      <c r="I892" s="146"/>
      <c r="J892" s="11"/>
      <c r="K892" s="11"/>
      <c r="L892" s="12"/>
    </row>
    <row r="893" spans="9:12" ht="15.75" customHeight="1" x14ac:dyDescent="0.25">
      <c r="I893" s="146"/>
      <c r="J893" s="11"/>
      <c r="K893" s="11"/>
      <c r="L893" s="12"/>
    </row>
    <row r="894" spans="9:12" ht="15.75" customHeight="1" x14ac:dyDescent="0.25">
      <c r="I894" s="146"/>
      <c r="J894" s="11"/>
      <c r="K894" s="11"/>
      <c r="L894" s="12"/>
    </row>
    <row r="895" spans="9:12" ht="15.75" customHeight="1" x14ac:dyDescent="0.25">
      <c r="I895" s="146"/>
      <c r="J895" s="11"/>
      <c r="K895" s="11"/>
      <c r="L895" s="12"/>
    </row>
    <row r="896" spans="9:12" ht="15.75" customHeight="1" x14ac:dyDescent="0.25">
      <c r="I896" s="146"/>
      <c r="J896" s="11"/>
      <c r="K896" s="11"/>
      <c r="L896" s="12"/>
    </row>
    <row r="897" spans="9:12" ht="15.75" customHeight="1" x14ac:dyDescent="0.25">
      <c r="I897" s="146"/>
      <c r="J897" s="11"/>
      <c r="K897" s="11"/>
      <c r="L897" s="12"/>
    </row>
    <row r="898" spans="9:12" ht="15.75" customHeight="1" x14ac:dyDescent="0.25">
      <c r="I898" s="146"/>
      <c r="J898" s="11"/>
      <c r="K898" s="11"/>
      <c r="L898" s="12"/>
    </row>
    <row r="899" spans="9:12" ht="15.75" customHeight="1" x14ac:dyDescent="0.25">
      <c r="I899" s="146"/>
      <c r="J899" s="11"/>
      <c r="K899" s="11"/>
      <c r="L899" s="12"/>
    </row>
    <row r="900" spans="9:12" ht="15.75" customHeight="1" x14ac:dyDescent="0.25">
      <c r="I900" s="146"/>
      <c r="J900" s="11"/>
      <c r="K900" s="11"/>
      <c r="L900" s="12"/>
    </row>
    <row r="901" spans="9:12" ht="15.75" customHeight="1" x14ac:dyDescent="0.25">
      <c r="I901" s="146"/>
      <c r="J901" s="11"/>
      <c r="K901" s="11"/>
      <c r="L901" s="12"/>
    </row>
    <row r="902" spans="9:12" ht="15.75" customHeight="1" x14ac:dyDescent="0.25">
      <c r="I902" s="146"/>
      <c r="J902" s="11"/>
      <c r="K902" s="11"/>
      <c r="L902" s="12"/>
    </row>
    <row r="903" spans="9:12" ht="15.75" customHeight="1" x14ac:dyDescent="0.25">
      <c r="I903" s="146"/>
      <c r="J903" s="11"/>
      <c r="K903" s="11"/>
      <c r="L903" s="12"/>
    </row>
    <row r="904" spans="9:12" ht="15.75" customHeight="1" x14ac:dyDescent="0.25">
      <c r="I904" s="146"/>
      <c r="J904" s="11"/>
      <c r="K904" s="11"/>
      <c r="L904" s="12"/>
    </row>
    <row r="905" spans="9:12" ht="15.75" customHeight="1" x14ac:dyDescent="0.25">
      <c r="I905" s="146"/>
      <c r="J905" s="11"/>
      <c r="K905" s="11"/>
      <c r="L905" s="12"/>
    </row>
    <row r="906" spans="9:12" ht="15.75" customHeight="1" x14ac:dyDescent="0.25">
      <c r="I906" s="146"/>
      <c r="J906" s="11"/>
      <c r="K906" s="11"/>
      <c r="L906" s="12"/>
    </row>
    <row r="907" spans="9:12" ht="15.75" customHeight="1" x14ac:dyDescent="0.25">
      <c r="I907" s="146"/>
      <c r="J907" s="11"/>
      <c r="K907" s="11"/>
      <c r="L907" s="12"/>
    </row>
    <row r="908" spans="9:12" ht="15.75" customHeight="1" x14ac:dyDescent="0.25">
      <c r="I908" s="146"/>
      <c r="J908" s="11"/>
      <c r="K908" s="11"/>
      <c r="L908" s="12"/>
    </row>
    <row r="909" spans="9:12" ht="15.75" customHeight="1" x14ac:dyDescent="0.25">
      <c r="I909" s="146"/>
      <c r="J909" s="11"/>
      <c r="K909" s="11"/>
      <c r="L909" s="12"/>
    </row>
    <row r="910" spans="9:12" ht="15.75" customHeight="1" x14ac:dyDescent="0.25">
      <c r="I910" s="146"/>
      <c r="J910" s="11"/>
      <c r="K910" s="11"/>
      <c r="L910" s="12"/>
    </row>
    <row r="911" spans="9:12" ht="15.75" customHeight="1" x14ac:dyDescent="0.25">
      <c r="I911" s="146"/>
      <c r="J911" s="11"/>
      <c r="K911" s="11"/>
      <c r="L911" s="12"/>
    </row>
    <row r="912" spans="9:12" ht="15.75" customHeight="1" x14ac:dyDescent="0.25">
      <c r="I912" s="146"/>
      <c r="J912" s="11"/>
      <c r="K912" s="11"/>
      <c r="L912" s="12"/>
    </row>
    <row r="913" spans="9:12" ht="15.75" customHeight="1" x14ac:dyDescent="0.25">
      <c r="I913" s="146"/>
      <c r="J913" s="11"/>
      <c r="K913" s="11"/>
      <c r="L913" s="12"/>
    </row>
    <row r="914" spans="9:12" ht="15.75" customHeight="1" x14ac:dyDescent="0.25">
      <c r="I914" s="146"/>
      <c r="J914" s="11"/>
      <c r="K914" s="11"/>
      <c r="L914" s="12"/>
    </row>
    <row r="915" spans="9:12" ht="15.75" customHeight="1" x14ac:dyDescent="0.25">
      <c r="I915" s="146"/>
      <c r="J915" s="11"/>
      <c r="K915" s="11"/>
      <c r="L915" s="12"/>
    </row>
    <row r="916" spans="9:12" ht="15.75" customHeight="1" x14ac:dyDescent="0.25">
      <c r="I916" s="146"/>
      <c r="J916" s="11"/>
      <c r="K916" s="11"/>
      <c r="L916" s="12"/>
    </row>
    <row r="917" spans="9:12" ht="15.75" customHeight="1" x14ac:dyDescent="0.25">
      <c r="I917" s="146"/>
      <c r="J917" s="11"/>
      <c r="K917" s="11"/>
      <c r="L917" s="12"/>
    </row>
    <row r="918" spans="9:12" ht="15.75" customHeight="1" x14ac:dyDescent="0.25">
      <c r="I918" s="146"/>
      <c r="J918" s="11"/>
      <c r="K918" s="11"/>
      <c r="L918" s="12"/>
    </row>
    <row r="919" spans="9:12" ht="15.75" customHeight="1" x14ac:dyDescent="0.25">
      <c r="I919" s="146"/>
      <c r="J919" s="11"/>
      <c r="K919" s="11"/>
      <c r="L919" s="12"/>
    </row>
    <row r="920" spans="9:12" ht="15.75" customHeight="1" x14ac:dyDescent="0.25">
      <c r="I920" s="146"/>
      <c r="J920" s="11"/>
      <c r="K920" s="11"/>
      <c r="L920" s="12"/>
    </row>
    <row r="921" spans="9:12" ht="15.75" customHeight="1" x14ac:dyDescent="0.25">
      <c r="I921" s="146"/>
      <c r="J921" s="11"/>
      <c r="K921" s="11"/>
      <c r="L921" s="12"/>
    </row>
    <row r="922" spans="9:12" ht="15.75" customHeight="1" x14ac:dyDescent="0.25">
      <c r="I922" s="146"/>
      <c r="J922" s="11"/>
      <c r="K922" s="11"/>
      <c r="L922" s="12"/>
    </row>
    <row r="923" spans="9:12" ht="15.75" customHeight="1" x14ac:dyDescent="0.25">
      <c r="I923" s="146"/>
      <c r="J923" s="11"/>
      <c r="K923" s="11"/>
      <c r="L923" s="12"/>
    </row>
    <row r="924" spans="9:12" ht="15.75" customHeight="1" x14ac:dyDescent="0.25">
      <c r="I924" s="146"/>
      <c r="J924" s="11"/>
      <c r="K924" s="11"/>
      <c r="L924" s="12"/>
    </row>
    <row r="925" spans="9:12" ht="15.75" customHeight="1" x14ac:dyDescent="0.25">
      <c r="I925" s="146"/>
      <c r="J925" s="11"/>
      <c r="K925" s="11"/>
      <c r="L925" s="12"/>
    </row>
    <row r="926" spans="9:12" ht="15.75" customHeight="1" x14ac:dyDescent="0.25">
      <c r="I926" s="146"/>
      <c r="J926" s="11"/>
      <c r="K926" s="11"/>
      <c r="L926" s="12"/>
    </row>
    <row r="927" spans="9:12" ht="15.75" customHeight="1" x14ac:dyDescent="0.25">
      <c r="I927" s="146"/>
      <c r="J927" s="11"/>
      <c r="K927" s="11"/>
      <c r="L927" s="12"/>
    </row>
    <row r="928" spans="9:12" ht="15.75" customHeight="1" x14ac:dyDescent="0.25">
      <c r="I928" s="146"/>
      <c r="J928" s="11"/>
      <c r="K928" s="11"/>
      <c r="L928" s="12"/>
    </row>
    <row r="929" spans="9:12" ht="15.75" customHeight="1" x14ac:dyDescent="0.25">
      <c r="I929" s="146"/>
      <c r="J929" s="11"/>
      <c r="K929" s="11"/>
      <c r="L929" s="12"/>
    </row>
    <row r="930" spans="9:12" ht="15.75" customHeight="1" x14ac:dyDescent="0.25">
      <c r="I930" s="146"/>
      <c r="J930" s="11"/>
      <c r="K930" s="11"/>
      <c r="L930" s="12"/>
    </row>
    <row r="931" spans="9:12" ht="15.75" customHeight="1" x14ac:dyDescent="0.25">
      <c r="I931" s="146"/>
      <c r="J931" s="11"/>
      <c r="K931" s="11"/>
      <c r="L931" s="12"/>
    </row>
    <row r="932" spans="9:12" ht="15.75" customHeight="1" x14ac:dyDescent="0.25">
      <c r="I932" s="146"/>
      <c r="J932" s="11"/>
      <c r="K932" s="11"/>
      <c r="L932" s="12"/>
    </row>
    <row r="933" spans="9:12" ht="15.75" customHeight="1" x14ac:dyDescent="0.25">
      <c r="I933" s="146"/>
      <c r="J933" s="11"/>
      <c r="K933" s="11"/>
      <c r="L933" s="12"/>
    </row>
    <row r="934" spans="9:12" ht="15.75" customHeight="1" x14ac:dyDescent="0.25">
      <c r="I934" s="146"/>
      <c r="J934" s="11"/>
      <c r="K934" s="11"/>
      <c r="L934" s="12"/>
    </row>
    <row r="935" spans="9:12" ht="15.75" customHeight="1" x14ac:dyDescent="0.25">
      <c r="I935" s="146"/>
      <c r="J935" s="11"/>
      <c r="K935" s="11"/>
      <c r="L935" s="12"/>
    </row>
    <row r="936" spans="9:12" ht="15.75" customHeight="1" x14ac:dyDescent="0.25">
      <c r="I936" s="146"/>
      <c r="J936" s="11"/>
      <c r="K936" s="11"/>
      <c r="L936" s="12"/>
    </row>
    <row r="937" spans="9:12" ht="15.75" customHeight="1" x14ac:dyDescent="0.25">
      <c r="I937" s="146"/>
      <c r="J937" s="11"/>
      <c r="K937" s="11"/>
      <c r="L937" s="12"/>
    </row>
    <row r="938" spans="9:12" ht="15.75" customHeight="1" x14ac:dyDescent="0.25">
      <c r="I938" s="146"/>
      <c r="J938" s="11"/>
      <c r="K938" s="11"/>
      <c r="L938" s="12"/>
    </row>
    <row r="939" spans="9:12" ht="15.75" customHeight="1" x14ac:dyDescent="0.25">
      <c r="I939" s="146"/>
      <c r="J939" s="11"/>
      <c r="K939" s="11"/>
      <c r="L939" s="12"/>
    </row>
    <row r="940" spans="9:12" ht="15.75" customHeight="1" x14ac:dyDescent="0.25">
      <c r="I940" s="146"/>
      <c r="J940" s="11"/>
      <c r="K940" s="11"/>
      <c r="L940" s="12"/>
    </row>
    <row r="941" spans="9:12" ht="15.75" customHeight="1" x14ac:dyDescent="0.25">
      <c r="I941" s="146"/>
      <c r="J941" s="11"/>
      <c r="K941" s="11"/>
      <c r="L941" s="12"/>
    </row>
    <row r="942" spans="9:12" ht="15.75" customHeight="1" x14ac:dyDescent="0.25">
      <c r="I942" s="146"/>
      <c r="J942" s="11"/>
      <c r="K942" s="11"/>
      <c r="L942" s="12"/>
    </row>
    <row r="943" spans="9:12" ht="15.75" customHeight="1" x14ac:dyDescent="0.25">
      <c r="I943" s="146"/>
      <c r="J943" s="11"/>
      <c r="K943" s="11"/>
      <c r="L943" s="12"/>
    </row>
    <row r="944" spans="9:12" ht="15.75" customHeight="1" x14ac:dyDescent="0.25">
      <c r="I944" s="146"/>
      <c r="J944" s="11"/>
      <c r="K944" s="11"/>
      <c r="L944" s="12"/>
    </row>
    <row r="945" spans="9:12" ht="15.75" customHeight="1" x14ac:dyDescent="0.25">
      <c r="I945" s="146"/>
      <c r="J945" s="11"/>
      <c r="K945" s="11"/>
      <c r="L945" s="12"/>
    </row>
    <row r="946" spans="9:12" ht="15.75" customHeight="1" x14ac:dyDescent="0.25">
      <c r="I946" s="146"/>
      <c r="J946" s="11"/>
      <c r="K946" s="11"/>
      <c r="L946" s="12"/>
    </row>
    <row r="947" spans="9:12" ht="15.75" customHeight="1" x14ac:dyDescent="0.25">
      <c r="I947" s="146"/>
      <c r="J947" s="11"/>
      <c r="K947" s="11"/>
      <c r="L947" s="12"/>
    </row>
    <row r="948" spans="9:12" ht="15.75" customHeight="1" x14ac:dyDescent="0.25">
      <c r="I948" s="146"/>
      <c r="J948" s="11"/>
      <c r="K948" s="11"/>
      <c r="L948" s="12"/>
    </row>
    <row r="949" spans="9:12" ht="15.75" customHeight="1" x14ac:dyDescent="0.25">
      <c r="I949" s="146"/>
      <c r="J949" s="11"/>
      <c r="K949" s="11"/>
      <c r="L949" s="12"/>
    </row>
    <row r="950" spans="9:12" ht="15.75" customHeight="1" x14ac:dyDescent="0.25">
      <c r="I950" s="146"/>
      <c r="J950" s="11"/>
      <c r="K950" s="11"/>
      <c r="L950" s="12"/>
    </row>
    <row r="951" spans="9:12" ht="15.75" customHeight="1" x14ac:dyDescent="0.25">
      <c r="I951" s="146"/>
      <c r="J951" s="11"/>
      <c r="K951" s="11"/>
      <c r="L951" s="12"/>
    </row>
    <row r="952" spans="9:12" ht="15.75" customHeight="1" x14ac:dyDescent="0.25">
      <c r="I952" s="146"/>
      <c r="J952" s="11"/>
      <c r="K952" s="11"/>
      <c r="L952" s="12"/>
    </row>
    <row r="953" spans="9:12" ht="15.75" customHeight="1" x14ac:dyDescent="0.25">
      <c r="I953" s="146"/>
      <c r="J953" s="11"/>
      <c r="K953" s="11"/>
      <c r="L953" s="12"/>
    </row>
    <row r="954" spans="9:12" ht="15.75" customHeight="1" x14ac:dyDescent="0.25">
      <c r="I954" s="146"/>
      <c r="J954" s="11"/>
      <c r="K954" s="11"/>
      <c r="L954" s="12"/>
    </row>
    <row r="955" spans="9:12" ht="15.75" customHeight="1" x14ac:dyDescent="0.25">
      <c r="I955" s="146"/>
      <c r="J955" s="11"/>
      <c r="K955" s="11"/>
      <c r="L955" s="12"/>
    </row>
    <row r="956" spans="9:12" ht="15.75" customHeight="1" x14ac:dyDescent="0.25">
      <c r="I956" s="146"/>
      <c r="J956" s="11"/>
      <c r="K956" s="11"/>
      <c r="L956" s="12"/>
    </row>
    <row r="957" spans="9:12" ht="15.75" customHeight="1" x14ac:dyDescent="0.25">
      <c r="I957" s="146"/>
      <c r="J957" s="11"/>
      <c r="K957" s="11"/>
      <c r="L957" s="12"/>
    </row>
    <row r="958" spans="9:12" ht="15.75" customHeight="1" x14ac:dyDescent="0.25">
      <c r="I958" s="146"/>
      <c r="J958" s="11"/>
      <c r="K958" s="11"/>
      <c r="L958" s="12"/>
    </row>
    <row r="959" spans="9:12" ht="15.75" customHeight="1" x14ac:dyDescent="0.25">
      <c r="I959" s="146"/>
      <c r="J959" s="11"/>
      <c r="K959" s="11"/>
      <c r="L959" s="12"/>
    </row>
    <row r="960" spans="9:12" ht="15.75" customHeight="1" x14ac:dyDescent="0.25">
      <c r="I960" s="146"/>
      <c r="J960" s="11"/>
      <c r="K960" s="11"/>
      <c r="L960" s="12"/>
    </row>
    <row r="961" spans="9:12" ht="15.75" customHeight="1" x14ac:dyDescent="0.25">
      <c r="I961" s="146"/>
      <c r="J961" s="11"/>
      <c r="K961" s="11"/>
      <c r="L961" s="12"/>
    </row>
    <row r="962" spans="9:12" ht="15.75" customHeight="1" x14ac:dyDescent="0.25">
      <c r="I962" s="146"/>
      <c r="J962" s="11"/>
      <c r="K962" s="11"/>
      <c r="L962" s="12"/>
    </row>
    <row r="963" spans="9:12" ht="15.75" customHeight="1" x14ac:dyDescent="0.25">
      <c r="I963" s="146"/>
      <c r="J963" s="11"/>
      <c r="K963" s="11"/>
      <c r="L963" s="12"/>
    </row>
    <row r="964" spans="9:12" ht="15.75" customHeight="1" x14ac:dyDescent="0.25">
      <c r="I964" s="146"/>
      <c r="J964" s="11"/>
      <c r="K964" s="11"/>
      <c r="L964" s="12"/>
    </row>
    <row r="965" spans="9:12" ht="15.75" customHeight="1" x14ac:dyDescent="0.25">
      <c r="I965" s="146"/>
      <c r="J965" s="11"/>
      <c r="K965" s="11"/>
      <c r="L965" s="12"/>
    </row>
    <row r="966" spans="9:12" ht="15.75" customHeight="1" x14ac:dyDescent="0.25">
      <c r="I966" s="146"/>
      <c r="J966" s="11"/>
      <c r="K966" s="11"/>
      <c r="L966" s="12"/>
    </row>
    <row r="967" spans="9:12" ht="15.75" customHeight="1" x14ac:dyDescent="0.25">
      <c r="I967" s="146"/>
      <c r="J967" s="11"/>
      <c r="K967" s="11"/>
      <c r="L967" s="12"/>
    </row>
    <row r="968" spans="9:12" ht="15.75" customHeight="1" x14ac:dyDescent="0.25">
      <c r="I968" s="146"/>
      <c r="J968" s="11"/>
      <c r="K968" s="11"/>
      <c r="L968" s="12"/>
    </row>
    <row r="969" spans="9:12" ht="15.75" customHeight="1" x14ac:dyDescent="0.25">
      <c r="I969" s="146"/>
      <c r="J969" s="11"/>
      <c r="K969" s="11"/>
      <c r="L969" s="12"/>
    </row>
    <row r="970" spans="9:12" ht="15.75" customHeight="1" x14ac:dyDescent="0.25">
      <c r="I970" s="146"/>
      <c r="J970" s="11"/>
      <c r="K970" s="11"/>
      <c r="L970" s="12"/>
    </row>
    <row r="971" spans="9:12" ht="15.75" customHeight="1" x14ac:dyDescent="0.25">
      <c r="I971" s="146"/>
      <c r="J971" s="11"/>
      <c r="K971" s="11"/>
      <c r="L971" s="12"/>
    </row>
    <row r="972" spans="9:12" ht="15.75" customHeight="1" x14ac:dyDescent="0.25">
      <c r="I972" s="146"/>
      <c r="J972" s="11"/>
      <c r="K972" s="11"/>
      <c r="L972" s="12"/>
    </row>
    <row r="973" spans="9:12" ht="15.75" customHeight="1" x14ac:dyDescent="0.25">
      <c r="I973" s="146"/>
      <c r="J973" s="11"/>
      <c r="K973" s="11"/>
      <c r="L973" s="12"/>
    </row>
    <row r="974" spans="9:12" ht="15.75" customHeight="1" x14ac:dyDescent="0.25">
      <c r="I974" s="146"/>
      <c r="J974" s="11"/>
      <c r="K974" s="11"/>
      <c r="L974" s="12"/>
    </row>
    <row r="975" spans="9:12" ht="15.75" customHeight="1" x14ac:dyDescent="0.25">
      <c r="I975" s="146"/>
      <c r="J975" s="11"/>
      <c r="K975" s="11"/>
      <c r="L975" s="12"/>
    </row>
    <row r="976" spans="9:12" ht="15.75" customHeight="1" x14ac:dyDescent="0.25">
      <c r="I976" s="146"/>
      <c r="J976" s="11"/>
      <c r="K976" s="11"/>
      <c r="L976" s="12"/>
    </row>
    <row r="977" spans="9:12" ht="15.75" customHeight="1" x14ac:dyDescent="0.25">
      <c r="I977" s="146"/>
      <c r="J977" s="11"/>
      <c r="K977" s="11"/>
      <c r="L977" s="12"/>
    </row>
    <row r="978" spans="9:12" ht="15.75" customHeight="1" x14ac:dyDescent="0.25">
      <c r="I978" s="146"/>
      <c r="J978" s="11"/>
      <c r="K978" s="11"/>
      <c r="L978" s="12"/>
    </row>
    <row r="979" spans="9:12" ht="15.75" customHeight="1" x14ac:dyDescent="0.25">
      <c r="I979" s="146"/>
      <c r="J979" s="11"/>
      <c r="K979" s="11"/>
      <c r="L979" s="12"/>
    </row>
    <row r="980" spans="9:12" ht="15.75" customHeight="1" x14ac:dyDescent="0.25">
      <c r="I980" s="146"/>
      <c r="J980" s="11"/>
      <c r="K980" s="11"/>
      <c r="L980" s="12"/>
    </row>
    <row r="981" spans="9:12" ht="15.75" customHeight="1" x14ac:dyDescent="0.25">
      <c r="I981" s="146"/>
      <c r="J981" s="11"/>
      <c r="K981" s="11"/>
      <c r="L981" s="12"/>
    </row>
    <row r="982" spans="9:12" ht="15.75" customHeight="1" x14ac:dyDescent="0.25">
      <c r="I982" s="146"/>
      <c r="J982" s="11"/>
      <c r="K982" s="11"/>
      <c r="L982" s="12"/>
    </row>
    <row r="983" spans="9:12" ht="15.75" customHeight="1" x14ac:dyDescent="0.25">
      <c r="I983" s="146"/>
      <c r="J983" s="11"/>
      <c r="K983" s="11"/>
      <c r="L983" s="12"/>
    </row>
    <row r="984" spans="9:12" ht="15.75" customHeight="1" x14ac:dyDescent="0.25">
      <c r="I984" s="146"/>
      <c r="J984" s="11"/>
      <c r="K984" s="11"/>
      <c r="L984" s="12"/>
    </row>
    <row r="985" spans="9:12" ht="15.75" customHeight="1" x14ac:dyDescent="0.25">
      <c r="I985" s="146"/>
      <c r="J985" s="11"/>
      <c r="K985" s="11"/>
      <c r="L985" s="12"/>
    </row>
    <row r="986" spans="9:12" ht="15.75" customHeight="1" x14ac:dyDescent="0.25">
      <c r="I986" s="146"/>
      <c r="J986" s="11"/>
      <c r="K986" s="11"/>
      <c r="L986" s="12"/>
    </row>
    <row r="987" spans="9:12" ht="15.75" customHeight="1" x14ac:dyDescent="0.25">
      <c r="I987" s="146"/>
      <c r="J987" s="11"/>
      <c r="K987" s="11"/>
      <c r="L987" s="12"/>
    </row>
    <row r="988" spans="9:12" ht="15.75" customHeight="1" x14ac:dyDescent="0.25">
      <c r="I988" s="146"/>
      <c r="J988" s="11"/>
      <c r="K988" s="11"/>
      <c r="L988" s="12"/>
    </row>
    <row r="989" spans="9:12" ht="15.75" customHeight="1" x14ac:dyDescent="0.25">
      <c r="I989" s="146"/>
      <c r="J989" s="11"/>
      <c r="K989" s="11"/>
      <c r="L989" s="12"/>
    </row>
    <row r="990" spans="9:12" ht="15.75" customHeight="1" x14ac:dyDescent="0.25">
      <c r="I990" s="146"/>
      <c r="J990" s="11"/>
      <c r="K990" s="11"/>
      <c r="L990" s="12"/>
    </row>
    <row r="991" spans="9:12" ht="15.75" customHeight="1" x14ac:dyDescent="0.25">
      <c r="I991" s="146"/>
      <c r="J991" s="11"/>
      <c r="K991" s="11"/>
      <c r="L991" s="12"/>
    </row>
    <row r="992" spans="9:12" ht="15.75" customHeight="1" x14ac:dyDescent="0.25">
      <c r="I992" s="146"/>
      <c r="J992" s="11"/>
      <c r="K992" s="11"/>
      <c r="L992" s="12"/>
    </row>
    <row r="993" spans="9:12" ht="15.75" customHeight="1" x14ac:dyDescent="0.25">
      <c r="I993" s="146"/>
      <c r="J993" s="11"/>
      <c r="K993" s="11"/>
      <c r="L993" s="12"/>
    </row>
    <row r="994" spans="9:12" ht="15.75" customHeight="1" x14ac:dyDescent="0.25">
      <c r="I994" s="146"/>
      <c r="J994" s="11"/>
      <c r="K994" s="11"/>
      <c r="L994" s="12"/>
    </row>
    <row r="995" spans="9:12" ht="15.75" customHeight="1" x14ac:dyDescent="0.25">
      <c r="I995" s="146"/>
      <c r="J995" s="11"/>
      <c r="K995" s="11"/>
      <c r="L995" s="12"/>
    </row>
    <row r="996" spans="9:12" ht="15.75" customHeight="1" x14ac:dyDescent="0.25">
      <c r="I996" s="146"/>
      <c r="J996" s="11"/>
      <c r="K996" s="11"/>
      <c r="L996" s="12"/>
    </row>
    <row r="997" spans="9:12" ht="15.75" customHeight="1" x14ac:dyDescent="0.25">
      <c r="I997" s="146"/>
      <c r="J997" s="11"/>
      <c r="K997" s="11"/>
      <c r="L997" s="12"/>
    </row>
    <row r="998" spans="9:12" ht="15.75" customHeight="1" x14ac:dyDescent="0.25">
      <c r="I998" s="146"/>
      <c r="J998" s="11"/>
      <c r="K998" s="11"/>
      <c r="L998" s="12"/>
    </row>
    <row r="999" spans="9:12" ht="15.75" customHeight="1" x14ac:dyDescent="0.25">
      <c r="I999" s="146"/>
      <c r="J999" s="11"/>
      <c r="K999" s="11"/>
      <c r="L999" s="12"/>
    </row>
    <row r="1000" spans="9:12" ht="15.75" customHeight="1" x14ac:dyDescent="0.25">
      <c r="I1000" s="146"/>
      <c r="J1000" s="11"/>
      <c r="K1000" s="11"/>
      <c r="L1000" s="12"/>
    </row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H1000"/>
  <sheetViews>
    <sheetView workbookViewId="0">
      <selection activeCell="F18" sqref="F18"/>
    </sheetView>
  </sheetViews>
  <sheetFormatPr defaultColWidth="14.42578125" defaultRowHeight="15" customHeight="1" x14ac:dyDescent="0.25"/>
  <cols>
    <col min="1" max="1" width="24.5703125" customWidth="1"/>
    <col min="6" max="6" width="42.140625" customWidth="1"/>
    <col min="8" max="8" width="30.5703125" customWidth="1"/>
  </cols>
  <sheetData>
    <row r="1" spans="1:8" x14ac:dyDescent="0.25">
      <c r="A1" s="13" t="s">
        <v>187</v>
      </c>
      <c r="B1" s="14" t="s">
        <v>188</v>
      </c>
      <c r="C1" s="15"/>
      <c r="D1" s="15"/>
      <c r="E1" s="15"/>
      <c r="F1" s="14" t="s">
        <v>189</v>
      </c>
      <c r="H1" s="9" t="s">
        <v>190</v>
      </c>
    </row>
    <row r="2" spans="1:8" x14ac:dyDescent="0.25">
      <c r="A2" s="16">
        <v>45292</v>
      </c>
      <c r="B2" s="17" t="s">
        <v>191</v>
      </c>
      <c r="C2" s="15"/>
      <c r="D2" s="15"/>
      <c r="E2" s="15"/>
      <c r="F2" s="18">
        <v>45317</v>
      </c>
      <c r="H2" s="9" t="s">
        <v>192</v>
      </c>
    </row>
    <row r="3" spans="1:8" x14ac:dyDescent="0.25">
      <c r="A3" s="16">
        <v>45293</v>
      </c>
      <c r="B3" s="17" t="s">
        <v>191</v>
      </c>
      <c r="C3" s="15"/>
      <c r="D3" s="15"/>
      <c r="E3" s="15"/>
      <c r="F3" s="18">
        <v>45376</v>
      </c>
      <c r="H3" s="9" t="s">
        <v>193</v>
      </c>
    </row>
    <row r="4" spans="1:8" x14ac:dyDescent="0.25">
      <c r="A4" s="16">
        <v>45294</v>
      </c>
      <c r="B4" s="17" t="s">
        <v>191</v>
      </c>
      <c r="C4" s="15"/>
      <c r="D4" s="15"/>
      <c r="E4" s="15"/>
      <c r="F4" s="18">
        <v>45380</v>
      </c>
      <c r="H4" s="9" t="s">
        <v>194</v>
      </c>
    </row>
    <row r="5" spans="1:8" x14ac:dyDescent="0.25">
      <c r="A5" s="16">
        <v>45295</v>
      </c>
      <c r="B5" s="17" t="s">
        <v>191</v>
      </c>
      <c r="C5" s="15"/>
      <c r="D5" s="15"/>
      <c r="E5" s="15"/>
      <c r="F5" s="18">
        <v>45519</v>
      </c>
      <c r="H5" s="9" t="s">
        <v>195</v>
      </c>
    </row>
    <row r="6" spans="1:8" x14ac:dyDescent="0.25">
      <c r="A6" s="16">
        <v>45296</v>
      </c>
      <c r="B6" s="17" t="s">
        <v>191</v>
      </c>
      <c r="C6" s="15"/>
      <c r="D6" s="15"/>
      <c r="E6" s="15"/>
      <c r="F6" s="18">
        <v>45567</v>
      </c>
      <c r="H6" s="9" t="s">
        <v>196</v>
      </c>
    </row>
    <row r="7" spans="1:8" x14ac:dyDescent="0.25">
      <c r="A7" s="16">
        <v>45297</v>
      </c>
      <c r="B7" s="17" t="s">
        <v>197</v>
      </c>
      <c r="C7" s="15"/>
      <c r="D7" s="15"/>
      <c r="E7" s="15"/>
      <c r="F7" s="18">
        <v>45578</v>
      </c>
      <c r="H7" s="9" t="s">
        <v>198</v>
      </c>
    </row>
    <row r="8" spans="1:8" x14ac:dyDescent="0.25">
      <c r="A8" s="16">
        <v>45298</v>
      </c>
      <c r="B8" s="17" t="s">
        <v>197</v>
      </c>
      <c r="C8" s="15"/>
      <c r="D8" s="19"/>
      <c r="E8" s="15"/>
      <c r="F8" s="18">
        <v>45597</v>
      </c>
      <c r="H8" s="9" t="s">
        <v>199</v>
      </c>
    </row>
    <row r="9" spans="1:8" x14ac:dyDescent="0.25">
      <c r="A9" s="16">
        <v>45299</v>
      </c>
      <c r="B9" s="17" t="s">
        <v>191</v>
      </c>
      <c r="C9" s="15"/>
      <c r="D9" s="15"/>
      <c r="E9" s="15"/>
      <c r="F9" s="18">
        <v>45651</v>
      </c>
      <c r="H9" s="9" t="s">
        <v>200</v>
      </c>
    </row>
    <row r="10" spans="1:8" x14ac:dyDescent="0.25">
      <c r="A10" s="16">
        <v>45300</v>
      </c>
      <c r="B10" s="17" t="s">
        <v>191</v>
      </c>
      <c r="C10" s="15"/>
      <c r="D10" s="15"/>
      <c r="E10" s="15"/>
      <c r="F10" s="15"/>
    </row>
    <row r="11" spans="1:8" x14ac:dyDescent="0.25">
      <c r="A11" s="16">
        <v>45301</v>
      </c>
      <c r="B11" s="17" t="s">
        <v>191</v>
      </c>
      <c r="C11" s="15"/>
      <c r="D11" s="15"/>
      <c r="E11" s="15"/>
      <c r="F11" s="15"/>
    </row>
    <row r="12" spans="1:8" x14ac:dyDescent="0.25">
      <c r="A12" s="16">
        <v>45302</v>
      </c>
      <c r="B12" s="17" t="s">
        <v>191</v>
      </c>
      <c r="C12" s="15"/>
      <c r="D12" s="15"/>
      <c r="E12" s="15"/>
      <c r="F12" s="20" t="s">
        <v>201</v>
      </c>
    </row>
    <row r="13" spans="1:8" x14ac:dyDescent="0.25">
      <c r="A13" s="16">
        <v>45303</v>
      </c>
      <c r="B13" s="17" t="s">
        <v>191</v>
      </c>
      <c r="C13" s="15"/>
      <c r="D13" s="15"/>
      <c r="E13" s="15"/>
      <c r="F13" s="15">
        <f>NETWORKDAYS(A2,F2)</f>
        <v>20</v>
      </c>
    </row>
    <row r="14" spans="1:8" x14ac:dyDescent="0.25">
      <c r="A14" s="16">
        <v>45304</v>
      </c>
      <c r="B14" s="17" t="s">
        <v>197</v>
      </c>
      <c r="C14" s="15"/>
      <c r="D14" s="15"/>
      <c r="E14" s="15"/>
      <c r="F14" s="15" t="s">
        <v>1005</v>
      </c>
      <c r="G14" s="9"/>
    </row>
    <row r="15" spans="1:8" x14ac:dyDescent="0.25">
      <c r="A15" s="16">
        <v>45305</v>
      </c>
      <c r="B15" s="17" t="s">
        <v>197</v>
      </c>
      <c r="C15" s="15"/>
      <c r="D15" s="15"/>
      <c r="E15" s="15"/>
      <c r="F15" s="15">
        <f>NETWORKDAYS(A2,A32)</f>
        <v>23</v>
      </c>
      <c r="G15" s="9"/>
    </row>
    <row r="16" spans="1:8" x14ac:dyDescent="0.25">
      <c r="A16" s="16">
        <v>45306</v>
      </c>
      <c r="B16" s="17" t="s">
        <v>191</v>
      </c>
      <c r="C16" s="15"/>
      <c r="D16" s="15"/>
      <c r="E16" s="15"/>
      <c r="F16" s="15" t="s">
        <v>1006</v>
      </c>
    </row>
    <row r="17" spans="1:6" x14ac:dyDescent="0.25">
      <c r="A17" s="16">
        <v>45307</v>
      </c>
      <c r="B17" s="17" t="s">
        <v>191</v>
      </c>
      <c r="C17" s="15"/>
      <c r="D17" s="15"/>
      <c r="E17" s="15"/>
      <c r="F17" s="15">
        <f>NETWORKDAYS(A33,A61)</f>
        <v>21</v>
      </c>
    </row>
    <row r="18" spans="1:6" x14ac:dyDescent="0.25">
      <c r="A18" s="16">
        <v>45308</v>
      </c>
      <c r="B18" s="17" t="s">
        <v>191</v>
      </c>
      <c r="C18" s="15"/>
      <c r="D18" s="15"/>
      <c r="E18" s="15"/>
      <c r="F18" s="15"/>
    </row>
    <row r="19" spans="1:6" x14ac:dyDescent="0.25">
      <c r="A19" s="16">
        <v>45309</v>
      </c>
      <c r="B19" s="17" t="s">
        <v>191</v>
      </c>
      <c r="C19" s="15"/>
      <c r="D19" s="15"/>
      <c r="E19" s="15"/>
      <c r="F19" s="15"/>
    </row>
    <row r="20" spans="1:6" x14ac:dyDescent="0.25">
      <c r="A20" s="16">
        <v>45310</v>
      </c>
      <c r="B20" s="17" t="s">
        <v>191</v>
      </c>
      <c r="C20" s="15"/>
      <c r="D20" s="15"/>
      <c r="E20" s="15"/>
      <c r="F20" s="15">
        <f>IFERROR(D812,"error")</f>
        <v>0</v>
      </c>
    </row>
    <row r="21" spans="1:6" x14ac:dyDescent="0.25">
      <c r="A21" s="16">
        <v>45311</v>
      </c>
      <c r="B21" s="17" t="s">
        <v>197</v>
      </c>
      <c r="C21" s="15"/>
      <c r="D21" s="15"/>
      <c r="E21" s="15"/>
      <c r="F21" s="15"/>
    </row>
    <row r="22" spans="1:6" x14ac:dyDescent="0.25">
      <c r="A22" s="16">
        <v>45312</v>
      </c>
      <c r="B22" s="17" t="s">
        <v>197</v>
      </c>
      <c r="C22" s="15"/>
      <c r="D22" s="15"/>
      <c r="E22" s="15"/>
      <c r="F22" s="15"/>
    </row>
    <row r="23" spans="1:6" x14ac:dyDescent="0.25">
      <c r="A23" s="16">
        <v>45313</v>
      </c>
      <c r="B23" s="17" t="s">
        <v>191</v>
      </c>
      <c r="C23" s="15"/>
      <c r="D23" s="15"/>
      <c r="E23" s="15"/>
      <c r="F23" s="15"/>
    </row>
    <row r="24" spans="1:6" x14ac:dyDescent="0.25">
      <c r="A24" s="16">
        <v>45314</v>
      </c>
      <c r="B24" s="17" t="s">
        <v>191</v>
      </c>
      <c r="C24" s="15"/>
      <c r="D24" s="15"/>
      <c r="E24" s="15"/>
      <c r="F24" s="15"/>
    </row>
    <row r="25" spans="1:6" x14ac:dyDescent="0.25">
      <c r="A25" s="16">
        <v>45315</v>
      </c>
      <c r="B25" s="17" t="s">
        <v>191</v>
      </c>
      <c r="C25" s="15"/>
      <c r="D25" s="15"/>
      <c r="E25" s="15"/>
      <c r="F25" s="15"/>
    </row>
    <row r="26" spans="1:6" x14ac:dyDescent="0.25">
      <c r="A26" s="16">
        <v>45316</v>
      </c>
      <c r="B26" s="17" t="s">
        <v>191</v>
      </c>
      <c r="C26" s="15"/>
      <c r="D26" s="15"/>
      <c r="E26" s="15"/>
      <c r="F26" s="15"/>
    </row>
    <row r="27" spans="1:6" x14ac:dyDescent="0.25">
      <c r="A27" s="16">
        <v>45317</v>
      </c>
      <c r="B27" s="17" t="s">
        <v>197</v>
      </c>
      <c r="C27" s="15"/>
      <c r="D27" s="15"/>
      <c r="E27" s="15"/>
      <c r="F27" s="15"/>
    </row>
    <row r="28" spans="1:6" x14ac:dyDescent="0.25">
      <c r="A28" s="16">
        <v>45318</v>
      </c>
      <c r="B28" s="17" t="s">
        <v>197</v>
      </c>
      <c r="C28" s="15"/>
      <c r="D28" s="15"/>
      <c r="E28" s="15"/>
      <c r="F28" s="15"/>
    </row>
    <row r="29" spans="1:6" x14ac:dyDescent="0.25">
      <c r="A29" s="16">
        <v>45319</v>
      </c>
      <c r="B29" s="17" t="s">
        <v>197</v>
      </c>
      <c r="C29" s="15"/>
      <c r="D29" s="15"/>
      <c r="E29" s="15"/>
      <c r="F29" s="15"/>
    </row>
    <row r="30" spans="1:6" x14ac:dyDescent="0.25">
      <c r="A30" s="16">
        <v>45320</v>
      </c>
      <c r="B30" s="17" t="s">
        <v>191</v>
      </c>
      <c r="C30" s="15"/>
      <c r="D30" s="15"/>
      <c r="E30" s="15"/>
      <c r="F30" s="15"/>
    </row>
    <row r="31" spans="1:6" x14ac:dyDescent="0.25">
      <c r="A31" s="16">
        <v>45321</v>
      </c>
      <c r="B31" s="17" t="s">
        <v>191</v>
      </c>
      <c r="C31" s="15"/>
      <c r="D31" s="15"/>
      <c r="E31" s="15"/>
      <c r="F31" s="15"/>
    </row>
    <row r="32" spans="1:6" x14ac:dyDescent="0.25">
      <c r="A32" s="16">
        <v>45322</v>
      </c>
      <c r="B32" s="17" t="s">
        <v>191</v>
      </c>
      <c r="C32" s="15"/>
      <c r="D32" s="15"/>
      <c r="E32" s="15"/>
      <c r="F32" s="15"/>
    </row>
    <row r="33" spans="1:6" x14ac:dyDescent="0.25">
      <c r="A33" s="16">
        <v>45323</v>
      </c>
      <c r="B33" s="17" t="s">
        <v>191</v>
      </c>
      <c r="C33" s="15"/>
      <c r="D33" s="15"/>
      <c r="E33" s="15"/>
      <c r="F33" s="15"/>
    </row>
    <row r="34" spans="1:6" x14ac:dyDescent="0.25">
      <c r="A34" s="16">
        <v>45324</v>
      </c>
      <c r="B34" s="17" t="s">
        <v>191</v>
      </c>
      <c r="C34" s="15"/>
      <c r="D34" s="15"/>
      <c r="E34" s="15"/>
      <c r="F34" s="15"/>
    </row>
    <row r="35" spans="1:6" x14ac:dyDescent="0.25">
      <c r="A35" s="16">
        <v>45325</v>
      </c>
      <c r="B35" s="17" t="s">
        <v>197</v>
      </c>
      <c r="C35" s="15"/>
      <c r="D35" s="15"/>
      <c r="E35" s="15"/>
      <c r="F35" s="15"/>
    </row>
    <row r="36" spans="1:6" x14ac:dyDescent="0.25">
      <c r="A36" s="16">
        <v>45326</v>
      </c>
      <c r="B36" s="17" t="s">
        <v>197</v>
      </c>
      <c r="C36" s="15"/>
      <c r="D36" s="15"/>
      <c r="E36" s="15"/>
      <c r="F36" s="15"/>
    </row>
    <row r="37" spans="1:6" x14ac:dyDescent="0.25">
      <c r="A37" s="16">
        <v>45327</v>
      </c>
      <c r="B37" s="17" t="s">
        <v>191</v>
      </c>
      <c r="C37" s="15"/>
      <c r="D37" s="15"/>
      <c r="E37" s="15"/>
      <c r="F37" s="15"/>
    </row>
    <row r="38" spans="1:6" x14ac:dyDescent="0.25">
      <c r="A38" s="16">
        <v>45328</v>
      </c>
      <c r="B38" s="17" t="s">
        <v>191</v>
      </c>
      <c r="C38" s="15"/>
      <c r="D38" s="15"/>
      <c r="E38" s="15"/>
      <c r="F38" s="15"/>
    </row>
    <row r="39" spans="1:6" x14ac:dyDescent="0.25">
      <c r="A39" s="16">
        <v>45329</v>
      </c>
      <c r="B39" s="17" t="s">
        <v>191</v>
      </c>
      <c r="C39" s="15"/>
      <c r="D39" s="15"/>
      <c r="E39" s="15"/>
      <c r="F39" s="15"/>
    </row>
    <row r="40" spans="1:6" x14ac:dyDescent="0.25">
      <c r="A40" s="16">
        <v>45330</v>
      </c>
      <c r="B40" s="17" t="s">
        <v>191</v>
      </c>
      <c r="C40" s="15"/>
      <c r="D40" s="15"/>
      <c r="E40" s="15"/>
      <c r="F40" s="15"/>
    </row>
    <row r="41" spans="1:6" x14ac:dyDescent="0.25">
      <c r="A41" s="16">
        <v>45331</v>
      </c>
      <c r="B41" s="17" t="s">
        <v>191</v>
      </c>
      <c r="C41" s="15"/>
      <c r="D41" s="15"/>
      <c r="E41" s="15"/>
      <c r="F41" s="15"/>
    </row>
    <row r="42" spans="1:6" x14ac:dyDescent="0.25">
      <c r="A42" s="16">
        <v>45332</v>
      </c>
      <c r="B42" s="17" t="s">
        <v>197</v>
      </c>
      <c r="C42" s="15"/>
      <c r="D42" s="15"/>
      <c r="E42" s="15"/>
      <c r="F42" s="15"/>
    </row>
    <row r="43" spans="1:6" x14ac:dyDescent="0.25">
      <c r="A43" s="16">
        <v>45333</v>
      </c>
      <c r="B43" s="17" t="s">
        <v>197</v>
      </c>
      <c r="C43" s="15"/>
      <c r="D43" s="15"/>
      <c r="E43" s="15"/>
      <c r="F43" s="15"/>
    </row>
    <row r="44" spans="1:6" x14ac:dyDescent="0.25">
      <c r="A44" s="16">
        <v>45334</v>
      </c>
      <c r="B44" s="17" t="s">
        <v>191</v>
      </c>
      <c r="C44" s="15"/>
      <c r="D44" s="15"/>
      <c r="E44" s="15"/>
      <c r="F44" s="15"/>
    </row>
    <row r="45" spans="1:6" x14ac:dyDescent="0.25">
      <c r="A45" s="16">
        <v>45335</v>
      </c>
      <c r="B45" s="17" t="s">
        <v>191</v>
      </c>
      <c r="C45" s="15"/>
      <c r="D45" s="15"/>
      <c r="E45" s="15"/>
      <c r="F45" s="15"/>
    </row>
    <row r="46" spans="1:6" x14ac:dyDescent="0.25">
      <c r="A46" s="16">
        <v>45336</v>
      </c>
      <c r="B46" s="17" t="s">
        <v>191</v>
      </c>
      <c r="C46" s="15"/>
      <c r="D46" s="15"/>
      <c r="E46" s="15"/>
      <c r="F46" s="15"/>
    </row>
    <row r="47" spans="1:6" x14ac:dyDescent="0.25">
      <c r="A47" s="16">
        <v>45337</v>
      </c>
      <c r="B47" s="17" t="s">
        <v>191</v>
      </c>
      <c r="C47" s="15"/>
      <c r="D47" s="15"/>
      <c r="E47" s="15"/>
      <c r="F47" s="15"/>
    </row>
    <row r="48" spans="1:6" x14ac:dyDescent="0.25">
      <c r="A48" s="16">
        <v>45338</v>
      </c>
      <c r="B48" s="17" t="s">
        <v>191</v>
      </c>
      <c r="C48" s="15"/>
      <c r="D48" s="15"/>
      <c r="E48" s="15"/>
      <c r="F48" s="15"/>
    </row>
    <row r="49" spans="1:6" x14ac:dyDescent="0.25">
      <c r="A49" s="16">
        <v>45339</v>
      </c>
      <c r="B49" s="17" t="s">
        <v>197</v>
      </c>
      <c r="C49" s="15"/>
      <c r="D49" s="15"/>
      <c r="E49" s="15"/>
      <c r="F49" s="15"/>
    </row>
    <row r="50" spans="1:6" x14ac:dyDescent="0.25">
      <c r="A50" s="16">
        <v>45340</v>
      </c>
      <c r="B50" s="17" t="s">
        <v>197</v>
      </c>
      <c r="C50" s="15"/>
      <c r="D50" s="15"/>
      <c r="E50" s="15"/>
      <c r="F50" s="15"/>
    </row>
    <row r="51" spans="1:6" x14ac:dyDescent="0.25">
      <c r="A51" s="16">
        <v>45341</v>
      </c>
      <c r="B51" s="17" t="s">
        <v>191</v>
      </c>
      <c r="C51" s="15"/>
      <c r="D51" s="15"/>
      <c r="E51" s="15"/>
      <c r="F51" s="15"/>
    </row>
    <row r="52" spans="1:6" x14ac:dyDescent="0.25">
      <c r="A52" s="16">
        <v>45342</v>
      </c>
      <c r="B52" s="17" t="s">
        <v>191</v>
      </c>
      <c r="C52" s="15"/>
      <c r="D52" s="15"/>
      <c r="E52" s="15"/>
      <c r="F52" s="15"/>
    </row>
    <row r="53" spans="1:6" x14ac:dyDescent="0.25">
      <c r="A53" s="16">
        <v>45343</v>
      </c>
      <c r="B53" s="17" t="s">
        <v>191</v>
      </c>
      <c r="C53" s="15"/>
      <c r="D53" s="15"/>
      <c r="E53" s="15"/>
      <c r="F53" s="15"/>
    </row>
    <row r="54" spans="1:6" x14ac:dyDescent="0.25">
      <c r="A54" s="16">
        <v>45344</v>
      </c>
      <c r="B54" s="17" t="s">
        <v>191</v>
      </c>
      <c r="C54" s="15"/>
      <c r="D54" s="15"/>
      <c r="E54" s="15"/>
      <c r="F54" s="15"/>
    </row>
    <row r="55" spans="1:6" x14ac:dyDescent="0.25">
      <c r="A55" s="16">
        <v>45345</v>
      </c>
      <c r="B55" s="17" t="s">
        <v>191</v>
      </c>
      <c r="C55" s="15"/>
      <c r="D55" s="15"/>
      <c r="E55" s="15"/>
      <c r="F55" s="15"/>
    </row>
    <row r="56" spans="1:6" x14ac:dyDescent="0.25">
      <c r="A56" s="16">
        <v>45346</v>
      </c>
      <c r="B56" s="17" t="s">
        <v>197</v>
      </c>
      <c r="C56" s="15"/>
      <c r="D56" s="15"/>
      <c r="E56" s="15"/>
      <c r="F56" s="15"/>
    </row>
    <row r="57" spans="1:6" x14ac:dyDescent="0.25">
      <c r="A57" s="16">
        <v>45347</v>
      </c>
      <c r="B57" s="17" t="s">
        <v>197</v>
      </c>
      <c r="C57" s="15"/>
      <c r="D57" s="15"/>
      <c r="E57" s="15"/>
      <c r="F57" s="15"/>
    </row>
    <row r="58" spans="1:6" x14ac:dyDescent="0.25">
      <c r="A58" s="16">
        <v>45348</v>
      </c>
      <c r="B58" s="17" t="s">
        <v>191</v>
      </c>
      <c r="C58" s="15"/>
      <c r="D58" s="15"/>
      <c r="E58" s="15"/>
      <c r="F58" s="15"/>
    </row>
    <row r="59" spans="1:6" x14ac:dyDescent="0.25">
      <c r="A59" s="16">
        <v>45349</v>
      </c>
      <c r="B59" s="17" t="s">
        <v>191</v>
      </c>
      <c r="C59" s="15"/>
      <c r="D59" s="15"/>
      <c r="E59" s="15"/>
      <c r="F59" s="15"/>
    </row>
    <row r="60" spans="1:6" x14ac:dyDescent="0.25">
      <c r="A60" s="16">
        <v>45350</v>
      </c>
      <c r="B60" s="17" t="s">
        <v>191</v>
      </c>
      <c r="C60" s="15"/>
      <c r="D60" s="15"/>
      <c r="E60" s="15"/>
      <c r="F60" s="15"/>
    </row>
    <row r="61" spans="1:6" x14ac:dyDescent="0.25">
      <c r="A61" s="16">
        <v>45351</v>
      </c>
      <c r="B61" s="17" t="s">
        <v>191</v>
      </c>
      <c r="C61" s="15"/>
      <c r="D61" s="15"/>
      <c r="E61" s="15"/>
      <c r="F61" s="15"/>
    </row>
    <row r="62" spans="1:6" x14ac:dyDescent="0.25">
      <c r="A62" s="16">
        <v>45352</v>
      </c>
      <c r="B62" s="17" t="s">
        <v>191</v>
      </c>
      <c r="C62" s="15"/>
      <c r="D62" s="15"/>
      <c r="E62" s="15"/>
      <c r="F62" s="15"/>
    </row>
    <row r="63" spans="1:6" x14ac:dyDescent="0.25">
      <c r="A63" s="16">
        <v>45353</v>
      </c>
      <c r="B63" s="17" t="s">
        <v>197</v>
      </c>
      <c r="C63" s="15"/>
      <c r="D63" s="15"/>
      <c r="E63" s="15"/>
      <c r="F63" s="15"/>
    </row>
    <row r="64" spans="1:6" x14ac:dyDescent="0.25">
      <c r="A64" s="16">
        <v>45354</v>
      </c>
      <c r="B64" s="17" t="s">
        <v>197</v>
      </c>
      <c r="C64" s="15"/>
      <c r="D64" s="15"/>
      <c r="E64" s="15"/>
      <c r="F64" s="15"/>
    </row>
    <row r="65" spans="1:6" x14ac:dyDescent="0.25">
      <c r="A65" s="16">
        <v>45355</v>
      </c>
      <c r="B65" s="17" t="s">
        <v>191</v>
      </c>
      <c r="C65" s="15"/>
      <c r="D65" s="15"/>
      <c r="E65" s="15"/>
      <c r="F65" s="15"/>
    </row>
    <row r="66" spans="1:6" x14ac:dyDescent="0.25">
      <c r="A66" s="16">
        <v>45356</v>
      </c>
      <c r="B66" s="17" t="s">
        <v>191</v>
      </c>
      <c r="C66" s="15"/>
      <c r="D66" s="15"/>
      <c r="E66" s="15"/>
      <c r="F66" s="15"/>
    </row>
    <row r="67" spans="1:6" x14ac:dyDescent="0.25">
      <c r="A67" s="16">
        <v>45357</v>
      </c>
      <c r="B67" s="17" t="s">
        <v>191</v>
      </c>
      <c r="C67" s="15"/>
      <c r="D67" s="15"/>
      <c r="E67" s="15"/>
      <c r="F67" s="15"/>
    </row>
    <row r="68" spans="1:6" x14ac:dyDescent="0.25">
      <c r="A68" s="16">
        <v>45358</v>
      </c>
      <c r="B68" s="17" t="s">
        <v>191</v>
      </c>
      <c r="C68" s="15"/>
      <c r="D68" s="15"/>
      <c r="E68" s="15"/>
      <c r="F68" s="15"/>
    </row>
    <row r="69" spans="1:6" x14ac:dyDescent="0.25">
      <c r="A69" s="16">
        <v>45359</v>
      </c>
      <c r="B69" s="17" t="s">
        <v>191</v>
      </c>
      <c r="C69" s="15"/>
      <c r="D69" s="15"/>
      <c r="E69" s="15"/>
      <c r="F69" s="15"/>
    </row>
    <row r="70" spans="1:6" x14ac:dyDescent="0.25">
      <c r="A70" s="16">
        <v>45360</v>
      </c>
      <c r="B70" s="17" t="s">
        <v>197</v>
      </c>
      <c r="C70" s="15"/>
      <c r="D70" s="15"/>
      <c r="E70" s="15"/>
      <c r="F70" s="15"/>
    </row>
    <row r="71" spans="1:6" x14ac:dyDescent="0.25">
      <c r="A71" s="16">
        <v>45361</v>
      </c>
      <c r="B71" s="17" t="s">
        <v>197</v>
      </c>
      <c r="C71" s="15"/>
      <c r="D71" s="15"/>
      <c r="E71" s="15"/>
      <c r="F71" s="15"/>
    </row>
    <row r="72" spans="1:6" x14ac:dyDescent="0.25">
      <c r="A72" s="16">
        <v>45362</v>
      </c>
      <c r="B72" s="17" t="s">
        <v>191</v>
      </c>
      <c r="C72" s="15"/>
      <c r="D72" s="15"/>
      <c r="E72" s="15"/>
      <c r="F72" s="15"/>
    </row>
    <row r="73" spans="1:6" x14ac:dyDescent="0.25">
      <c r="A73" s="16">
        <v>45363</v>
      </c>
      <c r="B73" s="17" t="s">
        <v>191</v>
      </c>
      <c r="C73" s="15"/>
      <c r="D73" s="15"/>
      <c r="E73" s="15"/>
      <c r="F73" s="15"/>
    </row>
    <row r="74" spans="1:6" x14ac:dyDescent="0.25">
      <c r="A74" s="16">
        <v>45364</v>
      </c>
      <c r="B74" s="17" t="s">
        <v>191</v>
      </c>
      <c r="C74" s="15"/>
      <c r="D74" s="15"/>
      <c r="E74" s="15"/>
      <c r="F74" s="15"/>
    </row>
    <row r="75" spans="1:6" x14ac:dyDescent="0.25">
      <c r="A75" s="16">
        <v>45365</v>
      </c>
      <c r="B75" s="17" t="s">
        <v>191</v>
      </c>
      <c r="C75" s="15"/>
      <c r="D75" s="15"/>
      <c r="E75" s="15"/>
      <c r="F75" s="15"/>
    </row>
    <row r="76" spans="1:6" x14ac:dyDescent="0.25">
      <c r="A76" s="16">
        <v>45366</v>
      </c>
      <c r="B76" s="17" t="s">
        <v>191</v>
      </c>
      <c r="C76" s="15"/>
      <c r="D76" s="15"/>
      <c r="E76" s="15"/>
      <c r="F76" s="15"/>
    </row>
    <row r="77" spans="1:6" x14ac:dyDescent="0.25">
      <c r="A77" s="16">
        <v>45367</v>
      </c>
      <c r="B77" s="17" t="s">
        <v>197</v>
      </c>
      <c r="C77" s="15"/>
      <c r="D77" s="15"/>
      <c r="E77" s="15"/>
      <c r="F77" s="15"/>
    </row>
    <row r="78" spans="1:6" x14ac:dyDescent="0.25">
      <c r="A78" s="16">
        <v>45368</v>
      </c>
      <c r="B78" s="17" t="s">
        <v>197</v>
      </c>
      <c r="C78" s="15"/>
      <c r="D78" s="15"/>
      <c r="E78" s="15"/>
      <c r="F78" s="15"/>
    </row>
    <row r="79" spans="1:6" x14ac:dyDescent="0.25">
      <c r="A79" s="16">
        <v>45369</v>
      </c>
      <c r="B79" s="17" t="s">
        <v>191</v>
      </c>
      <c r="C79" s="15"/>
      <c r="D79" s="15"/>
      <c r="E79" s="15"/>
      <c r="F79" s="15"/>
    </row>
    <row r="80" spans="1:6" x14ac:dyDescent="0.25">
      <c r="A80" s="16">
        <v>45370</v>
      </c>
      <c r="B80" s="17" t="s">
        <v>191</v>
      </c>
      <c r="C80" s="15"/>
      <c r="D80" s="15"/>
      <c r="E80" s="15"/>
      <c r="F80" s="15"/>
    </row>
    <row r="81" spans="1:6" x14ac:dyDescent="0.25">
      <c r="A81" s="16">
        <v>45371</v>
      </c>
      <c r="B81" s="17" t="s">
        <v>191</v>
      </c>
      <c r="C81" s="15"/>
      <c r="D81" s="15"/>
      <c r="E81" s="15"/>
      <c r="F81" s="15"/>
    </row>
    <row r="82" spans="1:6" x14ac:dyDescent="0.25">
      <c r="A82" s="16">
        <v>45372</v>
      </c>
      <c r="B82" s="17" t="s">
        <v>191</v>
      </c>
      <c r="C82" s="15"/>
      <c r="D82" s="15"/>
      <c r="E82" s="15"/>
      <c r="F82" s="15"/>
    </row>
    <row r="83" spans="1:6" x14ac:dyDescent="0.25">
      <c r="A83" s="16">
        <v>45373</v>
      </c>
      <c r="B83" s="17" t="s">
        <v>191</v>
      </c>
      <c r="C83" s="15"/>
      <c r="D83" s="15"/>
      <c r="E83" s="15"/>
      <c r="F83" s="15"/>
    </row>
    <row r="84" spans="1:6" x14ac:dyDescent="0.25">
      <c r="A84" s="16">
        <v>45374</v>
      </c>
      <c r="B84" s="17" t="s">
        <v>197</v>
      </c>
      <c r="C84" s="15"/>
      <c r="D84" s="15"/>
      <c r="E84" s="15"/>
      <c r="F84" s="15"/>
    </row>
    <row r="85" spans="1:6" x14ac:dyDescent="0.25">
      <c r="A85" s="16">
        <v>45375</v>
      </c>
      <c r="B85" s="17" t="s">
        <v>197</v>
      </c>
      <c r="C85" s="15"/>
      <c r="D85" s="15"/>
      <c r="E85" s="15"/>
      <c r="F85" s="15"/>
    </row>
    <row r="86" spans="1:6" x14ac:dyDescent="0.25">
      <c r="A86" s="16">
        <v>45376</v>
      </c>
      <c r="B86" s="17" t="s">
        <v>197</v>
      </c>
      <c r="C86" s="15"/>
      <c r="D86" s="15"/>
      <c r="E86" s="15"/>
      <c r="F86" s="15"/>
    </row>
    <row r="87" spans="1:6" x14ac:dyDescent="0.25">
      <c r="A87" s="16">
        <v>45377</v>
      </c>
      <c r="B87" s="17" t="s">
        <v>191</v>
      </c>
      <c r="C87" s="15"/>
      <c r="D87" s="15"/>
      <c r="E87" s="15"/>
      <c r="F87" s="15"/>
    </row>
    <row r="88" spans="1:6" x14ac:dyDescent="0.25">
      <c r="A88" s="16">
        <v>45378</v>
      </c>
      <c r="B88" s="17" t="s">
        <v>191</v>
      </c>
      <c r="C88" s="15"/>
      <c r="D88" s="15"/>
      <c r="E88" s="15"/>
      <c r="F88" s="15"/>
    </row>
    <row r="89" spans="1:6" x14ac:dyDescent="0.25">
      <c r="A89" s="16">
        <v>45379</v>
      </c>
      <c r="B89" s="17" t="s">
        <v>191</v>
      </c>
      <c r="C89" s="15"/>
      <c r="D89" s="15"/>
      <c r="E89" s="15"/>
      <c r="F89" s="15"/>
    </row>
    <row r="90" spans="1:6" x14ac:dyDescent="0.25">
      <c r="A90" s="16">
        <v>45380</v>
      </c>
      <c r="B90" s="17" t="s">
        <v>197</v>
      </c>
      <c r="C90" s="15"/>
      <c r="D90" s="15"/>
      <c r="E90" s="15"/>
      <c r="F90" s="15"/>
    </row>
    <row r="91" spans="1:6" x14ac:dyDescent="0.25">
      <c r="A91" s="16">
        <v>45381</v>
      </c>
      <c r="B91" s="17" t="s">
        <v>197</v>
      </c>
      <c r="C91" s="15"/>
      <c r="D91" s="15"/>
      <c r="E91" s="15"/>
      <c r="F91" s="15"/>
    </row>
    <row r="92" spans="1:6" x14ac:dyDescent="0.25">
      <c r="A92" s="16">
        <v>45382</v>
      </c>
      <c r="B92" s="17" t="s">
        <v>197</v>
      </c>
      <c r="C92" s="15"/>
      <c r="D92" s="15"/>
      <c r="E92" s="15"/>
      <c r="F92" s="15"/>
    </row>
    <row r="93" spans="1:6" x14ac:dyDescent="0.25">
      <c r="A93" s="16">
        <v>45383</v>
      </c>
      <c r="B93" s="17" t="s">
        <v>191</v>
      </c>
      <c r="C93" s="15"/>
      <c r="D93" s="15"/>
      <c r="E93" s="15"/>
      <c r="F93" s="15"/>
    </row>
    <row r="94" spans="1:6" x14ac:dyDescent="0.25">
      <c r="A94" s="16">
        <v>45384</v>
      </c>
      <c r="B94" s="17" t="s">
        <v>191</v>
      </c>
      <c r="C94" s="15"/>
      <c r="D94" s="15"/>
      <c r="E94" s="15"/>
      <c r="F94" s="15"/>
    </row>
    <row r="95" spans="1:6" x14ac:dyDescent="0.25">
      <c r="A95" s="16">
        <v>45385</v>
      </c>
      <c r="B95" s="17" t="s">
        <v>191</v>
      </c>
      <c r="C95" s="15"/>
      <c r="D95" s="15"/>
      <c r="E95" s="15"/>
      <c r="F95" s="15"/>
    </row>
    <row r="96" spans="1:6" x14ac:dyDescent="0.25">
      <c r="A96" s="16">
        <v>45386</v>
      </c>
      <c r="B96" s="17" t="s">
        <v>191</v>
      </c>
      <c r="C96" s="15"/>
      <c r="D96" s="15"/>
      <c r="E96" s="15"/>
      <c r="F96" s="15"/>
    </row>
    <row r="97" spans="1:6" x14ac:dyDescent="0.25">
      <c r="A97" s="16">
        <v>45387</v>
      </c>
      <c r="B97" s="17" t="s">
        <v>191</v>
      </c>
      <c r="C97" s="15"/>
      <c r="D97" s="15"/>
      <c r="E97" s="15"/>
      <c r="F97" s="15"/>
    </row>
    <row r="98" spans="1:6" x14ac:dyDescent="0.25">
      <c r="A98" s="16">
        <v>45388</v>
      </c>
      <c r="B98" s="17" t="s">
        <v>197</v>
      </c>
      <c r="C98" s="15"/>
      <c r="D98" s="15"/>
      <c r="E98" s="15"/>
      <c r="F98" s="15"/>
    </row>
    <row r="99" spans="1:6" x14ac:dyDescent="0.25">
      <c r="A99" s="16">
        <v>45389</v>
      </c>
      <c r="B99" s="17" t="s">
        <v>197</v>
      </c>
      <c r="C99" s="15"/>
      <c r="D99" s="15"/>
      <c r="E99" s="15"/>
      <c r="F99" s="15"/>
    </row>
    <row r="100" spans="1:6" x14ac:dyDescent="0.25">
      <c r="A100" s="16">
        <v>45390</v>
      </c>
      <c r="B100" s="17" t="s">
        <v>191</v>
      </c>
      <c r="C100" s="15"/>
      <c r="D100" s="15"/>
      <c r="E100" s="15"/>
      <c r="F100" s="15"/>
    </row>
    <row r="101" spans="1:6" x14ac:dyDescent="0.25">
      <c r="A101" s="16">
        <v>45391</v>
      </c>
      <c r="B101" s="17" t="s">
        <v>191</v>
      </c>
      <c r="C101" s="15"/>
      <c r="D101" s="15"/>
      <c r="E101" s="15"/>
      <c r="F101" s="15"/>
    </row>
    <row r="102" spans="1:6" x14ac:dyDescent="0.25">
      <c r="A102" s="16">
        <v>45392</v>
      </c>
      <c r="B102" s="17" t="s">
        <v>191</v>
      </c>
      <c r="C102" s="15"/>
      <c r="D102" s="15"/>
      <c r="E102" s="15"/>
      <c r="F102" s="15"/>
    </row>
    <row r="103" spans="1:6" x14ac:dyDescent="0.25">
      <c r="A103" s="16">
        <v>45393</v>
      </c>
      <c r="B103" s="17" t="s">
        <v>191</v>
      </c>
      <c r="C103" s="15"/>
      <c r="D103" s="15"/>
      <c r="E103" s="15"/>
      <c r="F103" s="15"/>
    </row>
    <row r="104" spans="1:6" x14ac:dyDescent="0.25">
      <c r="A104" s="16">
        <v>45394</v>
      </c>
      <c r="B104" s="17" t="s">
        <v>191</v>
      </c>
      <c r="C104" s="15"/>
      <c r="D104" s="15"/>
      <c r="E104" s="15"/>
      <c r="F104" s="15"/>
    </row>
    <row r="105" spans="1:6" x14ac:dyDescent="0.25">
      <c r="A105" s="16">
        <v>45395</v>
      </c>
      <c r="B105" s="17" t="s">
        <v>197</v>
      </c>
      <c r="C105" s="15"/>
      <c r="D105" s="15"/>
      <c r="E105" s="15"/>
      <c r="F105" s="15"/>
    </row>
    <row r="106" spans="1:6" x14ac:dyDescent="0.25">
      <c r="A106" s="16">
        <v>45396</v>
      </c>
      <c r="B106" s="17" t="s">
        <v>197</v>
      </c>
      <c r="C106" s="15"/>
      <c r="D106" s="15"/>
      <c r="E106" s="15"/>
      <c r="F106" s="15"/>
    </row>
    <row r="107" spans="1:6" x14ac:dyDescent="0.25">
      <c r="A107" s="16">
        <v>45397</v>
      </c>
      <c r="B107" s="17" t="s">
        <v>191</v>
      </c>
      <c r="C107" s="15"/>
      <c r="D107" s="15"/>
      <c r="E107" s="15"/>
      <c r="F107" s="15"/>
    </row>
    <row r="108" spans="1:6" x14ac:dyDescent="0.25">
      <c r="A108" s="16">
        <v>45398</v>
      </c>
      <c r="B108" s="17" t="s">
        <v>191</v>
      </c>
      <c r="C108" s="15"/>
      <c r="D108" s="15"/>
      <c r="E108" s="15"/>
      <c r="F108" s="15"/>
    </row>
    <row r="109" spans="1:6" x14ac:dyDescent="0.25">
      <c r="A109" s="16">
        <v>45399</v>
      </c>
      <c r="B109" s="17" t="s">
        <v>191</v>
      </c>
      <c r="C109" s="15"/>
      <c r="D109" s="15"/>
      <c r="E109" s="15"/>
      <c r="F109" s="15"/>
    </row>
    <row r="110" spans="1:6" x14ac:dyDescent="0.25">
      <c r="A110" s="16">
        <v>45400</v>
      </c>
      <c r="B110" s="17" t="s">
        <v>191</v>
      </c>
      <c r="C110" s="15"/>
      <c r="D110" s="15"/>
      <c r="E110" s="15"/>
      <c r="F110" s="15"/>
    </row>
    <row r="111" spans="1:6" x14ac:dyDescent="0.25">
      <c r="A111" s="16">
        <v>45401</v>
      </c>
      <c r="B111" s="17" t="s">
        <v>191</v>
      </c>
      <c r="C111" s="15"/>
      <c r="D111" s="15"/>
      <c r="E111" s="15"/>
      <c r="F111" s="15"/>
    </row>
    <row r="112" spans="1:6" x14ac:dyDescent="0.25">
      <c r="A112" s="16">
        <v>45402</v>
      </c>
      <c r="B112" s="17" t="s">
        <v>197</v>
      </c>
      <c r="C112" s="15"/>
      <c r="D112" s="15"/>
      <c r="E112" s="15"/>
      <c r="F112" s="15"/>
    </row>
    <row r="113" spans="1:6" x14ac:dyDescent="0.25">
      <c r="A113" s="16">
        <v>45403</v>
      </c>
      <c r="B113" s="17" t="s">
        <v>197</v>
      </c>
      <c r="C113" s="15"/>
      <c r="D113" s="15"/>
      <c r="E113" s="15"/>
      <c r="F113" s="15"/>
    </row>
    <row r="114" spans="1:6" x14ac:dyDescent="0.25">
      <c r="A114" s="16">
        <v>45404</v>
      </c>
      <c r="B114" s="17" t="s">
        <v>191</v>
      </c>
      <c r="C114" s="15"/>
      <c r="D114" s="15"/>
      <c r="E114" s="15"/>
      <c r="F114" s="15"/>
    </row>
    <row r="115" spans="1:6" x14ac:dyDescent="0.25">
      <c r="A115" s="16">
        <v>45405</v>
      </c>
      <c r="B115" s="17" t="s">
        <v>191</v>
      </c>
      <c r="C115" s="15"/>
      <c r="D115" s="15"/>
      <c r="E115" s="15"/>
      <c r="F115" s="15"/>
    </row>
    <row r="116" spans="1:6" x14ac:dyDescent="0.25">
      <c r="A116" s="16">
        <v>45406</v>
      </c>
      <c r="B116" s="17" t="s">
        <v>191</v>
      </c>
      <c r="C116" s="15"/>
      <c r="D116" s="15"/>
      <c r="E116" s="15"/>
      <c r="F116" s="15"/>
    </row>
    <row r="117" spans="1:6" x14ac:dyDescent="0.25">
      <c r="A117" s="16">
        <v>45407</v>
      </c>
      <c r="B117" s="17" t="s">
        <v>191</v>
      </c>
      <c r="C117" s="15"/>
      <c r="D117" s="15"/>
      <c r="E117" s="15"/>
      <c r="F117" s="15"/>
    </row>
    <row r="118" spans="1:6" x14ac:dyDescent="0.25">
      <c r="A118" s="16">
        <v>45408</v>
      </c>
      <c r="B118" s="17" t="s">
        <v>191</v>
      </c>
      <c r="C118" s="15"/>
      <c r="D118" s="15"/>
      <c r="E118" s="15"/>
      <c r="F118" s="15"/>
    </row>
    <row r="119" spans="1:6" x14ac:dyDescent="0.25">
      <c r="A119" s="16">
        <v>45409</v>
      </c>
      <c r="B119" s="17" t="s">
        <v>197</v>
      </c>
      <c r="C119" s="15"/>
      <c r="D119" s="15"/>
      <c r="E119" s="15"/>
      <c r="F119" s="15"/>
    </row>
    <row r="120" spans="1:6" x14ac:dyDescent="0.25">
      <c r="A120" s="16">
        <v>45410</v>
      </c>
      <c r="B120" s="17" t="s">
        <v>197</v>
      </c>
      <c r="C120" s="15"/>
      <c r="D120" s="15"/>
      <c r="E120" s="15"/>
      <c r="F120" s="15"/>
    </row>
    <row r="121" spans="1:6" x14ac:dyDescent="0.25">
      <c r="A121" s="16">
        <v>45411</v>
      </c>
      <c r="B121" s="17" t="s">
        <v>191</v>
      </c>
      <c r="C121" s="15"/>
      <c r="D121" s="15"/>
      <c r="E121" s="15"/>
      <c r="F121" s="15"/>
    </row>
    <row r="122" spans="1:6" x14ac:dyDescent="0.25">
      <c r="A122" s="16">
        <v>45412</v>
      </c>
      <c r="B122" s="17" t="s">
        <v>191</v>
      </c>
      <c r="C122" s="15"/>
      <c r="D122" s="15"/>
      <c r="E122" s="15"/>
      <c r="F122" s="15"/>
    </row>
    <row r="123" spans="1:6" x14ac:dyDescent="0.25">
      <c r="A123" s="16">
        <v>45413</v>
      </c>
      <c r="B123" s="17" t="s">
        <v>191</v>
      </c>
      <c r="C123" s="15"/>
      <c r="D123" s="15"/>
      <c r="E123" s="15"/>
      <c r="F123" s="15"/>
    </row>
    <row r="124" spans="1:6" x14ac:dyDescent="0.25">
      <c r="A124" s="16">
        <v>45414</v>
      </c>
      <c r="B124" s="17" t="s">
        <v>191</v>
      </c>
      <c r="C124" s="15"/>
      <c r="D124" s="15"/>
      <c r="E124" s="15"/>
      <c r="F124" s="15"/>
    </row>
    <row r="125" spans="1:6" x14ac:dyDescent="0.25">
      <c r="A125" s="16">
        <v>45415</v>
      </c>
      <c r="B125" s="17" t="s">
        <v>191</v>
      </c>
      <c r="C125" s="15"/>
      <c r="D125" s="15"/>
      <c r="E125" s="15"/>
      <c r="F125" s="15"/>
    </row>
    <row r="126" spans="1:6" x14ac:dyDescent="0.25">
      <c r="A126" s="16">
        <v>45416</v>
      </c>
      <c r="B126" s="17" t="s">
        <v>197</v>
      </c>
      <c r="C126" s="15"/>
      <c r="D126" s="15"/>
      <c r="E126" s="15"/>
      <c r="F126" s="15"/>
    </row>
    <row r="127" spans="1:6" x14ac:dyDescent="0.25">
      <c r="A127" s="16">
        <v>45417</v>
      </c>
      <c r="B127" s="17" t="s">
        <v>197</v>
      </c>
      <c r="C127" s="15"/>
      <c r="D127" s="15"/>
      <c r="E127" s="15"/>
      <c r="F127" s="15"/>
    </row>
    <row r="128" spans="1:6" x14ac:dyDescent="0.25">
      <c r="A128" s="16">
        <v>45418</v>
      </c>
      <c r="B128" s="17" t="s">
        <v>191</v>
      </c>
      <c r="C128" s="15"/>
      <c r="D128" s="15"/>
      <c r="E128" s="15"/>
      <c r="F128" s="15"/>
    </row>
    <row r="129" spans="1:6" x14ac:dyDescent="0.25">
      <c r="A129" s="16">
        <v>45419</v>
      </c>
      <c r="B129" s="17" t="s">
        <v>191</v>
      </c>
      <c r="C129" s="15"/>
      <c r="D129" s="15"/>
      <c r="E129" s="15"/>
      <c r="F129" s="15"/>
    </row>
    <row r="130" spans="1:6" x14ac:dyDescent="0.25">
      <c r="A130" s="16">
        <v>45420</v>
      </c>
      <c r="B130" s="17" t="s">
        <v>191</v>
      </c>
      <c r="C130" s="15"/>
      <c r="D130" s="15"/>
      <c r="E130" s="15"/>
      <c r="F130" s="15"/>
    </row>
    <row r="131" spans="1:6" x14ac:dyDescent="0.25">
      <c r="A131" s="16">
        <v>45421</v>
      </c>
      <c r="B131" s="17" t="s">
        <v>191</v>
      </c>
      <c r="C131" s="15"/>
      <c r="D131" s="15"/>
      <c r="E131" s="15"/>
      <c r="F131" s="15"/>
    </row>
    <row r="132" spans="1:6" x14ac:dyDescent="0.25">
      <c r="A132" s="16">
        <v>45422</v>
      </c>
      <c r="B132" s="17" t="s">
        <v>191</v>
      </c>
      <c r="C132" s="15"/>
      <c r="D132" s="15"/>
      <c r="E132" s="15"/>
      <c r="F132" s="15"/>
    </row>
    <row r="133" spans="1:6" x14ac:dyDescent="0.25">
      <c r="A133" s="16">
        <v>45423</v>
      </c>
      <c r="B133" s="17" t="s">
        <v>197</v>
      </c>
      <c r="C133" s="15"/>
      <c r="D133" s="15"/>
      <c r="E133" s="15"/>
      <c r="F133" s="15"/>
    </row>
    <row r="134" spans="1:6" x14ac:dyDescent="0.25">
      <c r="A134" s="16">
        <v>45424</v>
      </c>
      <c r="B134" s="17" t="s">
        <v>197</v>
      </c>
      <c r="C134" s="15"/>
      <c r="D134" s="15"/>
      <c r="E134" s="15"/>
      <c r="F134" s="15"/>
    </row>
    <row r="135" spans="1:6" x14ac:dyDescent="0.25">
      <c r="A135" s="16">
        <v>45425</v>
      </c>
      <c r="B135" s="17" t="s">
        <v>191</v>
      </c>
      <c r="C135" s="15"/>
      <c r="D135" s="15"/>
      <c r="E135" s="15"/>
      <c r="F135" s="15"/>
    </row>
    <row r="136" spans="1:6" x14ac:dyDescent="0.25">
      <c r="A136" s="16">
        <v>45426</v>
      </c>
      <c r="B136" s="17" t="s">
        <v>191</v>
      </c>
      <c r="C136" s="15"/>
      <c r="D136" s="15"/>
      <c r="E136" s="15"/>
      <c r="F136" s="15"/>
    </row>
    <row r="137" spans="1:6" x14ac:dyDescent="0.25">
      <c r="A137" s="16">
        <v>45427</v>
      </c>
      <c r="B137" s="17" t="s">
        <v>191</v>
      </c>
      <c r="C137" s="15"/>
      <c r="D137" s="15"/>
      <c r="E137" s="15"/>
      <c r="F137" s="15"/>
    </row>
    <row r="138" spans="1:6" x14ac:dyDescent="0.25">
      <c r="A138" s="16">
        <v>45428</v>
      </c>
      <c r="B138" s="17" t="s">
        <v>191</v>
      </c>
      <c r="C138" s="15"/>
      <c r="D138" s="15"/>
      <c r="E138" s="15"/>
      <c r="F138" s="15"/>
    </row>
    <row r="139" spans="1:6" x14ac:dyDescent="0.25">
      <c r="A139" s="16">
        <v>45429</v>
      </c>
      <c r="B139" s="17" t="s">
        <v>191</v>
      </c>
      <c r="C139" s="15"/>
      <c r="D139" s="15"/>
      <c r="E139" s="15"/>
      <c r="F139" s="15"/>
    </row>
    <row r="140" spans="1:6" x14ac:dyDescent="0.25">
      <c r="A140" s="16">
        <v>45430</v>
      </c>
      <c r="B140" s="17" t="s">
        <v>197</v>
      </c>
      <c r="C140" s="15"/>
      <c r="D140" s="15"/>
      <c r="E140" s="15"/>
      <c r="F140" s="15"/>
    </row>
    <row r="141" spans="1:6" x14ac:dyDescent="0.25">
      <c r="A141" s="16">
        <v>45431</v>
      </c>
      <c r="B141" s="17" t="s">
        <v>197</v>
      </c>
      <c r="C141" s="15"/>
      <c r="D141" s="15"/>
      <c r="E141" s="15"/>
      <c r="F141" s="15"/>
    </row>
    <row r="142" spans="1:6" x14ac:dyDescent="0.25">
      <c r="A142" s="16">
        <v>45432</v>
      </c>
      <c r="B142" s="17" t="s">
        <v>191</v>
      </c>
      <c r="C142" s="15"/>
      <c r="D142" s="15"/>
      <c r="E142" s="15"/>
      <c r="F142" s="15"/>
    </row>
    <row r="143" spans="1:6" x14ac:dyDescent="0.25">
      <c r="A143" s="16">
        <v>45433</v>
      </c>
      <c r="B143" s="17" t="s">
        <v>191</v>
      </c>
      <c r="C143" s="15"/>
      <c r="D143" s="15"/>
      <c r="E143" s="15"/>
      <c r="F143" s="15"/>
    </row>
    <row r="144" spans="1:6" x14ac:dyDescent="0.25">
      <c r="A144" s="16">
        <v>45434</v>
      </c>
      <c r="B144" s="17" t="s">
        <v>191</v>
      </c>
      <c r="C144" s="15"/>
      <c r="D144" s="15"/>
      <c r="E144" s="15"/>
      <c r="F144" s="15"/>
    </row>
    <row r="145" spans="1:6" x14ac:dyDescent="0.25">
      <c r="A145" s="16">
        <v>45435</v>
      </c>
      <c r="B145" s="17" t="s">
        <v>191</v>
      </c>
      <c r="C145" s="15"/>
      <c r="D145" s="15"/>
      <c r="E145" s="15"/>
      <c r="F145" s="15"/>
    </row>
    <row r="146" spans="1:6" x14ac:dyDescent="0.25">
      <c r="A146" s="16">
        <v>45436</v>
      </c>
      <c r="B146" s="17" t="s">
        <v>191</v>
      </c>
      <c r="C146" s="15"/>
      <c r="D146" s="15"/>
      <c r="E146" s="15"/>
      <c r="F146" s="15"/>
    </row>
    <row r="147" spans="1:6" x14ac:dyDescent="0.25">
      <c r="A147" s="16">
        <v>45437</v>
      </c>
      <c r="B147" s="17" t="s">
        <v>197</v>
      </c>
      <c r="C147" s="15"/>
      <c r="D147" s="15"/>
      <c r="E147" s="15"/>
      <c r="F147" s="15"/>
    </row>
    <row r="148" spans="1:6" x14ac:dyDescent="0.25">
      <c r="A148" s="16">
        <v>45438</v>
      </c>
      <c r="B148" s="17" t="s">
        <v>197</v>
      </c>
      <c r="C148" s="15"/>
      <c r="D148" s="15"/>
      <c r="E148" s="15"/>
      <c r="F148" s="15"/>
    </row>
    <row r="149" spans="1:6" x14ac:dyDescent="0.25">
      <c r="A149" s="16">
        <v>45439</v>
      </c>
      <c r="B149" s="17" t="s">
        <v>191</v>
      </c>
      <c r="C149" s="15"/>
      <c r="D149" s="15"/>
      <c r="E149" s="15"/>
      <c r="F149" s="15"/>
    </row>
    <row r="150" spans="1:6" x14ac:dyDescent="0.25">
      <c r="A150" s="16">
        <v>45440</v>
      </c>
      <c r="B150" s="17" t="s">
        <v>191</v>
      </c>
      <c r="C150" s="15"/>
      <c r="D150" s="15"/>
      <c r="E150" s="15"/>
      <c r="F150" s="15"/>
    </row>
    <row r="151" spans="1:6" x14ac:dyDescent="0.25">
      <c r="A151" s="16">
        <v>45441</v>
      </c>
      <c r="B151" s="17" t="s">
        <v>191</v>
      </c>
      <c r="C151" s="15"/>
      <c r="D151" s="15"/>
      <c r="E151" s="15"/>
      <c r="F151" s="15"/>
    </row>
    <row r="152" spans="1:6" x14ac:dyDescent="0.25">
      <c r="A152" s="16">
        <v>45442</v>
      </c>
      <c r="B152" s="17" t="s">
        <v>191</v>
      </c>
      <c r="C152" s="15"/>
      <c r="D152" s="15"/>
      <c r="E152" s="15"/>
      <c r="F152" s="15"/>
    </row>
    <row r="153" spans="1:6" x14ac:dyDescent="0.25">
      <c r="A153" s="16">
        <v>45443</v>
      </c>
      <c r="B153" s="17" t="s">
        <v>191</v>
      </c>
      <c r="C153" s="15"/>
      <c r="D153" s="15"/>
      <c r="E153" s="15"/>
      <c r="F153" s="15"/>
    </row>
    <row r="154" spans="1:6" x14ac:dyDescent="0.25">
      <c r="A154" s="16">
        <v>45444</v>
      </c>
      <c r="B154" s="17" t="s">
        <v>197</v>
      </c>
      <c r="C154" s="15"/>
      <c r="D154" s="15"/>
      <c r="E154" s="15"/>
      <c r="F154" s="15"/>
    </row>
    <row r="155" spans="1:6" x14ac:dyDescent="0.25">
      <c r="A155" s="16">
        <v>45445</v>
      </c>
      <c r="B155" s="17" t="s">
        <v>197</v>
      </c>
      <c r="C155" s="15"/>
      <c r="D155" s="15"/>
      <c r="E155" s="15"/>
      <c r="F155" s="15"/>
    </row>
    <row r="156" spans="1:6" x14ac:dyDescent="0.25">
      <c r="A156" s="16">
        <v>45446</v>
      </c>
      <c r="B156" s="17" t="s">
        <v>191</v>
      </c>
      <c r="C156" s="15"/>
      <c r="D156" s="15"/>
      <c r="E156" s="15"/>
      <c r="F156" s="15"/>
    </row>
    <row r="157" spans="1:6" x14ac:dyDescent="0.25">
      <c r="A157" s="16">
        <v>45447</v>
      </c>
      <c r="B157" s="17" t="s">
        <v>191</v>
      </c>
      <c r="C157" s="15"/>
      <c r="D157" s="15"/>
      <c r="E157" s="15"/>
      <c r="F157" s="15"/>
    </row>
    <row r="158" spans="1:6" x14ac:dyDescent="0.25">
      <c r="A158" s="16">
        <v>45448</v>
      </c>
      <c r="B158" s="17" t="s">
        <v>191</v>
      </c>
      <c r="C158" s="15"/>
      <c r="D158" s="15"/>
      <c r="E158" s="15"/>
      <c r="F158" s="15"/>
    </row>
    <row r="159" spans="1:6" x14ac:dyDescent="0.25">
      <c r="A159" s="16">
        <v>45449</v>
      </c>
      <c r="B159" s="17" t="s">
        <v>191</v>
      </c>
      <c r="C159" s="15"/>
      <c r="D159" s="15"/>
      <c r="E159" s="15"/>
      <c r="F159" s="15"/>
    </row>
    <row r="160" spans="1:6" x14ac:dyDescent="0.25">
      <c r="A160" s="16">
        <v>45450</v>
      </c>
      <c r="B160" s="17" t="s">
        <v>191</v>
      </c>
      <c r="C160" s="15"/>
      <c r="D160" s="15"/>
      <c r="E160" s="15"/>
      <c r="F160" s="15"/>
    </row>
    <row r="161" spans="1:6" x14ac:dyDescent="0.25">
      <c r="A161" s="16">
        <v>45451</v>
      </c>
      <c r="B161" s="17" t="s">
        <v>197</v>
      </c>
      <c r="C161" s="15"/>
      <c r="D161" s="15"/>
      <c r="E161" s="15"/>
      <c r="F161" s="15"/>
    </row>
    <row r="162" spans="1:6" x14ac:dyDescent="0.25">
      <c r="A162" s="16">
        <v>45452</v>
      </c>
      <c r="B162" s="17" t="s">
        <v>197</v>
      </c>
      <c r="C162" s="15"/>
      <c r="D162" s="15"/>
      <c r="E162" s="15"/>
      <c r="F162" s="15"/>
    </row>
    <row r="163" spans="1:6" x14ac:dyDescent="0.25">
      <c r="A163" s="16">
        <v>45453</v>
      </c>
      <c r="B163" s="17" t="s">
        <v>191</v>
      </c>
      <c r="C163" s="15"/>
      <c r="D163" s="15"/>
      <c r="E163" s="15"/>
      <c r="F163" s="15"/>
    </row>
    <row r="164" spans="1:6" x14ac:dyDescent="0.25">
      <c r="A164" s="16">
        <v>45454</v>
      </c>
      <c r="B164" s="17" t="s">
        <v>191</v>
      </c>
      <c r="C164" s="15"/>
      <c r="D164" s="15"/>
      <c r="E164" s="15"/>
      <c r="F164" s="15"/>
    </row>
    <row r="165" spans="1:6" x14ac:dyDescent="0.25">
      <c r="A165" s="16">
        <v>45455</v>
      </c>
      <c r="B165" s="17" t="s">
        <v>191</v>
      </c>
      <c r="C165" s="15"/>
      <c r="D165" s="15"/>
      <c r="E165" s="15"/>
      <c r="F165" s="15"/>
    </row>
    <row r="166" spans="1:6" x14ac:dyDescent="0.25">
      <c r="A166" s="16">
        <v>45456</v>
      </c>
      <c r="B166" s="17" t="s">
        <v>191</v>
      </c>
      <c r="C166" s="15"/>
      <c r="D166" s="15"/>
      <c r="E166" s="15"/>
      <c r="F166" s="15"/>
    </row>
    <row r="167" spans="1:6" x14ac:dyDescent="0.25">
      <c r="A167" s="16">
        <v>45457</v>
      </c>
      <c r="B167" s="17" t="s">
        <v>191</v>
      </c>
      <c r="C167" s="15"/>
      <c r="D167" s="15"/>
      <c r="E167" s="15"/>
      <c r="F167" s="15"/>
    </row>
    <row r="168" spans="1:6" x14ac:dyDescent="0.25">
      <c r="A168" s="16">
        <v>45458</v>
      </c>
      <c r="B168" s="17" t="s">
        <v>197</v>
      </c>
      <c r="C168" s="15"/>
      <c r="D168" s="15"/>
      <c r="E168" s="15"/>
      <c r="F168" s="15"/>
    </row>
    <row r="169" spans="1:6" x14ac:dyDescent="0.25">
      <c r="A169" s="16">
        <v>45459</v>
      </c>
      <c r="B169" s="17" t="s">
        <v>197</v>
      </c>
      <c r="C169" s="15"/>
      <c r="D169" s="15"/>
      <c r="E169" s="15"/>
      <c r="F169" s="15"/>
    </row>
    <row r="170" spans="1:6" x14ac:dyDescent="0.25">
      <c r="A170" s="16">
        <v>45460</v>
      </c>
      <c r="B170" s="17" t="s">
        <v>191</v>
      </c>
      <c r="C170" s="15"/>
      <c r="D170" s="15"/>
      <c r="E170" s="15"/>
      <c r="F170" s="15"/>
    </row>
    <row r="171" spans="1:6" x14ac:dyDescent="0.25">
      <c r="A171" s="16">
        <v>45461</v>
      </c>
      <c r="B171" s="17" t="s">
        <v>191</v>
      </c>
      <c r="C171" s="15"/>
      <c r="D171" s="15"/>
      <c r="E171" s="15"/>
      <c r="F171" s="15"/>
    </row>
    <row r="172" spans="1:6" x14ac:dyDescent="0.25">
      <c r="A172" s="16">
        <v>45462</v>
      </c>
      <c r="B172" s="17" t="s">
        <v>191</v>
      </c>
      <c r="C172" s="15"/>
      <c r="D172" s="15"/>
      <c r="E172" s="15"/>
      <c r="F172" s="15"/>
    </row>
    <row r="173" spans="1:6" x14ac:dyDescent="0.25">
      <c r="A173" s="16">
        <v>45463</v>
      </c>
      <c r="B173" s="17" t="s">
        <v>191</v>
      </c>
      <c r="C173" s="15"/>
      <c r="D173" s="15"/>
      <c r="E173" s="15"/>
      <c r="F173" s="15"/>
    </row>
    <row r="174" spans="1:6" x14ac:dyDescent="0.25">
      <c r="A174" s="16">
        <v>45464</v>
      </c>
      <c r="B174" s="17" t="s">
        <v>191</v>
      </c>
      <c r="C174" s="15"/>
      <c r="D174" s="15"/>
      <c r="E174" s="15"/>
      <c r="F174" s="15"/>
    </row>
    <row r="175" spans="1:6" x14ac:dyDescent="0.25">
      <c r="A175" s="16">
        <v>45465</v>
      </c>
      <c r="B175" s="17" t="s">
        <v>197</v>
      </c>
      <c r="C175" s="15"/>
      <c r="D175" s="15"/>
      <c r="E175" s="15"/>
      <c r="F175" s="15"/>
    </row>
    <row r="176" spans="1:6" x14ac:dyDescent="0.25">
      <c r="A176" s="16">
        <v>45466</v>
      </c>
      <c r="B176" s="17" t="s">
        <v>197</v>
      </c>
      <c r="C176" s="15"/>
      <c r="D176" s="15"/>
      <c r="E176" s="15"/>
      <c r="F176" s="15"/>
    </row>
    <row r="177" spans="1:6" x14ac:dyDescent="0.25">
      <c r="A177" s="16">
        <v>45467</v>
      </c>
      <c r="B177" s="17" t="s">
        <v>191</v>
      </c>
      <c r="C177" s="15"/>
      <c r="D177" s="15"/>
      <c r="E177" s="15"/>
      <c r="F177" s="15"/>
    </row>
    <row r="178" spans="1:6" x14ac:dyDescent="0.25">
      <c r="A178" s="16">
        <v>45468</v>
      </c>
      <c r="B178" s="17" t="s">
        <v>191</v>
      </c>
      <c r="C178" s="15"/>
      <c r="D178" s="15"/>
      <c r="E178" s="15"/>
      <c r="F178" s="15"/>
    </row>
    <row r="179" spans="1:6" x14ac:dyDescent="0.25">
      <c r="A179" s="16">
        <v>45469</v>
      </c>
      <c r="B179" s="17" t="s">
        <v>191</v>
      </c>
      <c r="C179" s="15"/>
      <c r="D179" s="15"/>
      <c r="E179" s="15"/>
      <c r="F179" s="15"/>
    </row>
    <row r="180" spans="1:6" x14ac:dyDescent="0.25">
      <c r="A180" s="16">
        <v>45470</v>
      </c>
      <c r="B180" s="17" t="s">
        <v>191</v>
      </c>
      <c r="C180" s="15"/>
      <c r="D180" s="15"/>
      <c r="E180" s="15"/>
      <c r="F180" s="15"/>
    </row>
    <row r="181" spans="1:6" x14ac:dyDescent="0.25">
      <c r="A181" s="16">
        <v>45471</v>
      </c>
      <c r="B181" s="17" t="s">
        <v>191</v>
      </c>
      <c r="C181" s="15"/>
      <c r="D181" s="15"/>
      <c r="E181" s="15"/>
      <c r="F181" s="15"/>
    </row>
    <row r="182" spans="1:6" x14ac:dyDescent="0.25">
      <c r="A182" s="16">
        <v>45472</v>
      </c>
      <c r="B182" s="17" t="s">
        <v>197</v>
      </c>
      <c r="C182" s="15"/>
      <c r="D182" s="15"/>
      <c r="E182" s="15"/>
      <c r="F182" s="15"/>
    </row>
    <row r="183" spans="1:6" x14ac:dyDescent="0.25">
      <c r="A183" s="16">
        <v>45473</v>
      </c>
      <c r="B183" s="17" t="s">
        <v>197</v>
      </c>
      <c r="C183" s="15"/>
      <c r="D183" s="15"/>
      <c r="E183" s="15"/>
      <c r="F183" s="15"/>
    </row>
    <row r="184" spans="1:6" x14ac:dyDescent="0.25">
      <c r="A184" s="16">
        <v>45474</v>
      </c>
      <c r="B184" s="17" t="s">
        <v>191</v>
      </c>
      <c r="C184" s="15"/>
      <c r="D184" s="15"/>
      <c r="E184" s="15"/>
      <c r="F184" s="15"/>
    </row>
    <row r="185" spans="1:6" x14ac:dyDescent="0.25">
      <c r="A185" s="16">
        <v>45475</v>
      </c>
      <c r="B185" s="17" t="s">
        <v>191</v>
      </c>
      <c r="C185" s="15"/>
      <c r="D185" s="15"/>
      <c r="E185" s="15"/>
      <c r="F185" s="15"/>
    </row>
    <row r="186" spans="1:6" x14ac:dyDescent="0.25">
      <c r="A186" s="16">
        <v>45476</v>
      </c>
      <c r="B186" s="17" t="s">
        <v>191</v>
      </c>
      <c r="C186" s="15"/>
      <c r="D186" s="15"/>
      <c r="E186" s="15"/>
      <c r="F186" s="15"/>
    </row>
    <row r="187" spans="1:6" x14ac:dyDescent="0.25">
      <c r="A187" s="16">
        <v>45477</v>
      </c>
      <c r="B187" s="17" t="s">
        <v>191</v>
      </c>
      <c r="C187" s="15"/>
      <c r="D187" s="15"/>
      <c r="E187" s="15"/>
      <c r="F187" s="15"/>
    </row>
    <row r="188" spans="1:6" x14ac:dyDescent="0.25">
      <c r="A188" s="16">
        <v>45478</v>
      </c>
      <c r="B188" s="17" t="s">
        <v>191</v>
      </c>
      <c r="C188" s="15"/>
      <c r="D188" s="15"/>
      <c r="E188" s="15"/>
      <c r="F188" s="15"/>
    </row>
    <row r="189" spans="1:6" x14ac:dyDescent="0.25">
      <c r="A189" s="16">
        <v>45479</v>
      </c>
      <c r="B189" s="17" t="s">
        <v>197</v>
      </c>
      <c r="C189" s="15"/>
      <c r="D189" s="15"/>
      <c r="E189" s="15"/>
      <c r="F189" s="15"/>
    </row>
    <row r="190" spans="1:6" x14ac:dyDescent="0.25">
      <c r="A190" s="16">
        <v>45480</v>
      </c>
      <c r="B190" s="17" t="s">
        <v>197</v>
      </c>
      <c r="C190" s="15"/>
      <c r="D190" s="15"/>
      <c r="E190" s="15"/>
      <c r="F190" s="15"/>
    </row>
    <row r="191" spans="1:6" x14ac:dyDescent="0.25">
      <c r="A191" s="16">
        <v>45481</v>
      </c>
      <c r="B191" s="17" t="s">
        <v>191</v>
      </c>
      <c r="C191" s="15"/>
      <c r="D191" s="15"/>
      <c r="E191" s="15"/>
      <c r="F191" s="15"/>
    </row>
    <row r="192" spans="1:6" x14ac:dyDescent="0.25">
      <c r="A192" s="16">
        <v>45482</v>
      </c>
      <c r="B192" s="17" t="s">
        <v>191</v>
      </c>
      <c r="C192" s="15"/>
      <c r="D192" s="15"/>
      <c r="E192" s="15"/>
      <c r="F192" s="15"/>
    </row>
    <row r="193" spans="1:6" x14ac:dyDescent="0.25">
      <c r="A193" s="16">
        <v>45483</v>
      </c>
      <c r="B193" s="17" t="s">
        <v>191</v>
      </c>
      <c r="C193" s="15"/>
      <c r="D193" s="15"/>
      <c r="E193" s="15"/>
      <c r="F193" s="15"/>
    </row>
    <row r="194" spans="1:6" x14ac:dyDescent="0.25">
      <c r="A194" s="16">
        <v>45484</v>
      </c>
      <c r="B194" s="17" t="s">
        <v>191</v>
      </c>
      <c r="C194" s="15"/>
      <c r="D194" s="15"/>
      <c r="E194" s="15"/>
      <c r="F194" s="15"/>
    </row>
    <row r="195" spans="1:6" x14ac:dyDescent="0.25">
      <c r="A195" s="16">
        <v>45485</v>
      </c>
      <c r="B195" s="17" t="s">
        <v>191</v>
      </c>
      <c r="C195" s="15"/>
      <c r="D195" s="15"/>
      <c r="E195" s="15"/>
      <c r="F195" s="15"/>
    </row>
    <row r="196" spans="1:6" x14ac:dyDescent="0.25">
      <c r="A196" s="16">
        <v>45486</v>
      </c>
      <c r="B196" s="17" t="s">
        <v>197</v>
      </c>
      <c r="C196" s="15"/>
      <c r="D196" s="15"/>
      <c r="E196" s="15"/>
      <c r="F196" s="15"/>
    </row>
    <row r="197" spans="1:6" x14ac:dyDescent="0.25">
      <c r="A197" s="16">
        <v>45487</v>
      </c>
      <c r="B197" s="17" t="s">
        <v>197</v>
      </c>
      <c r="C197" s="15"/>
      <c r="D197" s="15"/>
      <c r="E197" s="15"/>
      <c r="F197" s="15"/>
    </row>
    <row r="198" spans="1:6" x14ac:dyDescent="0.25">
      <c r="A198" s="16">
        <v>45488</v>
      </c>
      <c r="B198" s="17" t="s">
        <v>191</v>
      </c>
      <c r="C198" s="15"/>
      <c r="D198" s="15"/>
      <c r="E198" s="15"/>
      <c r="F198" s="15"/>
    </row>
    <row r="199" spans="1:6" x14ac:dyDescent="0.25">
      <c r="A199" s="16">
        <v>45489</v>
      </c>
      <c r="B199" s="17" t="s">
        <v>191</v>
      </c>
      <c r="C199" s="15"/>
      <c r="D199" s="15"/>
      <c r="E199" s="15"/>
      <c r="F199" s="15"/>
    </row>
    <row r="200" spans="1:6" x14ac:dyDescent="0.25">
      <c r="A200" s="16">
        <v>45490</v>
      </c>
      <c r="B200" s="17" t="s">
        <v>191</v>
      </c>
      <c r="C200" s="15"/>
      <c r="D200" s="15"/>
      <c r="E200" s="15"/>
      <c r="F200" s="15"/>
    </row>
    <row r="201" spans="1:6" x14ac:dyDescent="0.25">
      <c r="A201" s="16">
        <v>45491</v>
      </c>
      <c r="B201" s="17" t="s">
        <v>191</v>
      </c>
      <c r="C201" s="15"/>
      <c r="D201" s="15"/>
      <c r="E201" s="15"/>
      <c r="F201" s="15"/>
    </row>
    <row r="202" spans="1:6" x14ac:dyDescent="0.25">
      <c r="A202" s="16">
        <v>45492</v>
      </c>
      <c r="B202" s="17" t="s">
        <v>191</v>
      </c>
      <c r="C202" s="15"/>
      <c r="D202" s="15"/>
      <c r="E202" s="15"/>
      <c r="F202" s="15"/>
    </row>
    <row r="203" spans="1:6" x14ac:dyDescent="0.25">
      <c r="A203" s="16">
        <v>45493</v>
      </c>
      <c r="B203" s="17" t="s">
        <v>197</v>
      </c>
      <c r="C203" s="15"/>
      <c r="D203" s="15"/>
      <c r="E203" s="15"/>
      <c r="F203" s="15"/>
    </row>
    <row r="204" spans="1:6" x14ac:dyDescent="0.25">
      <c r="A204" s="16">
        <v>45494</v>
      </c>
      <c r="B204" s="17" t="s">
        <v>197</v>
      </c>
      <c r="C204" s="15"/>
      <c r="D204" s="15"/>
      <c r="E204" s="15"/>
      <c r="F204" s="15"/>
    </row>
    <row r="205" spans="1:6" x14ac:dyDescent="0.25">
      <c r="A205" s="16">
        <v>45495</v>
      </c>
      <c r="B205" s="17" t="s">
        <v>191</v>
      </c>
      <c r="C205" s="15"/>
      <c r="D205" s="15"/>
      <c r="E205" s="15"/>
      <c r="F205" s="15"/>
    </row>
    <row r="206" spans="1:6" x14ac:dyDescent="0.25">
      <c r="A206" s="16">
        <v>45496</v>
      </c>
      <c r="B206" s="17" t="s">
        <v>191</v>
      </c>
      <c r="C206" s="15"/>
      <c r="D206" s="15"/>
      <c r="E206" s="15"/>
      <c r="F206" s="15"/>
    </row>
    <row r="207" spans="1:6" x14ac:dyDescent="0.25">
      <c r="A207" s="16">
        <v>45497</v>
      </c>
      <c r="B207" s="17" t="s">
        <v>191</v>
      </c>
      <c r="C207" s="15"/>
      <c r="D207" s="15"/>
      <c r="E207" s="15"/>
      <c r="F207" s="15"/>
    </row>
    <row r="208" spans="1:6" x14ac:dyDescent="0.25">
      <c r="A208" s="16">
        <v>45498</v>
      </c>
      <c r="B208" s="17" t="s">
        <v>191</v>
      </c>
      <c r="C208" s="15"/>
      <c r="D208" s="15"/>
      <c r="E208" s="15"/>
      <c r="F208" s="15"/>
    </row>
    <row r="209" spans="1:6" x14ac:dyDescent="0.25">
      <c r="A209" s="16">
        <v>45499</v>
      </c>
      <c r="B209" s="17" t="s">
        <v>191</v>
      </c>
      <c r="C209" s="15"/>
      <c r="D209" s="15"/>
      <c r="E209" s="15"/>
      <c r="F209" s="15"/>
    </row>
    <row r="210" spans="1:6" x14ac:dyDescent="0.25">
      <c r="A210" s="16">
        <v>45500</v>
      </c>
      <c r="B210" s="17" t="s">
        <v>197</v>
      </c>
      <c r="C210" s="15"/>
      <c r="D210" s="15"/>
      <c r="E210" s="15"/>
      <c r="F210" s="15"/>
    </row>
    <row r="211" spans="1:6" x14ac:dyDescent="0.25">
      <c r="A211" s="16">
        <v>45501</v>
      </c>
      <c r="B211" s="17" t="s">
        <v>197</v>
      </c>
      <c r="C211" s="15"/>
      <c r="D211" s="15"/>
      <c r="E211" s="15"/>
      <c r="F211" s="15"/>
    </row>
    <row r="212" spans="1:6" x14ac:dyDescent="0.25">
      <c r="A212" s="16">
        <v>45502</v>
      </c>
      <c r="B212" s="17" t="s">
        <v>191</v>
      </c>
      <c r="C212" s="15"/>
      <c r="D212" s="15"/>
      <c r="E212" s="15"/>
      <c r="F212" s="15"/>
    </row>
    <row r="213" spans="1:6" x14ac:dyDescent="0.25">
      <c r="A213" s="16">
        <v>45503</v>
      </c>
      <c r="B213" s="17" t="s">
        <v>191</v>
      </c>
      <c r="C213" s="15"/>
      <c r="D213" s="15"/>
      <c r="E213" s="15"/>
      <c r="F213" s="15"/>
    </row>
    <row r="214" spans="1:6" x14ac:dyDescent="0.25">
      <c r="A214" s="16">
        <v>45504</v>
      </c>
      <c r="B214" s="17" t="s">
        <v>191</v>
      </c>
      <c r="C214" s="15"/>
      <c r="D214" s="15"/>
      <c r="E214" s="15"/>
      <c r="F214" s="15"/>
    </row>
    <row r="215" spans="1:6" x14ac:dyDescent="0.25">
      <c r="A215" s="16">
        <v>45505</v>
      </c>
      <c r="B215" s="17" t="s">
        <v>191</v>
      </c>
      <c r="C215" s="15"/>
      <c r="D215" s="15"/>
      <c r="E215" s="15"/>
      <c r="F215" s="15"/>
    </row>
    <row r="216" spans="1:6" x14ac:dyDescent="0.25">
      <c r="A216" s="16">
        <v>45506</v>
      </c>
      <c r="B216" s="17" t="s">
        <v>191</v>
      </c>
      <c r="C216" s="15"/>
      <c r="D216" s="15"/>
      <c r="E216" s="15"/>
      <c r="F216" s="15"/>
    </row>
    <row r="217" spans="1:6" x14ac:dyDescent="0.25">
      <c r="A217" s="16">
        <v>45507</v>
      </c>
      <c r="B217" s="17" t="s">
        <v>197</v>
      </c>
      <c r="C217" s="15"/>
      <c r="D217" s="15"/>
      <c r="E217" s="15"/>
      <c r="F217" s="15"/>
    </row>
    <row r="218" spans="1:6" x14ac:dyDescent="0.25">
      <c r="A218" s="16">
        <v>45508</v>
      </c>
      <c r="B218" s="17" t="s">
        <v>197</v>
      </c>
      <c r="C218" s="15"/>
      <c r="D218" s="15"/>
      <c r="E218" s="15"/>
      <c r="F218" s="15"/>
    </row>
    <row r="219" spans="1:6" x14ac:dyDescent="0.25">
      <c r="A219" s="16">
        <v>45509</v>
      </c>
      <c r="B219" s="17" t="s">
        <v>191</v>
      </c>
      <c r="C219" s="15"/>
      <c r="D219" s="15"/>
      <c r="E219" s="15"/>
      <c r="F219" s="15"/>
    </row>
    <row r="220" spans="1:6" x14ac:dyDescent="0.25">
      <c r="A220" s="16">
        <v>45510</v>
      </c>
      <c r="B220" s="17" t="s">
        <v>191</v>
      </c>
      <c r="C220" s="15"/>
      <c r="D220" s="15"/>
      <c r="E220" s="15"/>
      <c r="F220" s="15"/>
    </row>
    <row r="221" spans="1:6" x14ac:dyDescent="0.25">
      <c r="A221" s="16">
        <v>45511</v>
      </c>
      <c r="B221" s="17" t="s">
        <v>191</v>
      </c>
      <c r="C221" s="15"/>
      <c r="D221" s="15"/>
      <c r="E221" s="15"/>
      <c r="F221" s="15"/>
    </row>
    <row r="222" spans="1:6" x14ac:dyDescent="0.25">
      <c r="A222" s="16">
        <v>45512</v>
      </c>
      <c r="B222" s="17" t="s">
        <v>191</v>
      </c>
      <c r="C222" s="15"/>
      <c r="D222" s="15"/>
      <c r="E222" s="15"/>
      <c r="F222" s="15"/>
    </row>
    <row r="223" spans="1:6" x14ac:dyDescent="0.25">
      <c r="A223" s="16">
        <v>45513</v>
      </c>
      <c r="B223" s="17" t="s">
        <v>191</v>
      </c>
      <c r="C223" s="15"/>
      <c r="D223" s="15"/>
      <c r="E223" s="15"/>
      <c r="F223" s="15"/>
    </row>
    <row r="224" spans="1:6" x14ac:dyDescent="0.25">
      <c r="A224" s="16">
        <v>45514</v>
      </c>
      <c r="B224" s="17" t="s">
        <v>197</v>
      </c>
      <c r="C224" s="15"/>
      <c r="D224" s="15"/>
      <c r="E224" s="15"/>
      <c r="F224" s="15"/>
    </row>
    <row r="225" spans="1:6" x14ac:dyDescent="0.25">
      <c r="A225" s="16">
        <v>45515</v>
      </c>
      <c r="B225" s="17" t="s">
        <v>197</v>
      </c>
      <c r="C225" s="15"/>
      <c r="D225" s="15"/>
      <c r="E225" s="15"/>
      <c r="F225" s="15"/>
    </row>
    <row r="226" spans="1:6" x14ac:dyDescent="0.25">
      <c r="A226" s="16">
        <v>45516</v>
      </c>
      <c r="B226" s="17" t="s">
        <v>191</v>
      </c>
      <c r="C226" s="15"/>
      <c r="D226" s="15"/>
      <c r="E226" s="15"/>
      <c r="F226" s="15"/>
    </row>
    <row r="227" spans="1:6" x14ac:dyDescent="0.25">
      <c r="A227" s="16">
        <v>45517</v>
      </c>
      <c r="B227" s="17" t="s">
        <v>191</v>
      </c>
      <c r="C227" s="15"/>
      <c r="D227" s="15"/>
      <c r="E227" s="15"/>
      <c r="F227" s="15"/>
    </row>
    <row r="228" spans="1:6" x14ac:dyDescent="0.25">
      <c r="A228" s="16">
        <v>45518</v>
      </c>
      <c r="B228" s="17" t="s">
        <v>191</v>
      </c>
      <c r="C228" s="15"/>
      <c r="D228" s="15"/>
      <c r="E228" s="15"/>
      <c r="F228" s="15"/>
    </row>
    <row r="229" spans="1:6" x14ac:dyDescent="0.25">
      <c r="A229" s="16">
        <v>45519</v>
      </c>
      <c r="B229" s="17" t="s">
        <v>197</v>
      </c>
      <c r="C229" s="15"/>
      <c r="D229" s="15"/>
      <c r="E229" s="15"/>
      <c r="F229" s="15"/>
    </row>
    <row r="230" spans="1:6" x14ac:dyDescent="0.25">
      <c r="A230" s="16">
        <v>45520</v>
      </c>
      <c r="B230" s="17" t="s">
        <v>191</v>
      </c>
      <c r="C230" s="15"/>
      <c r="D230" s="15"/>
      <c r="E230" s="15"/>
      <c r="F230" s="15"/>
    </row>
    <row r="231" spans="1:6" x14ac:dyDescent="0.25">
      <c r="A231" s="16">
        <v>45521</v>
      </c>
      <c r="B231" s="17" t="s">
        <v>197</v>
      </c>
      <c r="C231" s="15"/>
      <c r="D231" s="15"/>
      <c r="E231" s="15"/>
      <c r="F231" s="15"/>
    </row>
    <row r="232" spans="1:6" x14ac:dyDescent="0.25">
      <c r="A232" s="16">
        <v>45522</v>
      </c>
      <c r="B232" s="17" t="s">
        <v>197</v>
      </c>
      <c r="C232" s="15"/>
      <c r="D232" s="15"/>
      <c r="E232" s="15"/>
      <c r="F232" s="15"/>
    </row>
    <row r="233" spans="1:6" x14ac:dyDescent="0.25">
      <c r="A233" s="16">
        <v>45523</v>
      </c>
      <c r="B233" s="17" t="s">
        <v>191</v>
      </c>
      <c r="C233" s="15"/>
      <c r="D233" s="15"/>
      <c r="E233" s="15"/>
      <c r="F233" s="15"/>
    </row>
    <row r="234" spans="1:6" x14ac:dyDescent="0.25">
      <c r="A234" s="16">
        <v>45524</v>
      </c>
      <c r="B234" s="17" t="s">
        <v>191</v>
      </c>
      <c r="C234" s="15"/>
      <c r="D234" s="15"/>
      <c r="E234" s="15"/>
      <c r="F234" s="15"/>
    </row>
    <row r="235" spans="1:6" x14ac:dyDescent="0.25">
      <c r="A235" s="16">
        <v>45525</v>
      </c>
      <c r="B235" s="17" t="s">
        <v>191</v>
      </c>
      <c r="C235" s="15"/>
      <c r="D235" s="15"/>
      <c r="E235" s="15"/>
      <c r="F235" s="15"/>
    </row>
    <row r="236" spans="1:6" x14ac:dyDescent="0.25">
      <c r="A236" s="16">
        <v>45526</v>
      </c>
      <c r="B236" s="17" t="s">
        <v>191</v>
      </c>
      <c r="C236" s="15"/>
      <c r="D236" s="15"/>
      <c r="E236" s="15"/>
      <c r="F236" s="15"/>
    </row>
    <row r="237" spans="1:6" x14ac:dyDescent="0.25">
      <c r="A237" s="16">
        <v>45527</v>
      </c>
      <c r="B237" s="17" t="s">
        <v>191</v>
      </c>
      <c r="C237" s="15"/>
      <c r="D237" s="15"/>
      <c r="E237" s="15"/>
      <c r="F237" s="15"/>
    </row>
    <row r="238" spans="1:6" x14ac:dyDescent="0.25">
      <c r="A238" s="16">
        <v>45528</v>
      </c>
      <c r="B238" s="17" t="s">
        <v>197</v>
      </c>
      <c r="C238" s="15"/>
      <c r="D238" s="15"/>
      <c r="E238" s="15"/>
      <c r="F238" s="15"/>
    </row>
    <row r="239" spans="1:6" x14ac:dyDescent="0.25">
      <c r="A239" s="16">
        <v>45529</v>
      </c>
      <c r="B239" s="17" t="s">
        <v>197</v>
      </c>
      <c r="C239" s="15"/>
      <c r="D239" s="15"/>
      <c r="E239" s="15"/>
      <c r="F239" s="15"/>
    </row>
    <row r="240" spans="1:6" x14ac:dyDescent="0.25">
      <c r="A240" s="16">
        <v>45530</v>
      </c>
      <c r="B240" s="17" t="s">
        <v>191</v>
      </c>
      <c r="C240" s="15"/>
      <c r="D240" s="15"/>
      <c r="E240" s="15"/>
      <c r="F240" s="15"/>
    </row>
    <row r="241" spans="1:6" x14ac:dyDescent="0.25">
      <c r="A241" s="16">
        <v>45531</v>
      </c>
      <c r="B241" s="17" t="s">
        <v>191</v>
      </c>
      <c r="C241" s="15"/>
      <c r="D241" s="15"/>
      <c r="E241" s="15"/>
      <c r="F241" s="15"/>
    </row>
    <row r="242" spans="1:6" x14ac:dyDescent="0.25">
      <c r="A242" s="16">
        <v>45532</v>
      </c>
      <c r="B242" s="17" t="s">
        <v>191</v>
      </c>
      <c r="C242" s="15"/>
      <c r="D242" s="15"/>
      <c r="E242" s="15"/>
      <c r="F242" s="15"/>
    </row>
    <row r="243" spans="1:6" x14ac:dyDescent="0.25">
      <c r="A243" s="16">
        <v>45533</v>
      </c>
      <c r="B243" s="17" t="s">
        <v>191</v>
      </c>
      <c r="C243" s="15"/>
      <c r="D243" s="15"/>
      <c r="E243" s="15"/>
      <c r="F243" s="15"/>
    </row>
    <row r="244" spans="1:6" x14ac:dyDescent="0.25">
      <c r="A244" s="16">
        <v>45534</v>
      </c>
      <c r="B244" s="17" t="s">
        <v>191</v>
      </c>
      <c r="C244" s="15"/>
      <c r="D244" s="15"/>
      <c r="E244" s="15"/>
      <c r="F244" s="15"/>
    </row>
    <row r="245" spans="1:6" x14ac:dyDescent="0.25">
      <c r="A245" s="16">
        <v>45535</v>
      </c>
      <c r="B245" s="17" t="s">
        <v>197</v>
      </c>
      <c r="C245" s="15"/>
      <c r="D245" s="15"/>
      <c r="E245" s="15"/>
      <c r="F245" s="15"/>
    </row>
    <row r="246" spans="1:6" x14ac:dyDescent="0.25">
      <c r="A246" s="16">
        <v>45536</v>
      </c>
      <c r="B246" s="17" t="s">
        <v>197</v>
      </c>
      <c r="C246" s="15"/>
      <c r="D246" s="15"/>
      <c r="E246" s="15"/>
      <c r="F246" s="15"/>
    </row>
    <row r="247" spans="1:6" x14ac:dyDescent="0.25">
      <c r="A247" s="16">
        <v>45537</v>
      </c>
      <c r="B247" s="17" t="s">
        <v>191</v>
      </c>
      <c r="C247" s="15"/>
      <c r="D247" s="15"/>
      <c r="E247" s="15"/>
      <c r="F247" s="15"/>
    </row>
    <row r="248" spans="1:6" x14ac:dyDescent="0.25">
      <c r="A248" s="16">
        <v>45538</v>
      </c>
      <c r="B248" s="17" t="s">
        <v>191</v>
      </c>
      <c r="C248" s="15"/>
      <c r="D248" s="15"/>
      <c r="E248" s="15"/>
      <c r="F248" s="15"/>
    </row>
    <row r="249" spans="1:6" x14ac:dyDescent="0.25">
      <c r="A249" s="16">
        <v>45539</v>
      </c>
      <c r="B249" s="17" t="s">
        <v>191</v>
      </c>
      <c r="C249" s="15"/>
      <c r="D249" s="15"/>
      <c r="E249" s="15"/>
      <c r="F249" s="15"/>
    </row>
    <row r="250" spans="1:6" x14ac:dyDescent="0.25">
      <c r="A250" s="16">
        <v>45540</v>
      </c>
      <c r="B250" s="17" t="s">
        <v>191</v>
      </c>
      <c r="C250" s="15"/>
      <c r="D250" s="15"/>
      <c r="E250" s="15"/>
      <c r="F250" s="15"/>
    </row>
    <row r="251" spans="1:6" x14ac:dyDescent="0.25">
      <c r="A251" s="16">
        <v>45541</v>
      </c>
      <c r="B251" s="17" t="s">
        <v>191</v>
      </c>
      <c r="C251" s="15"/>
      <c r="D251" s="15"/>
      <c r="E251" s="15"/>
      <c r="F251" s="15"/>
    </row>
    <row r="252" spans="1:6" x14ac:dyDescent="0.25">
      <c r="A252" s="16">
        <v>45542</v>
      </c>
      <c r="B252" s="17" t="s">
        <v>197</v>
      </c>
      <c r="C252" s="15"/>
      <c r="D252" s="15"/>
      <c r="E252" s="15"/>
      <c r="F252" s="15"/>
    </row>
    <row r="253" spans="1:6" x14ac:dyDescent="0.25">
      <c r="A253" s="16">
        <v>45543</v>
      </c>
      <c r="B253" s="17" t="s">
        <v>197</v>
      </c>
      <c r="C253" s="15"/>
      <c r="D253" s="15"/>
      <c r="E253" s="15"/>
      <c r="F253" s="15"/>
    </row>
    <row r="254" spans="1:6" x14ac:dyDescent="0.25">
      <c r="A254" s="16">
        <v>45544</v>
      </c>
      <c r="B254" s="17" t="s">
        <v>191</v>
      </c>
      <c r="C254" s="15"/>
      <c r="D254" s="15"/>
      <c r="E254" s="15"/>
      <c r="F254" s="15"/>
    </row>
    <row r="255" spans="1:6" x14ac:dyDescent="0.25">
      <c r="A255" s="16">
        <v>45545</v>
      </c>
      <c r="B255" s="17" t="s">
        <v>191</v>
      </c>
      <c r="C255" s="15"/>
      <c r="D255" s="15"/>
      <c r="E255" s="15"/>
      <c r="F255" s="15"/>
    </row>
    <row r="256" spans="1:6" x14ac:dyDescent="0.25">
      <c r="A256" s="16">
        <v>45546</v>
      </c>
      <c r="B256" s="17" t="s">
        <v>191</v>
      </c>
      <c r="C256" s="15"/>
      <c r="D256" s="15"/>
      <c r="E256" s="15"/>
      <c r="F256" s="15"/>
    </row>
    <row r="257" spans="1:6" x14ac:dyDescent="0.25">
      <c r="A257" s="16">
        <v>45547</v>
      </c>
      <c r="B257" s="17" t="s">
        <v>191</v>
      </c>
      <c r="C257" s="15"/>
      <c r="D257" s="15"/>
      <c r="E257" s="15"/>
      <c r="F257" s="15"/>
    </row>
    <row r="258" spans="1:6" x14ac:dyDescent="0.25">
      <c r="A258" s="16">
        <v>45548</v>
      </c>
      <c r="B258" s="17" t="s">
        <v>191</v>
      </c>
      <c r="C258" s="15"/>
      <c r="D258" s="15"/>
      <c r="E258" s="15"/>
      <c r="F258" s="15"/>
    </row>
    <row r="259" spans="1:6" x14ac:dyDescent="0.25">
      <c r="A259" s="16">
        <v>45549</v>
      </c>
      <c r="B259" s="17" t="s">
        <v>197</v>
      </c>
      <c r="C259" s="15"/>
      <c r="D259" s="15"/>
      <c r="E259" s="15"/>
      <c r="F259" s="15"/>
    </row>
    <row r="260" spans="1:6" x14ac:dyDescent="0.25">
      <c r="A260" s="16">
        <v>45550</v>
      </c>
      <c r="B260" s="17" t="s">
        <v>197</v>
      </c>
      <c r="C260" s="15"/>
      <c r="D260" s="15"/>
      <c r="E260" s="15"/>
      <c r="F260" s="15"/>
    </row>
    <row r="261" spans="1:6" x14ac:dyDescent="0.25">
      <c r="A261" s="16">
        <v>45551</v>
      </c>
      <c r="B261" s="17" t="s">
        <v>191</v>
      </c>
      <c r="C261" s="15"/>
      <c r="D261" s="15"/>
      <c r="E261" s="15"/>
      <c r="F261" s="15"/>
    </row>
    <row r="262" spans="1:6" x14ac:dyDescent="0.25">
      <c r="A262" s="16">
        <v>45552</v>
      </c>
      <c r="B262" s="17" t="s">
        <v>191</v>
      </c>
      <c r="C262" s="15"/>
      <c r="D262" s="15"/>
      <c r="E262" s="15"/>
      <c r="F262" s="15"/>
    </row>
    <row r="263" spans="1:6" x14ac:dyDescent="0.25">
      <c r="A263" s="16">
        <v>45553</v>
      </c>
      <c r="B263" s="17" t="s">
        <v>191</v>
      </c>
      <c r="C263" s="15"/>
      <c r="D263" s="15"/>
      <c r="E263" s="15"/>
      <c r="F263" s="15"/>
    </row>
    <row r="264" spans="1:6" x14ac:dyDescent="0.25">
      <c r="A264" s="16">
        <v>45554</v>
      </c>
      <c r="B264" s="17" t="s">
        <v>191</v>
      </c>
      <c r="C264" s="15"/>
      <c r="D264" s="15"/>
      <c r="E264" s="15"/>
      <c r="F264" s="15"/>
    </row>
    <row r="265" spans="1:6" x14ac:dyDescent="0.25">
      <c r="A265" s="16">
        <v>45555</v>
      </c>
      <c r="B265" s="17" t="s">
        <v>191</v>
      </c>
      <c r="C265" s="15"/>
      <c r="D265" s="15"/>
      <c r="E265" s="15"/>
      <c r="F265" s="15"/>
    </row>
    <row r="266" spans="1:6" x14ac:dyDescent="0.25">
      <c r="A266" s="16">
        <v>45556</v>
      </c>
      <c r="B266" s="17" t="s">
        <v>197</v>
      </c>
      <c r="C266" s="15"/>
      <c r="D266" s="15"/>
      <c r="E266" s="15"/>
      <c r="F266" s="15"/>
    </row>
    <row r="267" spans="1:6" x14ac:dyDescent="0.25">
      <c r="A267" s="16">
        <v>45557</v>
      </c>
      <c r="B267" s="17" t="s">
        <v>197</v>
      </c>
      <c r="C267" s="15"/>
      <c r="D267" s="15"/>
      <c r="E267" s="15"/>
      <c r="F267" s="15"/>
    </row>
    <row r="268" spans="1:6" x14ac:dyDescent="0.25">
      <c r="A268" s="16">
        <v>45558</v>
      </c>
      <c r="B268" s="17" t="s">
        <v>191</v>
      </c>
      <c r="C268" s="15"/>
      <c r="D268" s="15"/>
      <c r="E268" s="15"/>
      <c r="F268" s="15"/>
    </row>
    <row r="269" spans="1:6" x14ac:dyDescent="0.25">
      <c r="A269" s="16">
        <v>45559</v>
      </c>
      <c r="B269" s="17" t="s">
        <v>191</v>
      </c>
      <c r="C269" s="15"/>
      <c r="D269" s="15"/>
      <c r="E269" s="15"/>
      <c r="F269" s="15"/>
    </row>
    <row r="270" spans="1:6" x14ac:dyDescent="0.25">
      <c r="A270" s="16">
        <v>45560</v>
      </c>
      <c r="B270" s="17" t="s">
        <v>191</v>
      </c>
      <c r="C270" s="15"/>
      <c r="D270" s="15"/>
      <c r="E270" s="15"/>
      <c r="F270" s="15"/>
    </row>
    <row r="271" spans="1:6" x14ac:dyDescent="0.25">
      <c r="A271" s="16">
        <v>45561</v>
      </c>
      <c r="B271" s="17" t="s">
        <v>191</v>
      </c>
      <c r="C271" s="15"/>
      <c r="D271" s="15"/>
      <c r="E271" s="15"/>
      <c r="F271" s="15"/>
    </row>
    <row r="272" spans="1:6" x14ac:dyDescent="0.25">
      <c r="A272" s="16">
        <v>45562</v>
      </c>
      <c r="B272" s="17" t="s">
        <v>191</v>
      </c>
      <c r="C272" s="15"/>
      <c r="D272" s="15"/>
      <c r="E272" s="15"/>
      <c r="F272" s="15"/>
    </row>
    <row r="273" spans="1:6" x14ac:dyDescent="0.25">
      <c r="A273" s="16">
        <v>45563</v>
      </c>
      <c r="B273" s="17" t="s">
        <v>197</v>
      </c>
      <c r="C273" s="15"/>
      <c r="D273" s="15"/>
      <c r="E273" s="15"/>
      <c r="F273" s="15"/>
    </row>
    <row r="274" spans="1:6" x14ac:dyDescent="0.25">
      <c r="A274" s="16">
        <v>45564</v>
      </c>
      <c r="B274" s="17" t="s">
        <v>197</v>
      </c>
      <c r="C274" s="15"/>
      <c r="D274" s="15"/>
      <c r="E274" s="15"/>
      <c r="F274" s="15"/>
    </row>
    <row r="275" spans="1:6" x14ac:dyDescent="0.25">
      <c r="A275" s="16">
        <v>45565</v>
      </c>
      <c r="B275" s="17" t="s">
        <v>191</v>
      </c>
      <c r="C275" s="15"/>
      <c r="D275" s="15"/>
      <c r="E275" s="15"/>
      <c r="F275" s="15"/>
    </row>
    <row r="276" spans="1:6" x14ac:dyDescent="0.25">
      <c r="A276" s="16">
        <v>45566</v>
      </c>
      <c r="B276" s="17" t="s">
        <v>191</v>
      </c>
      <c r="C276" s="15"/>
      <c r="D276" s="15"/>
      <c r="E276" s="15"/>
      <c r="F276" s="15"/>
    </row>
    <row r="277" spans="1:6" x14ac:dyDescent="0.25">
      <c r="A277" s="16">
        <v>45567</v>
      </c>
      <c r="B277" s="17" t="s">
        <v>197</v>
      </c>
      <c r="C277" s="15"/>
      <c r="D277" s="15"/>
      <c r="E277" s="15"/>
      <c r="F277" s="15"/>
    </row>
    <row r="278" spans="1:6" x14ac:dyDescent="0.25">
      <c r="A278" s="16">
        <v>45568</v>
      </c>
      <c r="B278" s="17" t="s">
        <v>191</v>
      </c>
      <c r="C278" s="15"/>
      <c r="D278" s="15"/>
      <c r="E278" s="15"/>
      <c r="F278" s="15"/>
    </row>
    <row r="279" spans="1:6" x14ac:dyDescent="0.25">
      <c r="A279" s="16">
        <v>45569</v>
      </c>
      <c r="B279" s="17" t="s">
        <v>191</v>
      </c>
      <c r="C279" s="15"/>
      <c r="D279" s="15"/>
      <c r="E279" s="15"/>
      <c r="F279" s="15"/>
    </row>
    <row r="280" spans="1:6" x14ac:dyDescent="0.25">
      <c r="A280" s="16">
        <v>45570</v>
      </c>
      <c r="B280" s="17" t="s">
        <v>197</v>
      </c>
      <c r="C280" s="15"/>
      <c r="D280" s="15"/>
      <c r="E280" s="15"/>
      <c r="F280" s="15"/>
    </row>
    <row r="281" spans="1:6" x14ac:dyDescent="0.25">
      <c r="A281" s="16">
        <v>45571</v>
      </c>
      <c r="B281" s="17" t="s">
        <v>197</v>
      </c>
      <c r="C281" s="15"/>
      <c r="D281" s="15"/>
      <c r="E281" s="15"/>
      <c r="F281" s="15"/>
    </row>
    <row r="282" spans="1:6" x14ac:dyDescent="0.25">
      <c r="A282" s="16">
        <v>45572</v>
      </c>
      <c r="B282" s="17" t="s">
        <v>191</v>
      </c>
      <c r="C282" s="15"/>
      <c r="D282" s="15"/>
      <c r="E282" s="15"/>
      <c r="F282" s="15"/>
    </row>
    <row r="283" spans="1:6" x14ac:dyDescent="0.25">
      <c r="A283" s="16">
        <v>45573</v>
      </c>
      <c r="B283" s="17" t="s">
        <v>191</v>
      </c>
      <c r="C283" s="15"/>
      <c r="D283" s="15"/>
      <c r="E283" s="15"/>
      <c r="F283" s="15"/>
    </row>
    <row r="284" spans="1:6" x14ac:dyDescent="0.25">
      <c r="A284" s="16">
        <v>45574</v>
      </c>
      <c r="B284" s="17" t="s">
        <v>191</v>
      </c>
      <c r="C284" s="15"/>
      <c r="D284" s="15"/>
      <c r="E284" s="15"/>
      <c r="F284" s="15"/>
    </row>
    <row r="285" spans="1:6" x14ac:dyDescent="0.25">
      <c r="A285" s="16">
        <v>45575</v>
      </c>
      <c r="B285" s="17" t="s">
        <v>191</v>
      </c>
      <c r="C285" s="15"/>
      <c r="D285" s="15"/>
      <c r="E285" s="15"/>
      <c r="F285" s="15"/>
    </row>
    <row r="286" spans="1:6" x14ac:dyDescent="0.25">
      <c r="A286" s="16">
        <v>45576</v>
      </c>
      <c r="B286" s="17" t="s">
        <v>191</v>
      </c>
      <c r="C286" s="15"/>
      <c r="D286" s="15"/>
      <c r="E286" s="15"/>
      <c r="F286" s="15"/>
    </row>
    <row r="287" spans="1:6" x14ac:dyDescent="0.25">
      <c r="A287" s="16">
        <v>45577</v>
      </c>
      <c r="B287" s="17" t="s">
        <v>197</v>
      </c>
      <c r="C287" s="15"/>
      <c r="D287" s="15"/>
      <c r="E287" s="15"/>
      <c r="F287" s="15"/>
    </row>
    <row r="288" spans="1:6" x14ac:dyDescent="0.25">
      <c r="A288" s="16">
        <v>45578</v>
      </c>
      <c r="B288" s="17" t="s">
        <v>197</v>
      </c>
      <c r="C288" s="15"/>
      <c r="D288" s="15"/>
      <c r="E288" s="15"/>
      <c r="F288" s="15"/>
    </row>
    <row r="289" spans="1:6" x14ac:dyDescent="0.25">
      <c r="A289" s="16">
        <v>45579</v>
      </c>
      <c r="B289" s="17" t="s">
        <v>191</v>
      </c>
      <c r="C289" s="15"/>
      <c r="D289" s="15"/>
      <c r="E289" s="15"/>
      <c r="F289" s="15"/>
    </row>
    <row r="290" spans="1:6" x14ac:dyDescent="0.25">
      <c r="A290" s="16">
        <v>45580</v>
      </c>
      <c r="B290" s="17" t="s">
        <v>191</v>
      </c>
      <c r="C290" s="15"/>
      <c r="D290" s="15"/>
      <c r="E290" s="15"/>
      <c r="F290" s="15"/>
    </row>
    <row r="291" spans="1:6" x14ac:dyDescent="0.25">
      <c r="A291" s="16">
        <v>45581</v>
      </c>
      <c r="B291" s="17" t="s">
        <v>191</v>
      </c>
      <c r="C291" s="15"/>
      <c r="D291" s="15"/>
      <c r="E291" s="15"/>
      <c r="F291" s="15"/>
    </row>
    <row r="292" spans="1:6" x14ac:dyDescent="0.25">
      <c r="A292" s="16">
        <v>45582</v>
      </c>
      <c r="B292" s="17" t="s">
        <v>191</v>
      </c>
      <c r="C292" s="15"/>
      <c r="D292" s="15"/>
      <c r="E292" s="15"/>
      <c r="F292" s="15"/>
    </row>
    <row r="293" spans="1:6" x14ac:dyDescent="0.25">
      <c r="A293" s="16">
        <v>45583</v>
      </c>
      <c r="B293" s="17" t="s">
        <v>191</v>
      </c>
      <c r="C293" s="15"/>
      <c r="D293" s="15"/>
      <c r="E293" s="15"/>
      <c r="F293" s="15"/>
    </row>
    <row r="294" spans="1:6" x14ac:dyDescent="0.25">
      <c r="A294" s="16">
        <v>45584</v>
      </c>
      <c r="B294" s="17" t="s">
        <v>197</v>
      </c>
      <c r="C294" s="15"/>
      <c r="D294" s="15"/>
      <c r="E294" s="15"/>
      <c r="F294" s="15"/>
    </row>
    <row r="295" spans="1:6" x14ac:dyDescent="0.25">
      <c r="A295" s="16">
        <v>45585</v>
      </c>
      <c r="B295" s="17" t="s">
        <v>197</v>
      </c>
      <c r="C295" s="15"/>
      <c r="D295" s="15"/>
      <c r="E295" s="15"/>
      <c r="F295" s="15"/>
    </row>
    <row r="296" spans="1:6" x14ac:dyDescent="0.25">
      <c r="A296" s="16">
        <v>45586</v>
      </c>
      <c r="B296" s="17" t="s">
        <v>191</v>
      </c>
      <c r="C296" s="15"/>
      <c r="D296" s="15"/>
      <c r="E296" s="15"/>
      <c r="F296" s="15"/>
    </row>
    <row r="297" spans="1:6" x14ac:dyDescent="0.25">
      <c r="A297" s="16">
        <v>45587</v>
      </c>
      <c r="B297" s="17" t="s">
        <v>191</v>
      </c>
      <c r="C297" s="15"/>
      <c r="D297" s="15"/>
      <c r="E297" s="15"/>
      <c r="F297" s="15"/>
    </row>
    <row r="298" spans="1:6" x14ac:dyDescent="0.25">
      <c r="A298" s="16">
        <v>45588</v>
      </c>
      <c r="B298" s="17" t="s">
        <v>191</v>
      </c>
      <c r="C298" s="15"/>
      <c r="D298" s="15"/>
      <c r="E298" s="15"/>
      <c r="F298" s="15"/>
    </row>
    <row r="299" spans="1:6" x14ac:dyDescent="0.25">
      <c r="A299" s="16">
        <v>45589</v>
      </c>
      <c r="B299" s="17" t="s">
        <v>191</v>
      </c>
      <c r="C299" s="15"/>
      <c r="D299" s="15"/>
      <c r="E299" s="15"/>
      <c r="F299" s="15"/>
    </row>
    <row r="300" spans="1:6" x14ac:dyDescent="0.25">
      <c r="A300" s="16">
        <v>45590</v>
      </c>
      <c r="B300" s="17" t="s">
        <v>191</v>
      </c>
      <c r="C300" s="15"/>
      <c r="D300" s="15"/>
      <c r="E300" s="15"/>
      <c r="F300" s="15"/>
    </row>
    <row r="301" spans="1:6" x14ac:dyDescent="0.25">
      <c r="A301" s="16">
        <v>45591</v>
      </c>
      <c r="B301" s="17" t="s">
        <v>197</v>
      </c>
      <c r="C301" s="15"/>
      <c r="D301" s="15"/>
      <c r="E301" s="15"/>
      <c r="F301" s="15"/>
    </row>
    <row r="302" spans="1:6" x14ac:dyDescent="0.25">
      <c r="A302" s="16">
        <v>45592</v>
      </c>
      <c r="B302" s="17" t="s">
        <v>197</v>
      </c>
      <c r="C302" s="15"/>
      <c r="D302" s="15"/>
      <c r="E302" s="15"/>
      <c r="F302" s="15"/>
    </row>
    <row r="303" spans="1:6" x14ac:dyDescent="0.25">
      <c r="A303" s="16">
        <v>45593</v>
      </c>
      <c r="B303" s="17" t="s">
        <v>191</v>
      </c>
      <c r="C303" s="15"/>
      <c r="D303" s="15"/>
      <c r="E303" s="15"/>
      <c r="F303" s="15"/>
    </row>
    <row r="304" spans="1:6" x14ac:dyDescent="0.25">
      <c r="A304" s="16">
        <v>45594</v>
      </c>
      <c r="B304" s="17" t="s">
        <v>191</v>
      </c>
      <c r="C304" s="15"/>
      <c r="D304" s="15"/>
      <c r="E304" s="15"/>
      <c r="F304" s="15"/>
    </row>
    <row r="305" spans="1:6" x14ac:dyDescent="0.25">
      <c r="A305" s="16">
        <v>45595</v>
      </c>
      <c r="B305" s="17" t="s">
        <v>191</v>
      </c>
      <c r="C305" s="15"/>
      <c r="D305" s="15"/>
      <c r="E305" s="15"/>
      <c r="F305" s="15"/>
    </row>
    <row r="306" spans="1:6" x14ac:dyDescent="0.25">
      <c r="A306" s="16">
        <v>45596</v>
      </c>
      <c r="B306" s="17" t="s">
        <v>191</v>
      </c>
      <c r="C306" s="15"/>
      <c r="D306" s="15"/>
      <c r="E306" s="15"/>
      <c r="F306" s="15"/>
    </row>
    <row r="307" spans="1:6" x14ac:dyDescent="0.25">
      <c r="A307" s="16">
        <v>45597</v>
      </c>
      <c r="B307" s="17" t="s">
        <v>197</v>
      </c>
      <c r="C307" s="15"/>
      <c r="D307" s="15"/>
      <c r="E307" s="15"/>
      <c r="F307" s="15"/>
    </row>
    <row r="308" spans="1:6" x14ac:dyDescent="0.25">
      <c r="A308" s="16">
        <v>45598</v>
      </c>
      <c r="B308" s="17" t="s">
        <v>197</v>
      </c>
      <c r="C308" s="15"/>
      <c r="D308" s="15"/>
      <c r="E308" s="15"/>
      <c r="F308" s="15"/>
    </row>
    <row r="309" spans="1:6" x14ac:dyDescent="0.25">
      <c r="A309" s="16">
        <v>45599</v>
      </c>
      <c r="B309" s="17" t="s">
        <v>197</v>
      </c>
      <c r="C309" s="15"/>
      <c r="D309" s="15"/>
      <c r="E309" s="15"/>
      <c r="F309" s="15"/>
    </row>
    <row r="310" spans="1:6" x14ac:dyDescent="0.25">
      <c r="A310" s="16">
        <v>45600</v>
      </c>
      <c r="B310" s="17" t="s">
        <v>191</v>
      </c>
      <c r="C310" s="15"/>
      <c r="D310" s="15"/>
      <c r="E310" s="15"/>
      <c r="F310" s="15"/>
    </row>
    <row r="311" spans="1:6" x14ac:dyDescent="0.25">
      <c r="A311" s="16">
        <v>45601</v>
      </c>
      <c r="B311" s="17" t="s">
        <v>191</v>
      </c>
      <c r="C311" s="15"/>
      <c r="D311" s="15"/>
      <c r="E311" s="15"/>
      <c r="F311" s="15"/>
    </row>
    <row r="312" spans="1:6" x14ac:dyDescent="0.25">
      <c r="A312" s="16">
        <v>45602</v>
      </c>
      <c r="B312" s="17" t="s">
        <v>191</v>
      </c>
      <c r="C312" s="15"/>
      <c r="D312" s="15"/>
      <c r="E312" s="15"/>
      <c r="F312" s="15"/>
    </row>
    <row r="313" spans="1:6" x14ac:dyDescent="0.25">
      <c r="A313" s="16">
        <v>45603</v>
      </c>
      <c r="B313" s="17" t="s">
        <v>191</v>
      </c>
      <c r="C313" s="15"/>
      <c r="D313" s="15"/>
      <c r="E313" s="15"/>
      <c r="F313" s="15"/>
    </row>
    <row r="314" spans="1:6" x14ac:dyDescent="0.25">
      <c r="A314" s="16">
        <v>45604</v>
      </c>
      <c r="B314" s="17" t="s">
        <v>191</v>
      </c>
      <c r="C314" s="15"/>
      <c r="D314" s="15"/>
      <c r="E314" s="15"/>
      <c r="F314" s="15"/>
    </row>
    <row r="315" spans="1:6" x14ac:dyDescent="0.25">
      <c r="A315" s="16">
        <v>45605</v>
      </c>
      <c r="B315" s="17" t="s">
        <v>197</v>
      </c>
      <c r="C315" s="15"/>
      <c r="D315" s="15"/>
      <c r="E315" s="15"/>
      <c r="F315" s="15"/>
    </row>
    <row r="316" spans="1:6" x14ac:dyDescent="0.25">
      <c r="A316" s="16">
        <v>45606</v>
      </c>
      <c r="B316" s="17" t="s">
        <v>197</v>
      </c>
      <c r="C316" s="15"/>
      <c r="D316" s="15"/>
      <c r="E316" s="15"/>
      <c r="F316" s="15"/>
    </row>
    <row r="317" spans="1:6" x14ac:dyDescent="0.25">
      <c r="A317" s="16">
        <v>45607</v>
      </c>
      <c r="B317" s="17" t="s">
        <v>191</v>
      </c>
      <c r="C317" s="15"/>
      <c r="D317" s="15"/>
      <c r="E317" s="15"/>
      <c r="F317" s="15"/>
    </row>
    <row r="318" spans="1:6" x14ac:dyDescent="0.25">
      <c r="A318" s="16">
        <v>45608</v>
      </c>
      <c r="B318" s="17" t="s">
        <v>191</v>
      </c>
      <c r="C318" s="15"/>
      <c r="D318" s="15"/>
      <c r="E318" s="15"/>
      <c r="F318" s="15"/>
    </row>
    <row r="319" spans="1:6" x14ac:dyDescent="0.25">
      <c r="A319" s="16">
        <v>45609</v>
      </c>
      <c r="B319" s="17" t="s">
        <v>191</v>
      </c>
      <c r="C319" s="15"/>
      <c r="D319" s="15"/>
      <c r="E319" s="15"/>
      <c r="F319" s="15"/>
    </row>
    <row r="320" spans="1:6" x14ac:dyDescent="0.25">
      <c r="A320" s="16">
        <v>45610</v>
      </c>
      <c r="B320" s="17" t="s">
        <v>191</v>
      </c>
      <c r="C320" s="15"/>
      <c r="D320" s="15"/>
      <c r="E320" s="15"/>
      <c r="F320" s="15"/>
    </row>
    <row r="321" spans="1:6" x14ac:dyDescent="0.25">
      <c r="A321" s="16">
        <v>45611</v>
      </c>
      <c r="B321" s="17" t="s">
        <v>191</v>
      </c>
      <c r="C321" s="15"/>
      <c r="D321" s="15"/>
      <c r="E321" s="15"/>
      <c r="F321" s="15"/>
    </row>
    <row r="322" spans="1:6" x14ac:dyDescent="0.25">
      <c r="A322" s="16">
        <v>45612</v>
      </c>
      <c r="B322" s="17" t="s">
        <v>197</v>
      </c>
      <c r="C322" s="15"/>
      <c r="D322" s="15"/>
      <c r="E322" s="15"/>
      <c r="F322" s="15"/>
    </row>
    <row r="323" spans="1:6" x14ac:dyDescent="0.25">
      <c r="A323" s="16">
        <v>45613</v>
      </c>
      <c r="B323" s="17" t="s">
        <v>197</v>
      </c>
      <c r="C323" s="15"/>
      <c r="D323" s="15"/>
      <c r="E323" s="15"/>
      <c r="F323" s="15"/>
    </row>
    <row r="324" spans="1:6" x14ac:dyDescent="0.25">
      <c r="A324" s="16">
        <v>45614</v>
      </c>
      <c r="B324" s="17" t="s">
        <v>191</v>
      </c>
      <c r="C324" s="15"/>
      <c r="D324" s="15"/>
      <c r="E324" s="15"/>
      <c r="F324" s="15"/>
    </row>
    <row r="325" spans="1:6" x14ac:dyDescent="0.25">
      <c r="A325" s="16">
        <v>45615</v>
      </c>
      <c r="B325" s="17" t="s">
        <v>191</v>
      </c>
      <c r="C325" s="15"/>
      <c r="D325" s="15"/>
      <c r="E325" s="15"/>
      <c r="F325" s="15"/>
    </row>
    <row r="326" spans="1:6" x14ac:dyDescent="0.25">
      <c r="A326" s="16">
        <v>45616</v>
      </c>
      <c r="B326" s="17" t="s">
        <v>191</v>
      </c>
      <c r="C326" s="15"/>
      <c r="D326" s="15"/>
      <c r="E326" s="15"/>
      <c r="F326" s="15"/>
    </row>
    <row r="327" spans="1:6" x14ac:dyDescent="0.25">
      <c r="A327" s="16">
        <v>45617</v>
      </c>
      <c r="B327" s="17" t="s">
        <v>191</v>
      </c>
      <c r="C327" s="15"/>
      <c r="D327" s="15"/>
      <c r="E327" s="15"/>
      <c r="F327" s="15"/>
    </row>
    <row r="328" spans="1:6" x14ac:dyDescent="0.25">
      <c r="A328" s="16">
        <v>45618</v>
      </c>
      <c r="B328" s="17" t="s">
        <v>191</v>
      </c>
      <c r="C328" s="15"/>
      <c r="D328" s="15"/>
      <c r="E328" s="15"/>
      <c r="F328" s="15"/>
    </row>
    <row r="329" spans="1:6" x14ac:dyDescent="0.25">
      <c r="A329" s="16">
        <v>45619</v>
      </c>
      <c r="B329" s="17" t="s">
        <v>197</v>
      </c>
      <c r="C329" s="15"/>
      <c r="D329" s="15"/>
      <c r="E329" s="15"/>
      <c r="F329" s="15"/>
    </row>
    <row r="330" spans="1:6" x14ac:dyDescent="0.25">
      <c r="A330" s="16">
        <v>45620</v>
      </c>
      <c r="B330" s="17" t="s">
        <v>197</v>
      </c>
      <c r="C330" s="15"/>
      <c r="D330" s="15"/>
      <c r="E330" s="15"/>
      <c r="F330" s="15"/>
    </row>
    <row r="331" spans="1:6" x14ac:dyDescent="0.25">
      <c r="A331" s="16">
        <v>45621</v>
      </c>
      <c r="B331" s="17" t="s">
        <v>191</v>
      </c>
      <c r="C331" s="15"/>
      <c r="D331" s="15"/>
      <c r="E331" s="15"/>
      <c r="F331" s="15"/>
    </row>
    <row r="332" spans="1:6" x14ac:dyDescent="0.25">
      <c r="A332" s="16">
        <v>45622</v>
      </c>
      <c r="B332" s="17" t="s">
        <v>191</v>
      </c>
      <c r="C332" s="15"/>
      <c r="D332" s="15"/>
      <c r="E332" s="15"/>
      <c r="F332" s="15"/>
    </row>
    <row r="333" spans="1:6" x14ac:dyDescent="0.25">
      <c r="A333" s="16">
        <v>45623</v>
      </c>
      <c r="B333" s="17" t="s">
        <v>191</v>
      </c>
      <c r="C333" s="15"/>
      <c r="D333" s="15"/>
      <c r="E333" s="15"/>
      <c r="F333" s="15"/>
    </row>
    <row r="334" spans="1:6" x14ac:dyDescent="0.25">
      <c r="A334" s="16">
        <v>45624</v>
      </c>
      <c r="B334" s="17" t="s">
        <v>191</v>
      </c>
      <c r="C334" s="15"/>
      <c r="D334" s="15"/>
      <c r="E334" s="15"/>
      <c r="F334" s="15"/>
    </row>
    <row r="335" spans="1:6" x14ac:dyDescent="0.25">
      <c r="A335" s="16">
        <v>45625</v>
      </c>
      <c r="B335" s="17" t="s">
        <v>191</v>
      </c>
      <c r="C335" s="15"/>
      <c r="D335" s="15"/>
      <c r="E335" s="15"/>
      <c r="F335" s="15"/>
    </row>
    <row r="336" spans="1:6" x14ac:dyDescent="0.25">
      <c r="A336" s="16">
        <v>45626</v>
      </c>
      <c r="B336" s="17" t="s">
        <v>197</v>
      </c>
      <c r="C336" s="15"/>
      <c r="D336" s="15"/>
      <c r="E336" s="15"/>
      <c r="F336" s="15"/>
    </row>
    <row r="337" spans="1:6" x14ac:dyDescent="0.25">
      <c r="A337" s="16">
        <v>45627</v>
      </c>
      <c r="B337" s="17" t="s">
        <v>197</v>
      </c>
      <c r="C337" s="15"/>
      <c r="D337" s="15"/>
      <c r="E337" s="15"/>
      <c r="F337" s="15"/>
    </row>
    <row r="338" spans="1:6" x14ac:dyDescent="0.25">
      <c r="A338" s="16">
        <v>45628</v>
      </c>
      <c r="B338" s="17" t="s">
        <v>191</v>
      </c>
      <c r="C338" s="15"/>
      <c r="D338" s="15"/>
      <c r="E338" s="15"/>
      <c r="F338" s="15"/>
    </row>
    <row r="339" spans="1:6" x14ac:dyDescent="0.25">
      <c r="A339" s="16">
        <v>45629</v>
      </c>
      <c r="B339" s="17" t="s">
        <v>191</v>
      </c>
      <c r="C339" s="15"/>
      <c r="D339" s="15"/>
      <c r="E339" s="15"/>
      <c r="F339" s="15"/>
    </row>
    <row r="340" spans="1:6" x14ac:dyDescent="0.25">
      <c r="A340" s="16">
        <v>45630</v>
      </c>
      <c r="B340" s="17" t="s">
        <v>191</v>
      </c>
      <c r="C340" s="15"/>
      <c r="D340" s="15"/>
      <c r="E340" s="15"/>
      <c r="F340" s="15"/>
    </row>
    <row r="341" spans="1:6" x14ac:dyDescent="0.25">
      <c r="A341" s="16">
        <v>45631</v>
      </c>
      <c r="B341" s="17" t="s">
        <v>191</v>
      </c>
      <c r="C341" s="15"/>
      <c r="D341" s="15"/>
      <c r="E341" s="15"/>
      <c r="F341" s="15"/>
    </row>
    <row r="342" spans="1:6" x14ac:dyDescent="0.25">
      <c r="A342" s="16">
        <v>45632</v>
      </c>
      <c r="B342" s="17" t="s">
        <v>191</v>
      </c>
      <c r="C342" s="15"/>
      <c r="D342" s="15"/>
      <c r="E342" s="15"/>
      <c r="F342" s="15"/>
    </row>
    <row r="343" spans="1:6" x14ac:dyDescent="0.25">
      <c r="A343" s="16">
        <v>45633</v>
      </c>
      <c r="B343" s="17" t="s">
        <v>197</v>
      </c>
      <c r="C343" s="15"/>
      <c r="D343" s="15"/>
      <c r="E343" s="15"/>
      <c r="F343" s="15"/>
    </row>
    <row r="344" spans="1:6" x14ac:dyDescent="0.25">
      <c r="A344" s="16">
        <v>45634</v>
      </c>
      <c r="B344" s="17" t="s">
        <v>197</v>
      </c>
      <c r="C344" s="15"/>
      <c r="D344" s="15"/>
      <c r="E344" s="15"/>
      <c r="F344" s="15"/>
    </row>
    <row r="345" spans="1:6" x14ac:dyDescent="0.25">
      <c r="A345" s="16">
        <v>45635</v>
      </c>
      <c r="B345" s="17" t="s">
        <v>191</v>
      </c>
      <c r="C345" s="15"/>
      <c r="D345" s="15"/>
      <c r="E345" s="15"/>
      <c r="F345" s="15"/>
    </row>
    <row r="346" spans="1:6" x14ac:dyDescent="0.25">
      <c r="A346" s="16">
        <v>45636</v>
      </c>
      <c r="B346" s="17" t="s">
        <v>191</v>
      </c>
      <c r="C346" s="15"/>
      <c r="D346" s="15"/>
      <c r="E346" s="15"/>
      <c r="F346" s="15"/>
    </row>
    <row r="347" spans="1:6" x14ac:dyDescent="0.25">
      <c r="A347" s="16">
        <v>45637</v>
      </c>
      <c r="B347" s="17" t="s">
        <v>191</v>
      </c>
      <c r="C347" s="15"/>
      <c r="D347" s="15"/>
      <c r="E347" s="15"/>
      <c r="F347" s="15"/>
    </row>
    <row r="348" spans="1:6" x14ac:dyDescent="0.25">
      <c r="A348" s="16">
        <v>45638</v>
      </c>
      <c r="B348" s="17" t="s">
        <v>191</v>
      </c>
      <c r="C348" s="15"/>
      <c r="D348" s="15"/>
      <c r="E348" s="15"/>
      <c r="F348" s="15"/>
    </row>
    <row r="349" spans="1:6" x14ac:dyDescent="0.25">
      <c r="A349" s="16">
        <v>45639</v>
      </c>
      <c r="B349" s="17" t="s">
        <v>191</v>
      </c>
      <c r="C349" s="15"/>
      <c r="D349" s="15"/>
      <c r="E349" s="15"/>
      <c r="F349" s="15"/>
    </row>
    <row r="350" spans="1:6" x14ac:dyDescent="0.25">
      <c r="A350" s="16">
        <v>45640</v>
      </c>
      <c r="B350" s="17" t="s">
        <v>197</v>
      </c>
      <c r="C350" s="15"/>
      <c r="D350" s="15"/>
      <c r="E350" s="15"/>
      <c r="F350" s="15"/>
    </row>
    <row r="351" spans="1:6" x14ac:dyDescent="0.25">
      <c r="A351" s="16">
        <v>45641</v>
      </c>
      <c r="B351" s="17" t="s">
        <v>197</v>
      </c>
      <c r="C351" s="15"/>
      <c r="D351" s="15"/>
      <c r="E351" s="15"/>
      <c r="F351" s="15"/>
    </row>
    <row r="352" spans="1:6" x14ac:dyDescent="0.25">
      <c r="A352" s="16">
        <v>45642</v>
      </c>
      <c r="B352" s="17" t="s">
        <v>191</v>
      </c>
      <c r="C352" s="15"/>
      <c r="D352" s="15"/>
      <c r="E352" s="15"/>
      <c r="F352" s="15"/>
    </row>
    <row r="353" spans="1:6" x14ac:dyDescent="0.25">
      <c r="A353" s="16">
        <v>45643</v>
      </c>
      <c r="B353" s="17" t="s">
        <v>191</v>
      </c>
      <c r="C353" s="15"/>
      <c r="D353" s="15"/>
      <c r="E353" s="15"/>
      <c r="F353" s="15"/>
    </row>
    <row r="354" spans="1:6" x14ac:dyDescent="0.25">
      <c r="A354" s="16">
        <v>45644</v>
      </c>
      <c r="B354" s="17" t="s">
        <v>191</v>
      </c>
      <c r="C354" s="15"/>
      <c r="D354" s="15"/>
      <c r="E354" s="15"/>
      <c r="F354" s="15"/>
    </row>
    <row r="355" spans="1:6" x14ac:dyDescent="0.25">
      <c r="A355" s="16">
        <v>45645</v>
      </c>
      <c r="B355" s="17" t="s">
        <v>191</v>
      </c>
      <c r="C355" s="15"/>
      <c r="D355" s="15"/>
      <c r="E355" s="15"/>
      <c r="F355" s="15"/>
    </row>
    <row r="356" spans="1:6" x14ac:dyDescent="0.25">
      <c r="A356" s="16">
        <v>45646</v>
      </c>
      <c r="B356" s="17" t="s">
        <v>191</v>
      </c>
      <c r="C356" s="15"/>
      <c r="D356" s="15"/>
      <c r="E356" s="15"/>
      <c r="F356" s="15"/>
    </row>
    <row r="357" spans="1:6" x14ac:dyDescent="0.25">
      <c r="A357" s="16">
        <v>45647</v>
      </c>
      <c r="B357" s="17" t="s">
        <v>197</v>
      </c>
      <c r="C357" s="15"/>
      <c r="D357" s="15"/>
      <c r="E357" s="15"/>
      <c r="F357" s="15"/>
    </row>
    <row r="358" spans="1:6" x14ac:dyDescent="0.25">
      <c r="A358" s="16">
        <v>45648</v>
      </c>
      <c r="B358" s="17" t="s">
        <v>197</v>
      </c>
      <c r="C358" s="15"/>
      <c r="D358" s="15"/>
      <c r="E358" s="15"/>
      <c r="F358" s="15"/>
    </row>
    <row r="359" spans="1:6" x14ac:dyDescent="0.25">
      <c r="A359" s="16">
        <v>45649</v>
      </c>
      <c r="B359" s="17" t="s">
        <v>191</v>
      </c>
      <c r="C359" s="15"/>
      <c r="D359" s="15"/>
      <c r="E359" s="15"/>
      <c r="F359" s="15"/>
    </row>
    <row r="360" spans="1:6" x14ac:dyDescent="0.25">
      <c r="A360" s="16">
        <v>45650</v>
      </c>
      <c r="B360" s="17" t="s">
        <v>191</v>
      </c>
      <c r="C360" s="15"/>
      <c r="D360" s="15"/>
      <c r="E360" s="15"/>
      <c r="F360" s="15"/>
    </row>
    <row r="361" spans="1:6" x14ac:dyDescent="0.25">
      <c r="A361" s="16">
        <v>45651</v>
      </c>
      <c r="B361" s="17" t="s">
        <v>197</v>
      </c>
      <c r="C361" s="15"/>
      <c r="D361" s="15"/>
      <c r="E361" s="15"/>
      <c r="F361" s="15"/>
    </row>
    <row r="362" spans="1:6" x14ac:dyDescent="0.25">
      <c r="A362" s="16">
        <v>45652</v>
      </c>
      <c r="B362" s="17" t="s">
        <v>191</v>
      </c>
      <c r="C362" s="15"/>
      <c r="D362" s="15"/>
      <c r="E362" s="15"/>
      <c r="F362" s="15"/>
    </row>
    <row r="363" spans="1:6" x14ac:dyDescent="0.25">
      <c r="A363" s="16">
        <v>45653</v>
      </c>
      <c r="B363" s="17" t="s">
        <v>191</v>
      </c>
      <c r="C363" s="15"/>
      <c r="D363" s="15"/>
      <c r="E363" s="15"/>
      <c r="F363" s="15"/>
    </row>
    <row r="364" spans="1:6" x14ac:dyDescent="0.25">
      <c r="A364" s="16">
        <v>45654</v>
      </c>
      <c r="B364" s="17" t="s">
        <v>197</v>
      </c>
      <c r="C364" s="15"/>
      <c r="D364" s="15"/>
      <c r="E364" s="15"/>
      <c r="F364" s="15"/>
    </row>
    <row r="365" spans="1:6" x14ac:dyDescent="0.25">
      <c r="A365" s="16">
        <v>45655</v>
      </c>
      <c r="B365" s="17" t="s">
        <v>197</v>
      </c>
      <c r="C365" s="15"/>
      <c r="D365" s="15"/>
      <c r="E365" s="15"/>
      <c r="F365" s="15"/>
    </row>
    <row r="366" spans="1:6" x14ac:dyDescent="0.25">
      <c r="A366" s="16">
        <v>45656</v>
      </c>
      <c r="B366" s="17" t="s">
        <v>191</v>
      </c>
      <c r="C366" s="15"/>
      <c r="D366" s="15"/>
      <c r="E366" s="15"/>
      <c r="F366" s="15"/>
    </row>
    <row r="367" spans="1:6" x14ac:dyDescent="0.25">
      <c r="A367" s="16">
        <v>45657</v>
      </c>
      <c r="B367" s="17" t="s">
        <v>191</v>
      </c>
      <c r="C367" s="15"/>
      <c r="D367" s="15"/>
      <c r="E367" s="15"/>
      <c r="F367" s="15"/>
    </row>
    <row r="368" spans="1:6" x14ac:dyDescent="0.25">
      <c r="A368" s="21"/>
      <c r="B368" s="21"/>
    </row>
    <row r="369" spans="1:2" x14ac:dyDescent="0.25">
      <c r="A369" s="21"/>
      <c r="B369" s="21"/>
    </row>
    <row r="370" spans="1:2" x14ac:dyDescent="0.25">
      <c r="A370" s="21"/>
      <c r="B370" s="21"/>
    </row>
    <row r="371" spans="1:2" x14ac:dyDescent="0.25">
      <c r="A371" s="21"/>
      <c r="B371" s="21"/>
    </row>
    <row r="372" spans="1:2" x14ac:dyDescent="0.25">
      <c r="A372" s="21"/>
      <c r="B372" s="21"/>
    </row>
    <row r="373" spans="1:2" x14ac:dyDescent="0.25">
      <c r="A373" s="21"/>
      <c r="B373" s="21"/>
    </row>
    <row r="374" spans="1:2" x14ac:dyDescent="0.25">
      <c r="A374" s="21"/>
      <c r="B374" s="21"/>
    </row>
    <row r="375" spans="1:2" x14ac:dyDescent="0.25">
      <c r="A375" s="21"/>
      <c r="B375" s="21"/>
    </row>
    <row r="376" spans="1:2" x14ac:dyDescent="0.25">
      <c r="A376" s="21"/>
      <c r="B376" s="21"/>
    </row>
    <row r="377" spans="1:2" x14ac:dyDescent="0.25">
      <c r="A377" s="21"/>
      <c r="B377" s="21"/>
    </row>
    <row r="378" spans="1:2" x14ac:dyDescent="0.25">
      <c r="A378" s="21"/>
      <c r="B378" s="21"/>
    </row>
    <row r="379" spans="1:2" x14ac:dyDescent="0.25">
      <c r="A379" s="21"/>
      <c r="B379" s="21"/>
    </row>
    <row r="380" spans="1:2" x14ac:dyDescent="0.25">
      <c r="A380" s="21"/>
      <c r="B380" s="21"/>
    </row>
    <row r="381" spans="1:2" x14ac:dyDescent="0.25">
      <c r="A381" s="21"/>
      <c r="B381" s="21"/>
    </row>
    <row r="382" spans="1:2" x14ac:dyDescent="0.25">
      <c r="A382" s="21"/>
      <c r="B382" s="21"/>
    </row>
    <row r="383" spans="1:2" x14ac:dyDescent="0.25">
      <c r="A383" s="21"/>
      <c r="B383" s="21"/>
    </row>
    <row r="384" spans="1:2" x14ac:dyDescent="0.25">
      <c r="A384" s="21"/>
      <c r="B384" s="21"/>
    </row>
    <row r="385" spans="1:2" x14ac:dyDescent="0.25">
      <c r="A385" s="21"/>
      <c r="B385" s="21"/>
    </row>
    <row r="386" spans="1:2" x14ac:dyDescent="0.25">
      <c r="A386" s="21"/>
      <c r="B386" s="21"/>
    </row>
    <row r="387" spans="1:2" x14ac:dyDescent="0.25">
      <c r="A387" s="21"/>
      <c r="B387" s="21"/>
    </row>
    <row r="388" spans="1:2" x14ac:dyDescent="0.25">
      <c r="A388" s="21"/>
      <c r="B388" s="21"/>
    </row>
    <row r="389" spans="1:2" x14ac:dyDescent="0.25">
      <c r="A389" s="21"/>
      <c r="B389" s="21"/>
    </row>
    <row r="390" spans="1:2" x14ac:dyDescent="0.25">
      <c r="A390" s="21"/>
      <c r="B390" s="21"/>
    </row>
    <row r="391" spans="1:2" x14ac:dyDescent="0.25">
      <c r="A391" s="21"/>
      <c r="B391" s="21"/>
    </row>
    <row r="392" spans="1:2" x14ac:dyDescent="0.25">
      <c r="A392" s="21"/>
      <c r="B392" s="21"/>
    </row>
    <row r="393" spans="1:2" x14ac:dyDescent="0.25">
      <c r="A393" s="21"/>
      <c r="B393" s="21"/>
    </row>
    <row r="394" spans="1:2" x14ac:dyDescent="0.25">
      <c r="A394" s="21"/>
      <c r="B394" s="21"/>
    </row>
    <row r="395" spans="1:2" x14ac:dyDescent="0.25">
      <c r="A395" s="21"/>
      <c r="B395" s="21"/>
    </row>
    <row r="396" spans="1:2" x14ac:dyDescent="0.25">
      <c r="A396" s="21"/>
      <c r="B396" s="21"/>
    </row>
    <row r="397" spans="1:2" x14ac:dyDescent="0.25">
      <c r="A397" s="21"/>
      <c r="B397" s="21"/>
    </row>
    <row r="398" spans="1:2" x14ac:dyDescent="0.25">
      <c r="A398" s="21"/>
      <c r="B398" s="21"/>
    </row>
    <row r="399" spans="1:2" x14ac:dyDescent="0.25">
      <c r="A399" s="21"/>
      <c r="B399" s="21"/>
    </row>
    <row r="400" spans="1:2" x14ac:dyDescent="0.25">
      <c r="A400" s="21"/>
      <c r="B400" s="21"/>
    </row>
    <row r="401" spans="1:2" x14ac:dyDescent="0.25">
      <c r="A401" s="21"/>
      <c r="B401" s="21"/>
    </row>
    <row r="402" spans="1:2" x14ac:dyDescent="0.25">
      <c r="A402" s="21"/>
      <c r="B402" s="21"/>
    </row>
    <row r="403" spans="1:2" x14ac:dyDescent="0.25">
      <c r="A403" s="21"/>
      <c r="B403" s="21"/>
    </row>
    <row r="404" spans="1:2" x14ac:dyDescent="0.25">
      <c r="A404" s="21"/>
      <c r="B404" s="21"/>
    </row>
    <row r="405" spans="1:2" x14ac:dyDescent="0.25">
      <c r="A405" s="21"/>
      <c r="B405" s="21"/>
    </row>
    <row r="406" spans="1:2" x14ac:dyDescent="0.25">
      <c r="A406" s="21"/>
      <c r="B406" s="21"/>
    </row>
    <row r="407" spans="1:2" x14ac:dyDescent="0.25">
      <c r="A407" s="21"/>
      <c r="B407" s="21"/>
    </row>
    <row r="408" spans="1:2" x14ac:dyDescent="0.25">
      <c r="A408" s="21"/>
      <c r="B408" s="21"/>
    </row>
    <row r="409" spans="1:2" x14ac:dyDescent="0.25">
      <c r="A409" s="21"/>
      <c r="B409" s="21"/>
    </row>
    <row r="410" spans="1:2" x14ac:dyDescent="0.25">
      <c r="A410" s="21"/>
      <c r="B410" s="21"/>
    </row>
    <row r="411" spans="1:2" x14ac:dyDescent="0.25">
      <c r="A411" s="21"/>
      <c r="B411" s="21"/>
    </row>
    <row r="412" spans="1:2" x14ac:dyDescent="0.25">
      <c r="A412" s="21"/>
      <c r="B412" s="21"/>
    </row>
    <row r="413" spans="1:2" x14ac:dyDescent="0.25">
      <c r="A413" s="21"/>
      <c r="B413" s="21"/>
    </row>
    <row r="414" spans="1:2" x14ac:dyDescent="0.25">
      <c r="A414" s="21"/>
      <c r="B414" s="21"/>
    </row>
    <row r="415" spans="1:2" x14ac:dyDescent="0.25">
      <c r="A415" s="21"/>
      <c r="B415" s="21"/>
    </row>
    <row r="416" spans="1:2" x14ac:dyDescent="0.25">
      <c r="A416" s="21"/>
      <c r="B416" s="21"/>
    </row>
    <row r="417" spans="1:2" x14ac:dyDescent="0.25">
      <c r="A417" s="21"/>
      <c r="B417" s="21"/>
    </row>
    <row r="418" spans="1:2" x14ac:dyDescent="0.25">
      <c r="A418" s="21"/>
      <c r="B418" s="21"/>
    </row>
    <row r="419" spans="1:2" x14ac:dyDescent="0.25">
      <c r="A419" s="21"/>
      <c r="B419" s="21"/>
    </row>
    <row r="420" spans="1:2" x14ac:dyDescent="0.25">
      <c r="A420" s="21"/>
      <c r="B420" s="21"/>
    </row>
    <row r="421" spans="1:2" x14ac:dyDescent="0.25">
      <c r="A421" s="21"/>
      <c r="B421" s="21"/>
    </row>
    <row r="422" spans="1:2" x14ac:dyDescent="0.25">
      <c r="A422" s="21"/>
      <c r="B422" s="21"/>
    </row>
    <row r="423" spans="1:2" x14ac:dyDescent="0.25">
      <c r="A423" s="21"/>
      <c r="B423" s="21"/>
    </row>
    <row r="424" spans="1:2" x14ac:dyDescent="0.25">
      <c r="A424" s="21"/>
      <c r="B424" s="21"/>
    </row>
    <row r="425" spans="1:2" x14ac:dyDescent="0.25">
      <c r="A425" s="21"/>
      <c r="B425" s="21"/>
    </row>
    <row r="426" spans="1:2" x14ac:dyDescent="0.25">
      <c r="A426" s="21"/>
      <c r="B426" s="21"/>
    </row>
    <row r="427" spans="1:2" x14ac:dyDescent="0.25">
      <c r="A427" s="21"/>
      <c r="B427" s="21"/>
    </row>
    <row r="428" spans="1:2" x14ac:dyDescent="0.25">
      <c r="A428" s="21"/>
      <c r="B428" s="21"/>
    </row>
    <row r="429" spans="1:2" x14ac:dyDescent="0.25">
      <c r="A429" s="21"/>
      <c r="B429" s="21"/>
    </row>
    <row r="430" spans="1:2" x14ac:dyDescent="0.25">
      <c r="A430" s="21"/>
      <c r="B430" s="21"/>
    </row>
    <row r="431" spans="1:2" x14ac:dyDescent="0.25">
      <c r="A431" s="21"/>
      <c r="B431" s="21"/>
    </row>
    <row r="432" spans="1:2" x14ac:dyDescent="0.25">
      <c r="A432" s="21"/>
      <c r="B432" s="21"/>
    </row>
    <row r="433" spans="1:2" x14ac:dyDescent="0.25">
      <c r="A433" s="21"/>
      <c r="B433" s="21"/>
    </row>
    <row r="434" spans="1:2" x14ac:dyDescent="0.25">
      <c r="A434" s="21"/>
      <c r="B434" s="21"/>
    </row>
    <row r="435" spans="1:2" x14ac:dyDescent="0.25">
      <c r="A435" s="21"/>
      <c r="B435" s="21"/>
    </row>
    <row r="436" spans="1:2" x14ac:dyDescent="0.25">
      <c r="A436" s="21"/>
      <c r="B436" s="21"/>
    </row>
    <row r="437" spans="1:2" x14ac:dyDescent="0.25">
      <c r="A437" s="21"/>
      <c r="B437" s="21"/>
    </row>
    <row r="438" spans="1:2" x14ac:dyDescent="0.25">
      <c r="A438" s="21"/>
      <c r="B438" s="21"/>
    </row>
    <row r="439" spans="1:2" x14ac:dyDescent="0.25">
      <c r="A439" s="21"/>
      <c r="B439" s="21"/>
    </row>
    <row r="440" spans="1:2" x14ac:dyDescent="0.25">
      <c r="A440" s="21"/>
      <c r="B440" s="21"/>
    </row>
    <row r="441" spans="1:2" x14ac:dyDescent="0.25">
      <c r="A441" s="21"/>
      <c r="B441" s="21"/>
    </row>
    <row r="442" spans="1:2" x14ac:dyDescent="0.25">
      <c r="A442" s="21"/>
      <c r="B442" s="21"/>
    </row>
    <row r="443" spans="1:2" x14ac:dyDescent="0.25">
      <c r="A443" s="21"/>
      <c r="B443" s="21"/>
    </row>
    <row r="444" spans="1:2" x14ac:dyDescent="0.25">
      <c r="A444" s="21"/>
      <c r="B444" s="21"/>
    </row>
    <row r="445" spans="1:2" x14ac:dyDescent="0.25">
      <c r="A445" s="21"/>
      <c r="B445" s="21"/>
    </row>
    <row r="446" spans="1:2" x14ac:dyDescent="0.25">
      <c r="A446" s="21"/>
      <c r="B446" s="21"/>
    </row>
    <row r="447" spans="1:2" x14ac:dyDescent="0.25">
      <c r="A447" s="21"/>
      <c r="B447" s="21"/>
    </row>
    <row r="448" spans="1:2" x14ac:dyDescent="0.25">
      <c r="A448" s="21"/>
      <c r="B448" s="21"/>
    </row>
    <row r="449" spans="1:2" x14ac:dyDescent="0.25">
      <c r="A449" s="21"/>
      <c r="B449" s="21"/>
    </row>
    <row r="450" spans="1:2" x14ac:dyDescent="0.25">
      <c r="A450" s="21"/>
      <c r="B450" s="21"/>
    </row>
    <row r="451" spans="1:2" x14ac:dyDescent="0.25">
      <c r="A451" s="21"/>
      <c r="B451" s="21"/>
    </row>
    <row r="452" spans="1:2" x14ac:dyDescent="0.25">
      <c r="A452" s="21"/>
      <c r="B452" s="21"/>
    </row>
    <row r="453" spans="1:2" x14ac:dyDescent="0.25">
      <c r="A453" s="21"/>
      <c r="B453" s="21"/>
    </row>
    <row r="454" spans="1:2" x14ac:dyDescent="0.25">
      <c r="A454" s="21"/>
      <c r="B454" s="21"/>
    </row>
    <row r="455" spans="1:2" x14ac:dyDescent="0.25">
      <c r="A455" s="21"/>
      <c r="B455" s="21"/>
    </row>
    <row r="456" spans="1:2" x14ac:dyDescent="0.25">
      <c r="A456" s="21"/>
      <c r="B456" s="21"/>
    </row>
    <row r="457" spans="1:2" x14ac:dyDescent="0.25">
      <c r="A457" s="21"/>
      <c r="B457" s="21"/>
    </row>
    <row r="458" spans="1:2" x14ac:dyDescent="0.25">
      <c r="A458" s="21"/>
      <c r="B458" s="21"/>
    </row>
    <row r="459" spans="1:2" x14ac:dyDescent="0.25">
      <c r="A459" s="21"/>
      <c r="B459" s="21"/>
    </row>
    <row r="460" spans="1:2" x14ac:dyDescent="0.25">
      <c r="A460" s="21"/>
      <c r="B460" s="21"/>
    </row>
    <row r="461" spans="1:2" x14ac:dyDescent="0.25">
      <c r="A461" s="21"/>
      <c r="B461" s="21"/>
    </row>
    <row r="462" spans="1:2" x14ac:dyDescent="0.25">
      <c r="A462" s="21"/>
      <c r="B462" s="21"/>
    </row>
    <row r="463" spans="1:2" x14ac:dyDescent="0.25">
      <c r="A463" s="21"/>
      <c r="B463" s="21"/>
    </row>
    <row r="464" spans="1:2" x14ac:dyDescent="0.25">
      <c r="A464" s="21"/>
      <c r="B464" s="21"/>
    </row>
    <row r="465" spans="1:2" x14ac:dyDescent="0.25">
      <c r="A465" s="21"/>
      <c r="B465" s="21"/>
    </row>
    <row r="466" spans="1:2" x14ac:dyDescent="0.25">
      <c r="A466" s="21"/>
      <c r="B466" s="21"/>
    </row>
    <row r="467" spans="1:2" x14ac:dyDescent="0.25">
      <c r="A467" s="21"/>
      <c r="B467" s="21"/>
    </row>
    <row r="468" spans="1:2" x14ac:dyDescent="0.25">
      <c r="A468" s="21"/>
      <c r="B468" s="21"/>
    </row>
    <row r="469" spans="1:2" x14ac:dyDescent="0.25">
      <c r="A469" s="21"/>
      <c r="B469" s="21"/>
    </row>
    <row r="470" spans="1:2" x14ac:dyDescent="0.25">
      <c r="A470" s="21"/>
      <c r="B470" s="21"/>
    </row>
    <row r="471" spans="1:2" x14ac:dyDescent="0.25">
      <c r="A471" s="21"/>
      <c r="B471" s="21"/>
    </row>
    <row r="472" spans="1:2" x14ac:dyDescent="0.25">
      <c r="A472" s="21"/>
      <c r="B472" s="21"/>
    </row>
    <row r="473" spans="1:2" x14ac:dyDescent="0.25">
      <c r="A473" s="21"/>
      <c r="B473" s="21"/>
    </row>
    <row r="474" spans="1:2" x14ac:dyDescent="0.25">
      <c r="A474" s="21"/>
      <c r="B474" s="21"/>
    </row>
    <row r="475" spans="1:2" x14ac:dyDescent="0.25">
      <c r="A475" s="21"/>
      <c r="B475" s="21"/>
    </row>
    <row r="476" spans="1:2" x14ac:dyDescent="0.25">
      <c r="A476" s="21"/>
      <c r="B476" s="21"/>
    </row>
    <row r="477" spans="1:2" x14ac:dyDescent="0.25">
      <c r="A477" s="21"/>
      <c r="B477" s="21"/>
    </row>
    <row r="478" spans="1:2" x14ac:dyDescent="0.25">
      <c r="A478" s="21"/>
      <c r="B478" s="21"/>
    </row>
    <row r="479" spans="1:2" x14ac:dyDescent="0.25">
      <c r="A479" s="21"/>
      <c r="B479" s="21"/>
    </row>
    <row r="480" spans="1:2" x14ac:dyDescent="0.25">
      <c r="A480" s="21"/>
      <c r="B480" s="21"/>
    </row>
    <row r="481" spans="1:2" x14ac:dyDescent="0.25">
      <c r="A481" s="21"/>
      <c r="B481" s="21"/>
    </row>
    <row r="482" spans="1:2" x14ac:dyDescent="0.25">
      <c r="A482" s="21"/>
      <c r="B482" s="21"/>
    </row>
    <row r="483" spans="1:2" x14ac:dyDescent="0.25">
      <c r="A483" s="21"/>
      <c r="B483" s="21"/>
    </row>
    <row r="484" spans="1:2" x14ac:dyDescent="0.25">
      <c r="A484" s="21"/>
      <c r="B484" s="21"/>
    </row>
    <row r="485" spans="1:2" x14ac:dyDescent="0.25">
      <c r="A485" s="21"/>
      <c r="B485" s="21"/>
    </row>
    <row r="486" spans="1:2" x14ac:dyDescent="0.25">
      <c r="A486" s="21"/>
      <c r="B486" s="21"/>
    </row>
    <row r="487" spans="1:2" x14ac:dyDescent="0.25">
      <c r="A487" s="21"/>
      <c r="B487" s="21"/>
    </row>
    <row r="488" spans="1:2" x14ac:dyDescent="0.25">
      <c r="A488" s="21"/>
      <c r="B488" s="21"/>
    </row>
    <row r="489" spans="1:2" x14ac:dyDescent="0.25">
      <c r="A489" s="21"/>
      <c r="B489" s="21"/>
    </row>
    <row r="490" spans="1:2" x14ac:dyDescent="0.25">
      <c r="A490" s="21"/>
      <c r="B490" s="21"/>
    </row>
    <row r="491" spans="1:2" x14ac:dyDescent="0.25">
      <c r="A491" s="21"/>
      <c r="B491" s="21"/>
    </row>
    <row r="492" spans="1:2" x14ac:dyDescent="0.25">
      <c r="A492" s="21"/>
      <c r="B492" s="21"/>
    </row>
    <row r="493" spans="1:2" x14ac:dyDescent="0.25">
      <c r="A493" s="21"/>
      <c r="B493" s="21"/>
    </row>
    <row r="494" spans="1:2" x14ac:dyDescent="0.25">
      <c r="A494" s="21"/>
      <c r="B494" s="21"/>
    </row>
    <row r="495" spans="1:2" x14ac:dyDescent="0.25">
      <c r="A495" s="21"/>
      <c r="B495" s="21"/>
    </row>
    <row r="496" spans="1:2" x14ac:dyDescent="0.25">
      <c r="A496" s="21"/>
      <c r="B496" s="21"/>
    </row>
    <row r="497" spans="1:2" x14ac:dyDescent="0.25">
      <c r="A497" s="21"/>
      <c r="B497" s="21"/>
    </row>
    <row r="498" spans="1:2" x14ac:dyDescent="0.25">
      <c r="A498" s="21"/>
      <c r="B498" s="21"/>
    </row>
    <row r="499" spans="1:2" x14ac:dyDescent="0.25">
      <c r="A499" s="21"/>
      <c r="B499" s="21"/>
    </row>
    <row r="500" spans="1:2" x14ac:dyDescent="0.25">
      <c r="A500" s="21"/>
      <c r="B500" s="21"/>
    </row>
    <row r="501" spans="1:2" x14ac:dyDescent="0.25">
      <c r="A501" s="21"/>
      <c r="B501" s="21"/>
    </row>
    <row r="502" spans="1:2" x14ac:dyDescent="0.25">
      <c r="A502" s="21"/>
      <c r="B502" s="21"/>
    </row>
    <row r="503" spans="1:2" x14ac:dyDescent="0.25">
      <c r="A503" s="21"/>
      <c r="B503" s="21"/>
    </row>
    <row r="504" spans="1:2" x14ac:dyDescent="0.25">
      <c r="A504" s="21"/>
      <c r="B504" s="21"/>
    </row>
    <row r="505" spans="1:2" x14ac:dyDescent="0.25">
      <c r="A505" s="21"/>
      <c r="B505" s="21"/>
    </row>
    <row r="506" spans="1:2" x14ac:dyDescent="0.25">
      <c r="A506" s="21"/>
      <c r="B506" s="21"/>
    </row>
    <row r="507" spans="1:2" x14ac:dyDescent="0.25">
      <c r="A507" s="21"/>
      <c r="B507" s="21"/>
    </row>
    <row r="508" spans="1:2" x14ac:dyDescent="0.25">
      <c r="A508" s="21"/>
      <c r="B508" s="21"/>
    </row>
    <row r="509" spans="1:2" x14ac:dyDescent="0.25">
      <c r="A509" s="21"/>
      <c r="B509" s="21"/>
    </row>
    <row r="510" spans="1:2" x14ac:dyDescent="0.25">
      <c r="A510" s="21"/>
      <c r="B510" s="21"/>
    </row>
    <row r="511" spans="1:2" x14ac:dyDescent="0.25">
      <c r="A511" s="21"/>
      <c r="B511" s="21"/>
    </row>
    <row r="512" spans="1:2" x14ac:dyDescent="0.25">
      <c r="A512" s="21"/>
      <c r="B512" s="21"/>
    </row>
    <row r="513" spans="1:2" x14ac:dyDescent="0.25">
      <c r="A513" s="21"/>
      <c r="B513" s="21"/>
    </row>
    <row r="514" spans="1:2" x14ac:dyDescent="0.25">
      <c r="A514" s="21"/>
      <c r="B514" s="21"/>
    </row>
    <row r="515" spans="1:2" x14ac:dyDescent="0.25">
      <c r="A515" s="21"/>
      <c r="B515" s="21"/>
    </row>
    <row r="516" spans="1:2" x14ac:dyDescent="0.25">
      <c r="A516" s="21"/>
      <c r="B516" s="21"/>
    </row>
    <row r="517" spans="1:2" x14ac:dyDescent="0.25">
      <c r="A517" s="21"/>
      <c r="B517" s="21"/>
    </row>
    <row r="518" spans="1:2" x14ac:dyDescent="0.25">
      <c r="A518" s="21"/>
      <c r="B518" s="21"/>
    </row>
    <row r="519" spans="1:2" x14ac:dyDescent="0.25">
      <c r="A519" s="21"/>
      <c r="B519" s="21"/>
    </row>
    <row r="520" spans="1:2" x14ac:dyDescent="0.25">
      <c r="A520" s="21"/>
      <c r="B520" s="21"/>
    </row>
    <row r="521" spans="1:2" x14ac:dyDescent="0.25">
      <c r="A521" s="21"/>
      <c r="B521" s="21"/>
    </row>
    <row r="522" spans="1:2" x14ac:dyDescent="0.25">
      <c r="A522" s="21"/>
      <c r="B522" s="21"/>
    </row>
    <row r="523" spans="1:2" x14ac:dyDescent="0.25">
      <c r="A523" s="21"/>
      <c r="B523" s="21"/>
    </row>
    <row r="524" spans="1:2" x14ac:dyDescent="0.25">
      <c r="A524" s="21"/>
      <c r="B524" s="21"/>
    </row>
    <row r="525" spans="1:2" x14ac:dyDescent="0.25">
      <c r="A525" s="21"/>
      <c r="B525" s="21"/>
    </row>
    <row r="526" spans="1:2" x14ac:dyDescent="0.25">
      <c r="A526" s="21"/>
      <c r="B526" s="21"/>
    </row>
    <row r="527" spans="1:2" x14ac:dyDescent="0.25">
      <c r="A527" s="21"/>
      <c r="B527" s="21"/>
    </row>
    <row r="528" spans="1:2" x14ac:dyDescent="0.25">
      <c r="A528" s="21"/>
      <c r="B528" s="21"/>
    </row>
    <row r="529" spans="1:2" x14ac:dyDescent="0.25">
      <c r="A529" s="21"/>
      <c r="B529" s="21"/>
    </row>
    <row r="530" spans="1:2" x14ac:dyDescent="0.25">
      <c r="A530" s="21"/>
      <c r="B530" s="21"/>
    </row>
    <row r="531" spans="1:2" x14ac:dyDescent="0.25">
      <c r="A531" s="21"/>
      <c r="B531" s="21"/>
    </row>
    <row r="532" spans="1:2" x14ac:dyDescent="0.25">
      <c r="A532" s="21"/>
      <c r="B532" s="21"/>
    </row>
    <row r="533" spans="1:2" x14ac:dyDescent="0.25">
      <c r="A533" s="21"/>
      <c r="B533" s="21"/>
    </row>
    <row r="534" spans="1:2" x14ac:dyDescent="0.25">
      <c r="A534" s="21"/>
      <c r="B534" s="21"/>
    </row>
    <row r="535" spans="1:2" x14ac:dyDescent="0.25">
      <c r="A535" s="21"/>
      <c r="B535" s="21"/>
    </row>
    <row r="536" spans="1:2" x14ac:dyDescent="0.25">
      <c r="A536" s="21"/>
      <c r="B536" s="21"/>
    </row>
    <row r="537" spans="1:2" x14ac:dyDescent="0.25">
      <c r="A537" s="21"/>
      <c r="B537" s="21"/>
    </row>
    <row r="538" spans="1:2" x14ac:dyDescent="0.25">
      <c r="A538" s="21"/>
      <c r="B538" s="21"/>
    </row>
    <row r="539" spans="1:2" x14ac:dyDescent="0.25">
      <c r="A539" s="21"/>
      <c r="B539" s="21"/>
    </row>
    <row r="540" spans="1:2" x14ac:dyDescent="0.25">
      <c r="A540" s="21"/>
      <c r="B540" s="21"/>
    </row>
    <row r="541" spans="1:2" x14ac:dyDescent="0.25">
      <c r="A541" s="21"/>
      <c r="B541" s="21"/>
    </row>
    <row r="542" spans="1:2" x14ac:dyDescent="0.25">
      <c r="A542" s="21"/>
      <c r="B542" s="21"/>
    </row>
    <row r="543" spans="1:2" x14ac:dyDescent="0.25">
      <c r="A543" s="21"/>
      <c r="B543" s="21"/>
    </row>
    <row r="544" spans="1:2" x14ac:dyDescent="0.25">
      <c r="A544" s="21"/>
      <c r="B544" s="21"/>
    </row>
    <row r="545" spans="1:2" x14ac:dyDescent="0.25">
      <c r="A545" s="21"/>
      <c r="B545" s="21"/>
    </row>
    <row r="546" spans="1:2" x14ac:dyDescent="0.25">
      <c r="A546" s="21"/>
      <c r="B546" s="21"/>
    </row>
    <row r="547" spans="1:2" x14ac:dyDescent="0.25">
      <c r="A547" s="21"/>
      <c r="B547" s="21"/>
    </row>
    <row r="548" spans="1:2" x14ac:dyDescent="0.25">
      <c r="A548" s="21"/>
      <c r="B548" s="21"/>
    </row>
    <row r="549" spans="1:2" x14ac:dyDescent="0.25">
      <c r="A549" s="21"/>
      <c r="B549" s="21"/>
    </row>
    <row r="550" spans="1:2" x14ac:dyDescent="0.25">
      <c r="A550" s="21"/>
      <c r="B550" s="21"/>
    </row>
    <row r="551" spans="1:2" x14ac:dyDescent="0.25">
      <c r="A551" s="21"/>
      <c r="B551" s="21"/>
    </row>
    <row r="552" spans="1:2" x14ac:dyDescent="0.25">
      <c r="A552" s="21"/>
      <c r="B552" s="21"/>
    </row>
    <row r="553" spans="1:2" x14ac:dyDescent="0.25">
      <c r="A553" s="21"/>
      <c r="B553" s="21"/>
    </row>
    <row r="554" spans="1:2" x14ac:dyDescent="0.25">
      <c r="A554" s="21"/>
      <c r="B554" s="21"/>
    </row>
    <row r="555" spans="1:2" x14ac:dyDescent="0.25">
      <c r="A555" s="21"/>
      <c r="B555" s="21"/>
    </row>
    <row r="556" spans="1:2" x14ac:dyDescent="0.25">
      <c r="A556" s="21"/>
      <c r="B556" s="21"/>
    </row>
    <row r="557" spans="1:2" x14ac:dyDescent="0.25">
      <c r="A557" s="21"/>
      <c r="B557" s="21"/>
    </row>
    <row r="558" spans="1:2" x14ac:dyDescent="0.25">
      <c r="A558" s="21"/>
      <c r="B558" s="21"/>
    </row>
    <row r="559" spans="1:2" x14ac:dyDescent="0.25">
      <c r="A559" s="21"/>
      <c r="B559" s="21"/>
    </row>
    <row r="560" spans="1:2" x14ac:dyDescent="0.25">
      <c r="A560" s="21"/>
      <c r="B560" s="21"/>
    </row>
    <row r="561" spans="1:2" x14ac:dyDescent="0.25">
      <c r="A561" s="21"/>
      <c r="B561" s="21"/>
    </row>
    <row r="562" spans="1:2" x14ac:dyDescent="0.25">
      <c r="A562" s="21"/>
      <c r="B562" s="21"/>
    </row>
    <row r="563" spans="1:2" x14ac:dyDescent="0.25">
      <c r="A563" s="21"/>
      <c r="B563" s="21"/>
    </row>
    <row r="564" spans="1:2" x14ac:dyDescent="0.25">
      <c r="A564" s="21"/>
      <c r="B564" s="21"/>
    </row>
    <row r="565" spans="1:2" x14ac:dyDescent="0.25">
      <c r="A565" s="21"/>
      <c r="B565" s="21"/>
    </row>
    <row r="566" spans="1:2" x14ac:dyDescent="0.25">
      <c r="A566" s="21"/>
      <c r="B566" s="21"/>
    </row>
    <row r="567" spans="1:2" x14ac:dyDescent="0.25">
      <c r="A567" s="21"/>
      <c r="B567" s="21"/>
    </row>
    <row r="568" spans="1:2" x14ac:dyDescent="0.25">
      <c r="A568" s="21"/>
      <c r="B568" s="21"/>
    </row>
    <row r="569" spans="1:2" x14ac:dyDescent="0.25">
      <c r="A569" s="21"/>
      <c r="B569" s="21"/>
    </row>
    <row r="570" spans="1:2" x14ac:dyDescent="0.25">
      <c r="A570" s="21"/>
      <c r="B570" s="21"/>
    </row>
    <row r="571" spans="1:2" x14ac:dyDescent="0.25">
      <c r="A571" s="21"/>
      <c r="B571" s="21"/>
    </row>
    <row r="572" spans="1:2" x14ac:dyDescent="0.25">
      <c r="A572" s="21"/>
      <c r="B572" s="21"/>
    </row>
    <row r="573" spans="1:2" x14ac:dyDescent="0.25">
      <c r="A573" s="21"/>
      <c r="B573" s="21"/>
    </row>
    <row r="574" spans="1:2" x14ac:dyDescent="0.25">
      <c r="A574" s="21"/>
      <c r="B574" s="21"/>
    </row>
    <row r="575" spans="1:2" x14ac:dyDescent="0.25">
      <c r="A575" s="21"/>
      <c r="B575" s="21"/>
    </row>
    <row r="576" spans="1:2" x14ac:dyDescent="0.25">
      <c r="A576" s="21"/>
      <c r="B576" s="21"/>
    </row>
    <row r="577" spans="1:2" x14ac:dyDescent="0.25">
      <c r="A577" s="21"/>
      <c r="B577" s="21"/>
    </row>
    <row r="578" spans="1:2" x14ac:dyDescent="0.25">
      <c r="A578" s="21"/>
      <c r="B578" s="21"/>
    </row>
    <row r="579" spans="1:2" x14ac:dyDescent="0.25">
      <c r="A579" s="21"/>
      <c r="B579" s="21"/>
    </row>
    <row r="580" spans="1:2" x14ac:dyDescent="0.25">
      <c r="A580" s="21"/>
      <c r="B580" s="21"/>
    </row>
    <row r="581" spans="1:2" x14ac:dyDescent="0.25">
      <c r="A581" s="21"/>
      <c r="B581" s="21"/>
    </row>
    <row r="582" spans="1:2" x14ac:dyDescent="0.25">
      <c r="A582" s="21"/>
      <c r="B582" s="21"/>
    </row>
    <row r="583" spans="1:2" x14ac:dyDescent="0.25">
      <c r="A583" s="21"/>
      <c r="B583" s="21"/>
    </row>
    <row r="584" spans="1:2" x14ac:dyDescent="0.25">
      <c r="A584" s="21"/>
      <c r="B584" s="21"/>
    </row>
    <row r="585" spans="1:2" x14ac:dyDescent="0.25">
      <c r="A585" s="21"/>
      <c r="B585" s="21"/>
    </row>
    <row r="586" spans="1:2" x14ac:dyDescent="0.25">
      <c r="A586" s="21"/>
      <c r="B586" s="21"/>
    </row>
    <row r="587" spans="1:2" x14ac:dyDescent="0.25">
      <c r="A587" s="21"/>
      <c r="B587" s="21"/>
    </row>
    <row r="588" spans="1:2" x14ac:dyDescent="0.25">
      <c r="A588" s="21"/>
      <c r="B588" s="21"/>
    </row>
    <row r="589" spans="1:2" x14ac:dyDescent="0.25">
      <c r="A589" s="21"/>
      <c r="B589" s="21"/>
    </row>
    <row r="590" spans="1:2" x14ac:dyDescent="0.25">
      <c r="A590" s="21"/>
      <c r="B590" s="21"/>
    </row>
    <row r="591" spans="1:2" x14ac:dyDescent="0.25">
      <c r="A591" s="21"/>
      <c r="B591" s="21"/>
    </row>
    <row r="592" spans="1:2" x14ac:dyDescent="0.25">
      <c r="A592" s="21"/>
      <c r="B592" s="21"/>
    </row>
    <row r="593" spans="1:2" x14ac:dyDescent="0.25">
      <c r="A593" s="21"/>
      <c r="B593" s="21"/>
    </row>
    <row r="594" spans="1:2" x14ac:dyDescent="0.25">
      <c r="A594" s="21"/>
      <c r="B594" s="21"/>
    </row>
    <row r="595" spans="1:2" x14ac:dyDescent="0.25">
      <c r="A595" s="21"/>
      <c r="B595" s="21"/>
    </row>
    <row r="596" spans="1:2" x14ac:dyDescent="0.25">
      <c r="A596" s="21"/>
      <c r="B596" s="21"/>
    </row>
    <row r="597" spans="1:2" x14ac:dyDescent="0.25">
      <c r="A597" s="21"/>
      <c r="B597" s="21"/>
    </row>
    <row r="598" spans="1:2" x14ac:dyDescent="0.25">
      <c r="A598" s="21"/>
      <c r="B598" s="21"/>
    </row>
    <row r="599" spans="1:2" x14ac:dyDescent="0.25">
      <c r="A599" s="21"/>
      <c r="B599" s="21"/>
    </row>
    <row r="600" spans="1:2" x14ac:dyDescent="0.25">
      <c r="A600" s="21"/>
      <c r="B600" s="21"/>
    </row>
    <row r="601" spans="1:2" x14ac:dyDescent="0.25">
      <c r="A601" s="21"/>
      <c r="B601" s="21"/>
    </row>
    <row r="602" spans="1:2" x14ac:dyDescent="0.25">
      <c r="A602" s="21"/>
      <c r="B602" s="21"/>
    </row>
    <row r="603" spans="1:2" x14ac:dyDescent="0.25">
      <c r="A603" s="21"/>
      <c r="B603" s="21"/>
    </row>
    <row r="604" spans="1:2" x14ac:dyDescent="0.25">
      <c r="A604" s="21"/>
      <c r="B604" s="21"/>
    </row>
    <row r="605" spans="1:2" x14ac:dyDescent="0.25">
      <c r="A605" s="21"/>
      <c r="B605" s="21"/>
    </row>
    <row r="606" spans="1:2" x14ac:dyDescent="0.25">
      <c r="A606" s="21"/>
      <c r="B606" s="21"/>
    </row>
    <row r="607" spans="1:2" x14ac:dyDescent="0.25">
      <c r="A607" s="21"/>
      <c r="B607" s="21"/>
    </row>
    <row r="608" spans="1:2" x14ac:dyDescent="0.25">
      <c r="A608" s="21"/>
      <c r="B608" s="21"/>
    </row>
    <row r="609" spans="1:2" x14ac:dyDescent="0.25">
      <c r="A609" s="21"/>
      <c r="B609" s="21"/>
    </row>
    <row r="610" spans="1:2" x14ac:dyDescent="0.25">
      <c r="A610" s="21"/>
      <c r="B610" s="21"/>
    </row>
    <row r="611" spans="1:2" x14ac:dyDescent="0.25">
      <c r="A611" s="21"/>
      <c r="B611" s="21"/>
    </row>
    <row r="612" spans="1:2" x14ac:dyDescent="0.25">
      <c r="A612" s="21"/>
      <c r="B612" s="21"/>
    </row>
    <row r="613" spans="1:2" x14ac:dyDescent="0.25">
      <c r="A613" s="21"/>
      <c r="B613" s="21"/>
    </row>
    <row r="614" spans="1:2" x14ac:dyDescent="0.25">
      <c r="A614" s="21"/>
      <c r="B614" s="21"/>
    </row>
    <row r="615" spans="1:2" x14ac:dyDescent="0.25">
      <c r="A615" s="21"/>
      <c r="B615" s="21"/>
    </row>
    <row r="616" spans="1:2" x14ac:dyDescent="0.25">
      <c r="A616" s="21"/>
      <c r="B616" s="21"/>
    </row>
    <row r="617" spans="1:2" x14ac:dyDescent="0.25">
      <c r="A617" s="21"/>
      <c r="B617" s="21"/>
    </row>
    <row r="618" spans="1:2" x14ac:dyDescent="0.25">
      <c r="A618" s="21"/>
      <c r="B618" s="21"/>
    </row>
    <row r="619" spans="1:2" x14ac:dyDescent="0.25">
      <c r="A619" s="21"/>
      <c r="B619" s="21"/>
    </row>
    <row r="620" spans="1:2" x14ac:dyDescent="0.25">
      <c r="A620" s="21"/>
      <c r="B620" s="21"/>
    </row>
    <row r="621" spans="1:2" x14ac:dyDescent="0.25">
      <c r="A621" s="21"/>
      <c r="B621" s="21"/>
    </row>
    <row r="622" spans="1:2" x14ac:dyDescent="0.25">
      <c r="A622" s="21"/>
      <c r="B622" s="21"/>
    </row>
    <row r="623" spans="1:2" x14ac:dyDescent="0.25">
      <c r="A623" s="21"/>
      <c r="B623" s="21"/>
    </row>
    <row r="624" spans="1:2" x14ac:dyDescent="0.25">
      <c r="A624" s="21"/>
      <c r="B624" s="21"/>
    </row>
    <row r="625" spans="1:2" x14ac:dyDescent="0.25">
      <c r="A625" s="21"/>
      <c r="B625" s="21"/>
    </row>
    <row r="626" spans="1:2" x14ac:dyDescent="0.25">
      <c r="A626" s="21"/>
      <c r="B626" s="21"/>
    </row>
    <row r="627" spans="1:2" x14ac:dyDescent="0.25">
      <c r="A627" s="21"/>
      <c r="B627" s="21"/>
    </row>
    <row r="628" spans="1:2" x14ac:dyDescent="0.25">
      <c r="A628" s="21"/>
      <c r="B628" s="21"/>
    </row>
    <row r="629" spans="1:2" x14ac:dyDescent="0.25">
      <c r="A629" s="21"/>
      <c r="B629" s="21"/>
    </row>
    <row r="630" spans="1:2" x14ac:dyDescent="0.25">
      <c r="A630" s="21"/>
      <c r="B630" s="21"/>
    </row>
    <row r="631" spans="1:2" x14ac:dyDescent="0.25">
      <c r="A631" s="21"/>
      <c r="B631" s="21"/>
    </row>
    <row r="632" spans="1:2" x14ac:dyDescent="0.25">
      <c r="A632" s="21"/>
      <c r="B632" s="21"/>
    </row>
    <row r="633" spans="1:2" x14ac:dyDescent="0.25">
      <c r="A633" s="21"/>
      <c r="B633" s="21"/>
    </row>
    <row r="634" spans="1:2" x14ac:dyDescent="0.25">
      <c r="A634" s="21"/>
      <c r="B634" s="21"/>
    </row>
    <row r="635" spans="1:2" x14ac:dyDescent="0.25">
      <c r="A635" s="21"/>
      <c r="B635" s="21"/>
    </row>
    <row r="636" spans="1:2" x14ac:dyDescent="0.25">
      <c r="A636" s="21"/>
      <c r="B636" s="21"/>
    </row>
    <row r="637" spans="1:2" x14ac:dyDescent="0.25">
      <c r="A637" s="21"/>
      <c r="B637" s="21"/>
    </row>
    <row r="638" spans="1:2" x14ac:dyDescent="0.25">
      <c r="A638" s="21"/>
      <c r="B638" s="21"/>
    </row>
    <row r="639" spans="1:2" x14ac:dyDescent="0.25">
      <c r="A639" s="21"/>
      <c r="B639" s="21"/>
    </row>
    <row r="640" spans="1:2" x14ac:dyDescent="0.25">
      <c r="A640" s="21"/>
      <c r="B640" s="21"/>
    </row>
    <row r="641" spans="1:2" x14ac:dyDescent="0.25">
      <c r="A641" s="21"/>
      <c r="B641" s="21"/>
    </row>
    <row r="642" spans="1:2" x14ac:dyDescent="0.25">
      <c r="A642" s="21"/>
      <c r="B642" s="21"/>
    </row>
    <row r="643" spans="1:2" x14ac:dyDescent="0.25">
      <c r="A643" s="21"/>
      <c r="B643" s="21"/>
    </row>
    <row r="644" spans="1:2" x14ac:dyDescent="0.25">
      <c r="A644" s="21"/>
      <c r="B644" s="21"/>
    </row>
    <row r="645" spans="1:2" x14ac:dyDescent="0.25">
      <c r="A645" s="21"/>
      <c r="B645" s="21"/>
    </row>
    <row r="646" spans="1:2" x14ac:dyDescent="0.25">
      <c r="A646" s="21"/>
      <c r="B646" s="21"/>
    </row>
    <row r="647" spans="1:2" x14ac:dyDescent="0.25">
      <c r="A647" s="21"/>
      <c r="B647" s="21"/>
    </row>
    <row r="648" spans="1:2" x14ac:dyDescent="0.25">
      <c r="A648" s="21"/>
      <c r="B648" s="21"/>
    </row>
    <row r="649" spans="1:2" x14ac:dyDescent="0.25">
      <c r="A649" s="21"/>
      <c r="B649" s="21"/>
    </row>
    <row r="650" spans="1:2" x14ac:dyDescent="0.25">
      <c r="A650" s="21"/>
      <c r="B650" s="21"/>
    </row>
    <row r="651" spans="1:2" x14ac:dyDescent="0.25">
      <c r="A651" s="21"/>
      <c r="B651" s="21"/>
    </row>
    <row r="652" spans="1:2" x14ac:dyDescent="0.25">
      <c r="A652" s="21"/>
      <c r="B652" s="21"/>
    </row>
    <row r="653" spans="1:2" x14ac:dyDescent="0.25">
      <c r="A653" s="21"/>
      <c r="B653" s="21"/>
    </row>
    <row r="654" spans="1:2" x14ac:dyDescent="0.25">
      <c r="A654" s="21"/>
      <c r="B654" s="21"/>
    </row>
    <row r="655" spans="1:2" x14ac:dyDescent="0.25">
      <c r="A655" s="21"/>
      <c r="B655" s="21"/>
    </row>
    <row r="656" spans="1:2" x14ac:dyDescent="0.25">
      <c r="A656" s="21"/>
      <c r="B656" s="21"/>
    </row>
    <row r="657" spans="1:2" x14ac:dyDescent="0.25">
      <c r="A657" s="21"/>
      <c r="B657" s="21"/>
    </row>
    <row r="658" spans="1:2" x14ac:dyDescent="0.25">
      <c r="A658" s="21"/>
      <c r="B658" s="21"/>
    </row>
    <row r="659" spans="1:2" x14ac:dyDescent="0.25">
      <c r="A659" s="21"/>
      <c r="B659" s="21"/>
    </row>
    <row r="660" spans="1:2" x14ac:dyDescent="0.25">
      <c r="A660" s="21"/>
      <c r="B660" s="21"/>
    </row>
    <row r="661" spans="1:2" x14ac:dyDescent="0.25">
      <c r="A661" s="21"/>
      <c r="B661" s="21"/>
    </row>
    <row r="662" spans="1:2" x14ac:dyDescent="0.25">
      <c r="A662" s="21"/>
      <c r="B662" s="21"/>
    </row>
    <row r="663" spans="1:2" x14ac:dyDescent="0.25">
      <c r="A663" s="21"/>
      <c r="B663" s="21"/>
    </row>
    <row r="664" spans="1:2" x14ac:dyDescent="0.25">
      <c r="A664" s="21"/>
      <c r="B664" s="21"/>
    </row>
    <row r="665" spans="1:2" x14ac:dyDescent="0.25">
      <c r="A665" s="21"/>
      <c r="B665" s="21"/>
    </row>
    <row r="666" spans="1:2" x14ac:dyDescent="0.25">
      <c r="A666" s="21"/>
      <c r="B666" s="21"/>
    </row>
    <row r="667" spans="1:2" x14ac:dyDescent="0.25">
      <c r="A667" s="21"/>
      <c r="B667" s="21"/>
    </row>
    <row r="668" spans="1:2" x14ac:dyDescent="0.25">
      <c r="A668" s="21"/>
      <c r="B668" s="21"/>
    </row>
    <row r="669" spans="1:2" x14ac:dyDescent="0.25">
      <c r="A669" s="21"/>
      <c r="B669" s="21"/>
    </row>
    <row r="670" spans="1:2" x14ac:dyDescent="0.25">
      <c r="A670" s="21"/>
      <c r="B670" s="21"/>
    </row>
    <row r="671" spans="1:2" x14ac:dyDescent="0.25">
      <c r="A671" s="21"/>
      <c r="B671" s="21"/>
    </row>
    <row r="672" spans="1:2" x14ac:dyDescent="0.25">
      <c r="A672" s="21"/>
      <c r="B672" s="21"/>
    </row>
    <row r="673" spans="1:2" x14ac:dyDescent="0.25">
      <c r="A673" s="21"/>
      <c r="B673" s="21"/>
    </row>
    <row r="674" spans="1:2" x14ac:dyDescent="0.25">
      <c r="A674" s="21"/>
      <c r="B674" s="21"/>
    </row>
    <row r="675" spans="1:2" x14ac:dyDescent="0.25">
      <c r="A675" s="21"/>
      <c r="B675" s="21"/>
    </row>
    <row r="676" spans="1:2" x14ac:dyDescent="0.25">
      <c r="A676" s="21"/>
      <c r="B676" s="21"/>
    </row>
    <row r="677" spans="1:2" x14ac:dyDescent="0.25">
      <c r="A677" s="21"/>
      <c r="B677" s="21"/>
    </row>
    <row r="678" spans="1:2" x14ac:dyDescent="0.25">
      <c r="A678" s="21"/>
      <c r="B678" s="21"/>
    </row>
    <row r="679" spans="1:2" x14ac:dyDescent="0.25">
      <c r="A679" s="21"/>
      <c r="B679" s="21"/>
    </row>
    <row r="680" spans="1:2" x14ac:dyDescent="0.25">
      <c r="A680" s="21"/>
      <c r="B680" s="21"/>
    </row>
    <row r="681" spans="1:2" x14ac:dyDescent="0.25">
      <c r="A681" s="21"/>
      <c r="B681" s="21"/>
    </row>
    <row r="682" spans="1:2" x14ac:dyDescent="0.25">
      <c r="A682" s="21"/>
      <c r="B682" s="21"/>
    </row>
    <row r="683" spans="1:2" x14ac:dyDescent="0.25">
      <c r="A683" s="21"/>
      <c r="B683" s="21"/>
    </row>
    <row r="684" spans="1:2" x14ac:dyDescent="0.25">
      <c r="A684" s="21"/>
      <c r="B684" s="21"/>
    </row>
    <row r="685" spans="1:2" x14ac:dyDescent="0.25">
      <c r="A685" s="21"/>
      <c r="B685" s="21"/>
    </row>
    <row r="686" spans="1:2" x14ac:dyDescent="0.25">
      <c r="A686" s="21"/>
      <c r="B686" s="21"/>
    </row>
    <row r="687" spans="1:2" x14ac:dyDescent="0.25">
      <c r="A687" s="21"/>
      <c r="B687" s="21"/>
    </row>
    <row r="688" spans="1:2" x14ac:dyDescent="0.25">
      <c r="A688" s="21"/>
      <c r="B688" s="21"/>
    </row>
    <row r="689" spans="1:2" x14ac:dyDescent="0.25">
      <c r="A689" s="21"/>
      <c r="B689" s="21"/>
    </row>
    <row r="690" spans="1:2" x14ac:dyDescent="0.25">
      <c r="A690" s="21"/>
      <c r="B690" s="21"/>
    </row>
    <row r="691" spans="1:2" x14ac:dyDescent="0.25">
      <c r="A691" s="21"/>
      <c r="B691" s="21"/>
    </row>
    <row r="692" spans="1:2" x14ac:dyDescent="0.25">
      <c r="A692" s="21"/>
      <c r="B692" s="21"/>
    </row>
    <row r="693" spans="1:2" x14ac:dyDescent="0.25">
      <c r="A693" s="21"/>
      <c r="B693" s="21"/>
    </row>
    <row r="694" spans="1:2" x14ac:dyDescent="0.25">
      <c r="A694" s="21"/>
      <c r="B694" s="21"/>
    </row>
    <row r="695" spans="1:2" x14ac:dyDescent="0.25">
      <c r="A695" s="21"/>
      <c r="B695" s="21"/>
    </row>
    <row r="696" spans="1:2" x14ac:dyDescent="0.25">
      <c r="A696" s="21"/>
      <c r="B696" s="21"/>
    </row>
    <row r="697" spans="1:2" x14ac:dyDescent="0.25">
      <c r="A697" s="21"/>
      <c r="B697" s="21"/>
    </row>
    <row r="698" spans="1:2" x14ac:dyDescent="0.25">
      <c r="A698" s="21"/>
      <c r="B698" s="21"/>
    </row>
    <row r="699" spans="1:2" x14ac:dyDescent="0.25">
      <c r="A699" s="21"/>
      <c r="B699" s="21"/>
    </row>
    <row r="700" spans="1:2" x14ac:dyDescent="0.25">
      <c r="A700" s="21"/>
      <c r="B700" s="21"/>
    </row>
    <row r="701" spans="1:2" x14ac:dyDescent="0.25">
      <c r="A701" s="21"/>
      <c r="B701" s="21"/>
    </row>
    <row r="702" spans="1:2" x14ac:dyDescent="0.25">
      <c r="A702" s="21"/>
      <c r="B702" s="21"/>
    </row>
    <row r="703" spans="1:2" x14ac:dyDescent="0.25">
      <c r="A703" s="21"/>
      <c r="B703" s="21"/>
    </row>
    <row r="704" spans="1:2" x14ac:dyDescent="0.25">
      <c r="A704" s="21"/>
      <c r="B704" s="21"/>
    </row>
    <row r="705" spans="1:2" x14ac:dyDescent="0.25">
      <c r="A705" s="21"/>
      <c r="B705" s="21"/>
    </row>
    <row r="706" spans="1:2" x14ac:dyDescent="0.25">
      <c r="A706" s="21"/>
      <c r="B706" s="21"/>
    </row>
    <row r="707" spans="1:2" x14ac:dyDescent="0.25">
      <c r="A707" s="21"/>
      <c r="B707" s="21"/>
    </row>
    <row r="708" spans="1:2" x14ac:dyDescent="0.25">
      <c r="A708" s="21"/>
      <c r="B708" s="21"/>
    </row>
    <row r="709" spans="1:2" x14ac:dyDescent="0.25">
      <c r="A709" s="21"/>
      <c r="B709" s="21"/>
    </row>
    <row r="710" spans="1:2" x14ac:dyDescent="0.25">
      <c r="A710" s="21"/>
      <c r="B710" s="21"/>
    </row>
    <row r="711" spans="1:2" x14ac:dyDescent="0.25">
      <c r="A711" s="21"/>
      <c r="B711" s="21"/>
    </row>
    <row r="712" spans="1:2" x14ac:dyDescent="0.25">
      <c r="A712" s="21"/>
      <c r="B712" s="21"/>
    </row>
    <row r="713" spans="1:2" x14ac:dyDescent="0.25">
      <c r="A713" s="21"/>
      <c r="B713" s="21"/>
    </row>
    <row r="714" spans="1:2" x14ac:dyDescent="0.25">
      <c r="A714" s="21"/>
      <c r="B714" s="21"/>
    </row>
    <row r="715" spans="1:2" x14ac:dyDescent="0.25">
      <c r="A715" s="21"/>
      <c r="B715" s="21"/>
    </row>
    <row r="716" spans="1:2" x14ac:dyDescent="0.25">
      <c r="A716" s="21"/>
      <c r="B716" s="21"/>
    </row>
    <row r="717" spans="1:2" x14ac:dyDescent="0.25">
      <c r="A717" s="21"/>
      <c r="B717" s="21"/>
    </row>
    <row r="718" spans="1:2" x14ac:dyDescent="0.25">
      <c r="A718" s="21"/>
      <c r="B718" s="21"/>
    </row>
    <row r="719" spans="1:2" x14ac:dyDescent="0.25">
      <c r="A719" s="21"/>
      <c r="B719" s="21"/>
    </row>
    <row r="720" spans="1:2" x14ac:dyDescent="0.25">
      <c r="A720" s="21"/>
      <c r="B720" s="21"/>
    </row>
    <row r="721" spans="1:2" x14ac:dyDescent="0.25">
      <c r="A721" s="21"/>
      <c r="B721" s="21"/>
    </row>
    <row r="722" spans="1:2" x14ac:dyDescent="0.25">
      <c r="A722" s="21"/>
      <c r="B722" s="21"/>
    </row>
    <row r="723" spans="1:2" x14ac:dyDescent="0.25">
      <c r="A723" s="21"/>
      <c r="B723" s="21"/>
    </row>
    <row r="724" spans="1:2" x14ac:dyDescent="0.25">
      <c r="A724" s="21"/>
      <c r="B724" s="21"/>
    </row>
    <row r="725" spans="1:2" x14ac:dyDescent="0.25">
      <c r="A725" s="21"/>
      <c r="B725" s="21"/>
    </row>
    <row r="726" spans="1:2" x14ac:dyDescent="0.25">
      <c r="A726" s="21"/>
      <c r="B726" s="21"/>
    </row>
    <row r="727" spans="1:2" x14ac:dyDescent="0.25">
      <c r="A727" s="21"/>
      <c r="B727" s="21"/>
    </row>
    <row r="728" spans="1:2" x14ac:dyDescent="0.25">
      <c r="A728" s="21"/>
      <c r="B728" s="21"/>
    </row>
    <row r="729" spans="1:2" x14ac:dyDescent="0.25">
      <c r="A729" s="21"/>
      <c r="B729" s="21"/>
    </row>
    <row r="730" spans="1:2" x14ac:dyDescent="0.25">
      <c r="A730" s="21"/>
      <c r="B730" s="21"/>
    </row>
    <row r="731" spans="1:2" x14ac:dyDescent="0.25">
      <c r="A731" s="21"/>
      <c r="B731" s="21"/>
    </row>
    <row r="732" spans="1:2" x14ac:dyDescent="0.25">
      <c r="A732" s="21"/>
      <c r="B732" s="21"/>
    </row>
    <row r="733" spans="1:2" x14ac:dyDescent="0.25">
      <c r="A733" s="21"/>
      <c r="B733" s="21"/>
    </row>
    <row r="734" spans="1:2" x14ac:dyDescent="0.25">
      <c r="A734" s="21"/>
      <c r="B734" s="21"/>
    </row>
    <row r="735" spans="1:2" x14ac:dyDescent="0.25">
      <c r="A735" s="21"/>
      <c r="B735" s="21"/>
    </row>
    <row r="736" spans="1:2" x14ac:dyDescent="0.25">
      <c r="A736" s="21"/>
      <c r="B736" s="21"/>
    </row>
    <row r="737" spans="1:2" x14ac:dyDescent="0.25">
      <c r="A737" s="21"/>
      <c r="B737" s="21"/>
    </row>
    <row r="738" spans="1:2" x14ac:dyDescent="0.25">
      <c r="A738" s="21"/>
      <c r="B738" s="21"/>
    </row>
    <row r="739" spans="1:2" x14ac:dyDescent="0.25">
      <c r="A739" s="21"/>
      <c r="B739" s="21"/>
    </row>
    <row r="740" spans="1:2" x14ac:dyDescent="0.25">
      <c r="A740" s="21"/>
      <c r="B740" s="21"/>
    </row>
    <row r="741" spans="1:2" x14ac:dyDescent="0.25">
      <c r="A741" s="21"/>
      <c r="B741" s="21"/>
    </row>
    <row r="742" spans="1:2" x14ac:dyDescent="0.25">
      <c r="A742" s="21"/>
      <c r="B742" s="21"/>
    </row>
    <row r="743" spans="1:2" x14ac:dyDescent="0.25">
      <c r="A743" s="21"/>
      <c r="B743" s="21"/>
    </row>
    <row r="744" spans="1:2" x14ac:dyDescent="0.25">
      <c r="A744" s="21"/>
      <c r="B744" s="21"/>
    </row>
    <row r="745" spans="1:2" x14ac:dyDescent="0.25">
      <c r="A745" s="21"/>
      <c r="B745" s="21"/>
    </row>
    <row r="746" spans="1:2" x14ac:dyDescent="0.25">
      <c r="A746" s="21"/>
      <c r="B746" s="21"/>
    </row>
    <row r="747" spans="1:2" x14ac:dyDescent="0.25">
      <c r="A747" s="21"/>
      <c r="B747" s="21"/>
    </row>
    <row r="748" spans="1:2" x14ac:dyDescent="0.25">
      <c r="A748" s="21"/>
      <c r="B748" s="21"/>
    </row>
    <row r="749" spans="1:2" x14ac:dyDescent="0.25">
      <c r="A749" s="21"/>
      <c r="B749" s="21"/>
    </row>
    <row r="750" spans="1:2" x14ac:dyDescent="0.25">
      <c r="A750" s="21"/>
      <c r="B750" s="21"/>
    </row>
    <row r="751" spans="1:2" x14ac:dyDescent="0.25">
      <c r="A751" s="21"/>
      <c r="B751" s="21"/>
    </row>
    <row r="752" spans="1:2" x14ac:dyDescent="0.25">
      <c r="A752" s="21"/>
      <c r="B752" s="21"/>
    </row>
    <row r="753" spans="1:2" x14ac:dyDescent="0.25">
      <c r="A753" s="21"/>
      <c r="B753" s="21"/>
    </row>
    <row r="754" spans="1:2" x14ac:dyDescent="0.25">
      <c r="A754" s="21"/>
      <c r="B754" s="21"/>
    </row>
    <row r="755" spans="1:2" x14ac:dyDescent="0.25">
      <c r="A755" s="21"/>
      <c r="B755" s="21"/>
    </row>
    <row r="756" spans="1:2" x14ac:dyDescent="0.25">
      <c r="A756" s="21"/>
      <c r="B756" s="21"/>
    </row>
    <row r="757" spans="1:2" x14ac:dyDescent="0.25">
      <c r="A757" s="21"/>
      <c r="B757" s="21"/>
    </row>
    <row r="758" spans="1:2" x14ac:dyDescent="0.25">
      <c r="A758" s="21"/>
      <c r="B758" s="21"/>
    </row>
    <row r="759" spans="1:2" x14ac:dyDescent="0.25">
      <c r="A759" s="21"/>
      <c r="B759" s="21"/>
    </row>
    <row r="760" spans="1:2" x14ac:dyDescent="0.25">
      <c r="A760" s="21"/>
      <c r="B760" s="21"/>
    </row>
    <row r="761" spans="1:2" x14ac:dyDescent="0.25">
      <c r="A761" s="21"/>
      <c r="B761" s="21"/>
    </row>
    <row r="762" spans="1:2" x14ac:dyDescent="0.25">
      <c r="A762" s="21"/>
      <c r="B762" s="21"/>
    </row>
    <row r="763" spans="1:2" x14ac:dyDescent="0.25">
      <c r="A763" s="21"/>
      <c r="B763" s="21"/>
    </row>
    <row r="764" spans="1:2" x14ac:dyDescent="0.25">
      <c r="A764" s="21"/>
      <c r="B764" s="21"/>
    </row>
    <row r="765" spans="1:2" x14ac:dyDescent="0.25">
      <c r="A765" s="21"/>
      <c r="B765" s="21"/>
    </row>
    <row r="766" spans="1:2" x14ac:dyDescent="0.25">
      <c r="A766" s="21"/>
      <c r="B766" s="21"/>
    </row>
    <row r="767" spans="1:2" x14ac:dyDescent="0.25">
      <c r="A767" s="21"/>
      <c r="B767" s="21"/>
    </row>
    <row r="768" spans="1:2" x14ac:dyDescent="0.25">
      <c r="A768" s="21"/>
      <c r="B768" s="21"/>
    </row>
    <row r="769" spans="1:2" x14ac:dyDescent="0.25">
      <c r="A769" s="21"/>
      <c r="B769" s="21"/>
    </row>
    <row r="770" spans="1:2" x14ac:dyDescent="0.25">
      <c r="A770" s="21"/>
      <c r="B770" s="21"/>
    </row>
    <row r="771" spans="1:2" x14ac:dyDescent="0.25">
      <c r="A771" s="21"/>
      <c r="B771" s="21"/>
    </row>
    <row r="772" spans="1:2" x14ac:dyDescent="0.25">
      <c r="A772" s="21"/>
      <c r="B772" s="21"/>
    </row>
    <row r="773" spans="1:2" x14ac:dyDescent="0.25">
      <c r="A773" s="21"/>
      <c r="B773" s="21"/>
    </row>
    <row r="774" spans="1:2" x14ac:dyDescent="0.25">
      <c r="A774" s="21"/>
      <c r="B774" s="21"/>
    </row>
    <row r="775" spans="1:2" x14ac:dyDescent="0.25">
      <c r="A775" s="21"/>
      <c r="B775" s="21"/>
    </row>
    <row r="776" spans="1:2" x14ac:dyDescent="0.25">
      <c r="A776" s="21"/>
      <c r="B776" s="21"/>
    </row>
    <row r="777" spans="1:2" x14ac:dyDescent="0.25">
      <c r="A777" s="21"/>
      <c r="B777" s="21"/>
    </row>
    <row r="778" spans="1:2" x14ac:dyDescent="0.25">
      <c r="A778" s="21"/>
      <c r="B778" s="21"/>
    </row>
    <row r="779" spans="1:2" x14ac:dyDescent="0.25">
      <c r="A779" s="21"/>
      <c r="B779" s="21"/>
    </row>
    <row r="780" spans="1:2" x14ac:dyDescent="0.25">
      <c r="A780" s="21"/>
      <c r="B780" s="21"/>
    </row>
    <row r="781" spans="1:2" x14ac:dyDescent="0.25">
      <c r="A781" s="21"/>
      <c r="B781" s="21"/>
    </row>
    <row r="782" spans="1:2" x14ac:dyDescent="0.25">
      <c r="A782" s="21"/>
      <c r="B782" s="21"/>
    </row>
    <row r="783" spans="1:2" x14ac:dyDescent="0.25">
      <c r="A783" s="21"/>
      <c r="B783" s="21"/>
    </row>
    <row r="784" spans="1:2" x14ac:dyDescent="0.25">
      <c r="A784" s="21"/>
      <c r="B784" s="21"/>
    </row>
    <row r="785" spans="1:2" x14ac:dyDescent="0.25">
      <c r="A785" s="21"/>
      <c r="B785" s="21"/>
    </row>
    <row r="786" spans="1:2" x14ac:dyDescent="0.25">
      <c r="A786" s="21"/>
      <c r="B786" s="21"/>
    </row>
    <row r="787" spans="1:2" x14ac:dyDescent="0.25">
      <c r="A787" s="21"/>
      <c r="B787" s="21"/>
    </row>
    <row r="788" spans="1:2" x14ac:dyDescent="0.25">
      <c r="A788" s="21"/>
      <c r="B788" s="21"/>
    </row>
    <row r="789" spans="1:2" x14ac:dyDescent="0.25">
      <c r="A789" s="21"/>
      <c r="B789" s="21"/>
    </row>
    <row r="790" spans="1:2" x14ac:dyDescent="0.25">
      <c r="A790" s="21"/>
      <c r="B790" s="21"/>
    </row>
    <row r="791" spans="1:2" x14ac:dyDescent="0.25">
      <c r="A791" s="21"/>
      <c r="B791" s="21"/>
    </row>
    <row r="792" spans="1:2" x14ac:dyDescent="0.25">
      <c r="A792" s="21"/>
      <c r="B792" s="21"/>
    </row>
    <row r="793" spans="1:2" x14ac:dyDescent="0.25">
      <c r="A793" s="21"/>
      <c r="B793" s="21"/>
    </row>
    <row r="794" spans="1:2" x14ac:dyDescent="0.25">
      <c r="A794" s="21"/>
      <c r="B794" s="21"/>
    </row>
    <row r="795" spans="1:2" x14ac:dyDescent="0.25">
      <c r="A795" s="21"/>
      <c r="B795" s="21"/>
    </row>
    <row r="796" spans="1:2" x14ac:dyDescent="0.25">
      <c r="A796" s="21"/>
      <c r="B796" s="21"/>
    </row>
    <row r="797" spans="1:2" x14ac:dyDescent="0.25">
      <c r="A797" s="21"/>
      <c r="B797" s="21"/>
    </row>
    <row r="798" spans="1:2" x14ac:dyDescent="0.25">
      <c r="A798" s="21"/>
      <c r="B798" s="21"/>
    </row>
    <row r="799" spans="1:2" x14ac:dyDescent="0.25">
      <c r="A799" s="21"/>
      <c r="B799" s="21"/>
    </row>
    <row r="800" spans="1:2" x14ac:dyDescent="0.25">
      <c r="A800" s="21"/>
      <c r="B800" s="21"/>
    </row>
    <row r="801" spans="1:2" x14ac:dyDescent="0.25">
      <c r="A801" s="21"/>
      <c r="B801" s="21"/>
    </row>
    <row r="802" spans="1:2" x14ac:dyDescent="0.25">
      <c r="A802" s="21"/>
      <c r="B802" s="21"/>
    </row>
    <row r="803" spans="1:2" x14ac:dyDescent="0.25">
      <c r="A803" s="21"/>
      <c r="B803" s="21"/>
    </row>
    <row r="804" spans="1:2" x14ac:dyDescent="0.25">
      <c r="A804" s="21"/>
      <c r="B804" s="21"/>
    </row>
    <row r="805" spans="1:2" x14ac:dyDescent="0.25">
      <c r="A805" s="21"/>
      <c r="B805" s="21"/>
    </row>
    <row r="806" spans="1:2" x14ac:dyDescent="0.25">
      <c r="A806" s="21"/>
      <c r="B806" s="21"/>
    </row>
    <row r="807" spans="1:2" x14ac:dyDescent="0.25">
      <c r="A807" s="21"/>
      <c r="B807" s="21"/>
    </row>
    <row r="808" spans="1:2" x14ac:dyDescent="0.25">
      <c r="A808" s="21"/>
      <c r="B808" s="21"/>
    </row>
    <row r="809" spans="1:2" x14ac:dyDescent="0.25">
      <c r="A809" s="21"/>
      <c r="B809" s="21"/>
    </row>
    <row r="810" spans="1:2" x14ac:dyDescent="0.25">
      <c r="A810" s="21"/>
      <c r="B810" s="21"/>
    </row>
    <row r="811" spans="1:2" x14ac:dyDescent="0.25">
      <c r="A811" s="21"/>
      <c r="B811" s="21"/>
    </row>
    <row r="812" spans="1:2" x14ac:dyDescent="0.25">
      <c r="A812" s="21"/>
      <c r="B812" s="21"/>
    </row>
    <row r="813" spans="1:2" x14ac:dyDescent="0.25">
      <c r="A813" s="21"/>
      <c r="B813" s="21"/>
    </row>
    <row r="814" spans="1:2" x14ac:dyDescent="0.25">
      <c r="A814" s="21"/>
      <c r="B814" s="21"/>
    </row>
    <row r="815" spans="1:2" x14ac:dyDescent="0.25">
      <c r="A815" s="21"/>
      <c r="B815" s="21"/>
    </row>
    <row r="816" spans="1:2" x14ac:dyDescent="0.25">
      <c r="A816" s="21"/>
      <c r="B816" s="21"/>
    </row>
    <row r="817" spans="1:2" x14ac:dyDescent="0.25">
      <c r="A817" s="21"/>
      <c r="B817" s="21"/>
    </row>
    <row r="818" spans="1:2" x14ac:dyDescent="0.25">
      <c r="A818" s="21"/>
      <c r="B818" s="21"/>
    </row>
    <row r="819" spans="1:2" x14ac:dyDescent="0.25">
      <c r="A819" s="21"/>
      <c r="B819" s="21"/>
    </row>
    <row r="820" spans="1:2" x14ac:dyDescent="0.25">
      <c r="A820" s="21"/>
      <c r="B820" s="21"/>
    </row>
    <row r="821" spans="1:2" x14ac:dyDescent="0.25">
      <c r="A821" s="21"/>
      <c r="B821" s="21"/>
    </row>
    <row r="822" spans="1:2" x14ac:dyDescent="0.25">
      <c r="A822" s="21"/>
      <c r="B822" s="21"/>
    </row>
    <row r="823" spans="1:2" x14ac:dyDescent="0.25">
      <c r="A823" s="21"/>
      <c r="B823" s="21"/>
    </row>
    <row r="824" spans="1:2" x14ac:dyDescent="0.25">
      <c r="A824" s="21"/>
      <c r="B824" s="21"/>
    </row>
    <row r="825" spans="1:2" x14ac:dyDescent="0.25">
      <c r="A825" s="21"/>
      <c r="B825" s="21"/>
    </row>
    <row r="826" spans="1:2" x14ac:dyDescent="0.25">
      <c r="A826" s="21"/>
      <c r="B826" s="21"/>
    </row>
    <row r="827" spans="1:2" x14ac:dyDescent="0.25">
      <c r="A827" s="21"/>
      <c r="B827" s="21"/>
    </row>
    <row r="828" spans="1:2" x14ac:dyDescent="0.25">
      <c r="A828" s="21"/>
      <c r="B828" s="21"/>
    </row>
    <row r="829" spans="1:2" x14ac:dyDescent="0.25">
      <c r="A829" s="21"/>
      <c r="B829" s="21"/>
    </row>
    <row r="830" spans="1:2" x14ac:dyDescent="0.25">
      <c r="A830" s="21"/>
      <c r="B830" s="21"/>
    </row>
    <row r="831" spans="1:2" x14ac:dyDescent="0.25">
      <c r="A831" s="21"/>
      <c r="B831" s="21"/>
    </row>
    <row r="832" spans="1:2" x14ac:dyDescent="0.25">
      <c r="A832" s="21"/>
      <c r="B832" s="21"/>
    </row>
    <row r="833" spans="1:2" x14ac:dyDescent="0.25">
      <c r="A833" s="21"/>
      <c r="B833" s="21"/>
    </row>
    <row r="834" spans="1:2" x14ac:dyDescent="0.25">
      <c r="A834" s="21"/>
      <c r="B834" s="21"/>
    </row>
    <row r="835" spans="1:2" x14ac:dyDescent="0.25">
      <c r="A835" s="21"/>
      <c r="B835" s="21"/>
    </row>
    <row r="836" spans="1:2" x14ac:dyDescent="0.25">
      <c r="A836" s="21"/>
      <c r="B836" s="21"/>
    </row>
    <row r="837" spans="1:2" x14ac:dyDescent="0.25">
      <c r="A837" s="21"/>
      <c r="B837" s="21"/>
    </row>
    <row r="838" spans="1:2" x14ac:dyDescent="0.25">
      <c r="A838" s="21"/>
      <c r="B838" s="21"/>
    </row>
    <row r="839" spans="1:2" x14ac:dyDescent="0.25">
      <c r="A839" s="21"/>
      <c r="B839" s="21"/>
    </row>
    <row r="840" spans="1:2" x14ac:dyDescent="0.25">
      <c r="A840" s="21"/>
      <c r="B840" s="21"/>
    </row>
    <row r="841" spans="1:2" x14ac:dyDescent="0.25">
      <c r="A841" s="21"/>
      <c r="B841" s="21"/>
    </row>
    <row r="842" spans="1:2" x14ac:dyDescent="0.25">
      <c r="A842" s="21"/>
      <c r="B842" s="21"/>
    </row>
    <row r="843" spans="1:2" x14ac:dyDescent="0.25">
      <c r="A843" s="21"/>
      <c r="B843" s="21"/>
    </row>
    <row r="844" spans="1:2" x14ac:dyDescent="0.25">
      <c r="A844" s="21"/>
      <c r="B844" s="21"/>
    </row>
    <row r="845" spans="1:2" x14ac:dyDescent="0.25">
      <c r="A845" s="21"/>
      <c r="B845" s="21"/>
    </row>
    <row r="846" spans="1:2" x14ac:dyDescent="0.25">
      <c r="A846" s="21"/>
      <c r="B846" s="21"/>
    </row>
    <row r="847" spans="1:2" x14ac:dyDescent="0.25">
      <c r="A847" s="21"/>
      <c r="B847" s="21"/>
    </row>
    <row r="848" spans="1:2" x14ac:dyDescent="0.25">
      <c r="A848" s="21"/>
      <c r="B848" s="21"/>
    </row>
    <row r="849" spans="1:2" x14ac:dyDescent="0.25">
      <c r="A849" s="21"/>
      <c r="B849" s="21"/>
    </row>
    <row r="850" spans="1:2" x14ac:dyDescent="0.25">
      <c r="A850" s="21"/>
      <c r="B850" s="21"/>
    </row>
    <row r="851" spans="1:2" x14ac:dyDescent="0.25">
      <c r="A851" s="21"/>
      <c r="B851" s="21"/>
    </row>
    <row r="852" spans="1:2" x14ac:dyDescent="0.25">
      <c r="A852" s="21"/>
      <c r="B852" s="21"/>
    </row>
    <row r="853" spans="1:2" x14ac:dyDescent="0.25">
      <c r="A853" s="21"/>
      <c r="B853" s="21"/>
    </row>
    <row r="854" spans="1:2" x14ac:dyDescent="0.25">
      <c r="A854" s="21"/>
      <c r="B854" s="21"/>
    </row>
    <row r="855" spans="1:2" x14ac:dyDescent="0.25">
      <c r="A855" s="21"/>
      <c r="B855" s="21"/>
    </row>
    <row r="856" spans="1:2" x14ac:dyDescent="0.25">
      <c r="A856" s="21"/>
      <c r="B856" s="21"/>
    </row>
    <row r="857" spans="1:2" x14ac:dyDescent="0.25">
      <c r="A857" s="21"/>
      <c r="B857" s="21"/>
    </row>
    <row r="858" spans="1:2" x14ac:dyDescent="0.25">
      <c r="A858" s="21"/>
      <c r="B858" s="21"/>
    </row>
    <row r="859" spans="1:2" x14ac:dyDescent="0.25">
      <c r="A859" s="21"/>
      <c r="B859" s="21"/>
    </row>
    <row r="860" spans="1:2" x14ac:dyDescent="0.25">
      <c r="A860" s="21"/>
      <c r="B860" s="21"/>
    </row>
    <row r="861" spans="1:2" x14ac:dyDescent="0.25">
      <c r="A861" s="21"/>
      <c r="B861" s="21"/>
    </row>
    <row r="862" spans="1:2" x14ac:dyDescent="0.25">
      <c r="A862" s="21"/>
      <c r="B862" s="21"/>
    </row>
    <row r="863" spans="1:2" x14ac:dyDescent="0.25">
      <c r="A863" s="21"/>
      <c r="B863" s="21"/>
    </row>
    <row r="864" spans="1:2" x14ac:dyDescent="0.25">
      <c r="A864" s="21"/>
      <c r="B864" s="21"/>
    </row>
    <row r="865" spans="1:2" x14ac:dyDescent="0.25">
      <c r="A865" s="21"/>
      <c r="B865" s="21"/>
    </row>
    <row r="866" spans="1:2" x14ac:dyDescent="0.25">
      <c r="A866" s="21"/>
      <c r="B866" s="21"/>
    </row>
    <row r="867" spans="1:2" x14ac:dyDescent="0.25">
      <c r="A867" s="21"/>
      <c r="B867" s="21"/>
    </row>
    <row r="868" spans="1:2" x14ac:dyDescent="0.25">
      <c r="A868" s="21"/>
      <c r="B868" s="21"/>
    </row>
    <row r="869" spans="1:2" x14ac:dyDescent="0.25">
      <c r="A869" s="21"/>
      <c r="B869" s="21"/>
    </row>
    <row r="870" spans="1:2" x14ac:dyDescent="0.25">
      <c r="A870" s="21"/>
      <c r="B870" s="21"/>
    </row>
    <row r="871" spans="1:2" x14ac:dyDescent="0.25">
      <c r="A871" s="21"/>
      <c r="B871" s="21"/>
    </row>
    <row r="872" spans="1:2" x14ac:dyDescent="0.25">
      <c r="A872" s="21"/>
      <c r="B872" s="21"/>
    </row>
    <row r="873" spans="1:2" x14ac:dyDescent="0.25">
      <c r="A873" s="21"/>
      <c r="B873" s="21"/>
    </row>
    <row r="874" spans="1:2" x14ac:dyDescent="0.25">
      <c r="A874" s="21"/>
      <c r="B874" s="21"/>
    </row>
    <row r="875" spans="1:2" x14ac:dyDescent="0.25">
      <c r="A875" s="21"/>
      <c r="B875" s="21"/>
    </row>
    <row r="876" spans="1:2" x14ac:dyDescent="0.25">
      <c r="A876" s="21"/>
      <c r="B876" s="21"/>
    </row>
    <row r="877" spans="1:2" x14ac:dyDescent="0.25">
      <c r="A877" s="21"/>
      <c r="B877" s="21"/>
    </row>
    <row r="878" spans="1:2" x14ac:dyDescent="0.25">
      <c r="A878" s="21"/>
      <c r="B878" s="21"/>
    </row>
    <row r="879" spans="1:2" x14ac:dyDescent="0.25">
      <c r="A879" s="21"/>
      <c r="B879" s="21"/>
    </row>
    <row r="880" spans="1:2" x14ac:dyDescent="0.25">
      <c r="A880" s="21"/>
      <c r="B880" s="21"/>
    </row>
    <row r="881" spans="1:2" x14ac:dyDescent="0.25">
      <c r="A881" s="21"/>
      <c r="B881" s="21"/>
    </row>
    <row r="882" spans="1:2" x14ac:dyDescent="0.25">
      <c r="A882" s="21"/>
      <c r="B882" s="21"/>
    </row>
    <row r="883" spans="1:2" x14ac:dyDescent="0.25">
      <c r="A883" s="21"/>
      <c r="B883" s="21"/>
    </row>
    <row r="884" spans="1:2" x14ac:dyDescent="0.25">
      <c r="A884" s="21"/>
      <c r="B884" s="21"/>
    </row>
    <row r="885" spans="1:2" x14ac:dyDescent="0.25">
      <c r="A885" s="21"/>
      <c r="B885" s="21"/>
    </row>
    <row r="886" spans="1:2" x14ac:dyDescent="0.25">
      <c r="A886" s="21"/>
      <c r="B886" s="21"/>
    </row>
    <row r="887" spans="1:2" x14ac:dyDescent="0.25">
      <c r="A887" s="21"/>
      <c r="B887" s="21"/>
    </row>
    <row r="888" spans="1:2" x14ac:dyDescent="0.25">
      <c r="A888" s="21"/>
      <c r="B888" s="21"/>
    </row>
    <row r="889" spans="1:2" x14ac:dyDescent="0.25">
      <c r="A889" s="21"/>
      <c r="B889" s="21"/>
    </row>
    <row r="890" spans="1:2" x14ac:dyDescent="0.25">
      <c r="A890" s="21"/>
      <c r="B890" s="21"/>
    </row>
    <row r="891" spans="1:2" x14ac:dyDescent="0.25">
      <c r="A891" s="21"/>
      <c r="B891" s="21"/>
    </row>
    <row r="892" spans="1:2" x14ac:dyDescent="0.25">
      <c r="A892" s="21"/>
      <c r="B892" s="21"/>
    </row>
    <row r="893" spans="1:2" x14ac:dyDescent="0.25">
      <c r="A893" s="21"/>
      <c r="B893" s="21"/>
    </row>
    <row r="894" spans="1:2" x14ac:dyDescent="0.25">
      <c r="A894" s="21"/>
      <c r="B894" s="21"/>
    </row>
    <row r="895" spans="1:2" x14ac:dyDescent="0.25">
      <c r="A895" s="21"/>
      <c r="B895" s="21"/>
    </row>
    <row r="896" spans="1:2" x14ac:dyDescent="0.25">
      <c r="A896" s="21"/>
      <c r="B896" s="21"/>
    </row>
    <row r="897" spans="1:2" x14ac:dyDescent="0.25">
      <c r="A897" s="21"/>
      <c r="B897" s="21"/>
    </row>
    <row r="898" spans="1:2" x14ac:dyDescent="0.25">
      <c r="A898" s="21"/>
      <c r="B898" s="21"/>
    </row>
    <row r="899" spans="1:2" x14ac:dyDescent="0.25">
      <c r="A899" s="21"/>
      <c r="B899" s="21"/>
    </row>
    <row r="900" spans="1:2" x14ac:dyDescent="0.25">
      <c r="A900" s="21"/>
      <c r="B900" s="21"/>
    </row>
    <row r="901" spans="1:2" x14ac:dyDescent="0.25">
      <c r="A901" s="21"/>
      <c r="B901" s="21"/>
    </row>
    <row r="902" spans="1:2" x14ac:dyDescent="0.25">
      <c r="A902" s="21"/>
      <c r="B902" s="21"/>
    </row>
    <row r="903" spans="1:2" x14ac:dyDescent="0.25">
      <c r="A903" s="21"/>
      <c r="B903" s="21"/>
    </row>
    <row r="904" spans="1:2" x14ac:dyDescent="0.25">
      <c r="A904" s="21"/>
      <c r="B904" s="21"/>
    </row>
    <row r="905" spans="1:2" x14ac:dyDescent="0.25">
      <c r="A905" s="21"/>
      <c r="B905" s="21"/>
    </row>
    <row r="906" spans="1:2" x14ac:dyDescent="0.25">
      <c r="A906" s="21"/>
      <c r="B906" s="21"/>
    </row>
    <row r="907" spans="1:2" x14ac:dyDescent="0.25">
      <c r="A907" s="21"/>
      <c r="B907" s="21"/>
    </row>
    <row r="908" spans="1:2" x14ac:dyDescent="0.25">
      <c r="A908" s="21"/>
      <c r="B908" s="21"/>
    </row>
    <row r="909" spans="1:2" x14ac:dyDescent="0.25">
      <c r="A909" s="21"/>
      <c r="B909" s="21"/>
    </row>
    <row r="910" spans="1:2" x14ac:dyDescent="0.25">
      <c r="A910" s="21"/>
      <c r="B910" s="21"/>
    </row>
    <row r="911" spans="1:2" x14ac:dyDescent="0.25">
      <c r="A911" s="21"/>
      <c r="B911" s="21"/>
    </row>
    <row r="912" spans="1:2" x14ac:dyDescent="0.25">
      <c r="A912" s="21"/>
      <c r="B912" s="21"/>
    </row>
    <row r="913" spans="1:2" x14ac:dyDescent="0.25">
      <c r="A913" s="21"/>
      <c r="B913" s="21"/>
    </row>
    <row r="914" spans="1:2" x14ac:dyDescent="0.25">
      <c r="A914" s="21"/>
      <c r="B914" s="21"/>
    </row>
    <row r="915" spans="1:2" x14ac:dyDescent="0.25">
      <c r="A915" s="21"/>
      <c r="B915" s="21"/>
    </row>
    <row r="916" spans="1:2" x14ac:dyDescent="0.25">
      <c r="A916" s="21"/>
      <c r="B916" s="21"/>
    </row>
    <row r="917" spans="1:2" x14ac:dyDescent="0.25">
      <c r="A917" s="21"/>
      <c r="B917" s="21"/>
    </row>
    <row r="918" spans="1:2" x14ac:dyDescent="0.25">
      <c r="A918" s="21"/>
      <c r="B918" s="21"/>
    </row>
    <row r="919" spans="1:2" x14ac:dyDescent="0.25">
      <c r="A919" s="21"/>
      <c r="B919" s="21"/>
    </row>
    <row r="920" spans="1:2" x14ac:dyDescent="0.25">
      <c r="A920" s="21"/>
      <c r="B920" s="21"/>
    </row>
    <row r="921" spans="1:2" x14ac:dyDescent="0.25">
      <c r="A921" s="21"/>
      <c r="B921" s="21"/>
    </row>
    <row r="922" spans="1:2" x14ac:dyDescent="0.25">
      <c r="A922" s="21"/>
      <c r="B922" s="21"/>
    </row>
    <row r="923" spans="1:2" x14ac:dyDescent="0.25">
      <c r="A923" s="21"/>
      <c r="B923" s="21"/>
    </row>
    <row r="924" spans="1:2" x14ac:dyDescent="0.25">
      <c r="A924" s="21"/>
      <c r="B924" s="21"/>
    </row>
    <row r="925" spans="1:2" x14ac:dyDescent="0.25">
      <c r="A925" s="21"/>
      <c r="B925" s="21"/>
    </row>
    <row r="926" spans="1:2" x14ac:dyDescent="0.25">
      <c r="A926" s="21"/>
      <c r="B926" s="21"/>
    </row>
    <row r="927" spans="1:2" x14ac:dyDescent="0.25">
      <c r="A927" s="21"/>
      <c r="B927" s="21"/>
    </row>
    <row r="928" spans="1:2" x14ac:dyDescent="0.25">
      <c r="A928" s="21"/>
      <c r="B928" s="21"/>
    </row>
    <row r="929" spans="1:2" x14ac:dyDescent="0.25">
      <c r="A929" s="21"/>
      <c r="B929" s="21"/>
    </row>
    <row r="930" spans="1:2" x14ac:dyDescent="0.25">
      <c r="A930" s="21"/>
      <c r="B930" s="21"/>
    </row>
    <row r="931" spans="1:2" x14ac:dyDescent="0.25">
      <c r="A931" s="21"/>
      <c r="B931" s="21"/>
    </row>
    <row r="932" spans="1:2" x14ac:dyDescent="0.25">
      <c r="A932" s="21"/>
      <c r="B932" s="21"/>
    </row>
    <row r="933" spans="1:2" x14ac:dyDescent="0.25">
      <c r="A933" s="21"/>
      <c r="B933" s="21"/>
    </row>
    <row r="934" spans="1:2" x14ac:dyDescent="0.25">
      <c r="A934" s="21"/>
      <c r="B934" s="21"/>
    </row>
    <row r="935" spans="1:2" x14ac:dyDescent="0.25">
      <c r="A935" s="21"/>
      <c r="B935" s="21"/>
    </row>
    <row r="936" spans="1:2" x14ac:dyDescent="0.25">
      <c r="A936" s="21"/>
      <c r="B936" s="21"/>
    </row>
    <row r="937" spans="1:2" x14ac:dyDescent="0.25">
      <c r="A937" s="21"/>
      <c r="B937" s="21"/>
    </row>
    <row r="938" spans="1:2" x14ac:dyDescent="0.25">
      <c r="A938" s="21"/>
      <c r="B938" s="21"/>
    </row>
    <row r="939" spans="1:2" x14ac:dyDescent="0.25">
      <c r="A939" s="21"/>
      <c r="B939" s="21"/>
    </row>
    <row r="940" spans="1:2" x14ac:dyDescent="0.25">
      <c r="A940" s="21"/>
      <c r="B940" s="21"/>
    </row>
    <row r="941" spans="1:2" x14ac:dyDescent="0.25">
      <c r="A941" s="21"/>
      <c r="B941" s="21"/>
    </row>
    <row r="942" spans="1:2" x14ac:dyDescent="0.25">
      <c r="A942" s="21"/>
      <c r="B942" s="21"/>
    </row>
    <row r="943" spans="1:2" x14ac:dyDescent="0.25">
      <c r="A943" s="21"/>
      <c r="B943" s="21"/>
    </row>
    <row r="944" spans="1:2" x14ac:dyDescent="0.25">
      <c r="A944" s="21"/>
      <c r="B944" s="21"/>
    </row>
    <row r="945" spans="1:2" x14ac:dyDescent="0.25">
      <c r="A945" s="21"/>
      <c r="B945" s="21"/>
    </row>
    <row r="946" spans="1:2" x14ac:dyDescent="0.25">
      <c r="A946" s="21"/>
      <c r="B946" s="21"/>
    </row>
    <row r="947" spans="1:2" x14ac:dyDescent="0.25">
      <c r="A947" s="21"/>
      <c r="B947" s="21"/>
    </row>
    <row r="948" spans="1:2" x14ac:dyDescent="0.25">
      <c r="A948" s="21"/>
      <c r="B948" s="21"/>
    </row>
    <row r="949" spans="1:2" x14ac:dyDescent="0.25">
      <c r="A949" s="21"/>
      <c r="B949" s="21"/>
    </row>
    <row r="950" spans="1:2" x14ac:dyDescent="0.25">
      <c r="A950" s="21"/>
      <c r="B950" s="21"/>
    </row>
    <row r="951" spans="1:2" x14ac:dyDescent="0.25">
      <c r="A951" s="21"/>
      <c r="B951" s="21"/>
    </row>
    <row r="952" spans="1:2" x14ac:dyDescent="0.25">
      <c r="A952" s="21"/>
      <c r="B952" s="21"/>
    </row>
    <row r="953" spans="1:2" x14ac:dyDescent="0.25">
      <c r="A953" s="21"/>
      <c r="B953" s="21"/>
    </row>
    <row r="954" spans="1:2" x14ac:dyDescent="0.25">
      <c r="A954" s="21"/>
      <c r="B954" s="21"/>
    </row>
    <row r="955" spans="1:2" x14ac:dyDescent="0.25">
      <c r="A955" s="21"/>
      <c r="B955" s="21"/>
    </row>
    <row r="956" spans="1:2" x14ac:dyDescent="0.25">
      <c r="A956" s="21"/>
      <c r="B956" s="21"/>
    </row>
    <row r="957" spans="1:2" x14ac:dyDescent="0.25">
      <c r="A957" s="21"/>
      <c r="B957" s="21"/>
    </row>
    <row r="958" spans="1:2" x14ac:dyDescent="0.25">
      <c r="A958" s="21"/>
      <c r="B958" s="21"/>
    </row>
    <row r="959" spans="1:2" x14ac:dyDescent="0.25">
      <c r="A959" s="21"/>
      <c r="B959" s="21"/>
    </row>
    <row r="960" spans="1:2" x14ac:dyDescent="0.25">
      <c r="A960" s="21"/>
      <c r="B960" s="21"/>
    </row>
    <row r="961" spans="1:2" x14ac:dyDescent="0.25">
      <c r="A961" s="21"/>
      <c r="B961" s="21"/>
    </row>
    <row r="962" spans="1:2" x14ac:dyDescent="0.25">
      <c r="A962" s="21"/>
      <c r="B962" s="21"/>
    </row>
    <row r="963" spans="1:2" x14ac:dyDescent="0.25">
      <c r="A963" s="21"/>
      <c r="B963" s="21"/>
    </row>
    <row r="964" spans="1:2" x14ac:dyDescent="0.25">
      <c r="A964" s="21"/>
      <c r="B964" s="21"/>
    </row>
    <row r="965" spans="1:2" x14ac:dyDescent="0.25">
      <c r="A965" s="21"/>
      <c r="B965" s="21"/>
    </row>
    <row r="966" spans="1:2" x14ac:dyDescent="0.25">
      <c r="A966" s="21"/>
      <c r="B966" s="21"/>
    </row>
    <row r="967" spans="1:2" x14ac:dyDescent="0.25">
      <c r="A967" s="21"/>
      <c r="B967" s="21"/>
    </row>
    <row r="968" spans="1:2" x14ac:dyDescent="0.25">
      <c r="A968" s="21"/>
      <c r="B968" s="21"/>
    </row>
    <row r="969" spans="1:2" x14ac:dyDescent="0.25">
      <c r="A969" s="21"/>
      <c r="B969" s="21"/>
    </row>
    <row r="970" spans="1:2" x14ac:dyDescent="0.25">
      <c r="A970" s="21"/>
      <c r="B970" s="21"/>
    </row>
    <row r="971" spans="1:2" x14ac:dyDescent="0.25">
      <c r="A971" s="21"/>
      <c r="B971" s="21"/>
    </row>
    <row r="972" spans="1:2" x14ac:dyDescent="0.25">
      <c r="A972" s="21"/>
      <c r="B972" s="21"/>
    </row>
    <row r="973" spans="1:2" x14ac:dyDescent="0.25">
      <c r="A973" s="21"/>
      <c r="B973" s="21"/>
    </row>
    <row r="974" spans="1:2" x14ac:dyDescent="0.25">
      <c r="A974" s="21"/>
      <c r="B974" s="21"/>
    </row>
    <row r="975" spans="1:2" x14ac:dyDescent="0.25">
      <c r="A975" s="21"/>
      <c r="B975" s="21"/>
    </row>
    <row r="976" spans="1:2" x14ac:dyDescent="0.25">
      <c r="A976" s="21"/>
      <c r="B976" s="21"/>
    </row>
    <row r="977" spans="1:2" x14ac:dyDescent="0.25">
      <c r="A977" s="21"/>
      <c r="B977" s="21"/>
    </row>
    <row r="978" spans="1:2" x14ac:dyDescent="0.25">
      <c r="A978" s="21"/>
      <c r="B978" s="21"/>
    </row>
    <row r="979" spans="1:2" x14ac:dyDescent="0.25">
      <c r="A979" s="21"/>
      <c r="B979" s="21"/>
    </row>
    <row r="980" spans="1:2" x14ac:dyDescent="0.25">
      <c r="A980" s="21"/>
      <c r="B980" s="21"/>
    </row>
    <row r="981" spans="1:2" x14ac:dyDescent="0.25">
      <c r="A981" s="21"/>
      <c r="B981" s="21"/>
    </row>
    <row r="982" spans="1:2" x14ac:dyDescent="0.25">
      <c r="A982" s="21"/>
      <c r="B982" s="21"/>
    </row>
    <row r="983" spans="1:2" x14ac:dyDescent="0.25">
      <c r="A983" s="21"/>
      <c r="B983" s="21"/>
    </row>
    <row r="984" spans="1:2" x14ac:dyDescent="0.25">
      <c r="A984" s="21"/>
      <c r="B984" s="21"/>
    </row>
    <row r="985" spans="1:2" x14ac:dyDescent="0.25">
      <c r="A985" s="21"/>
      <c r="B985" s="21"/>
    </row>
    <row r="986" spans="1:2" x14ac:dyDescent="0.25">
      <c r="A986" s="21"/>
      <c r="B986" s="21"/>
    </row>
    <row r="987" spans="1:2" x14ac:dyDescent="0.25">
      <c r="A987" s="21"/>
      <c r="B987" s="21"/>
    </row>
    <row r="988" spans="1:2" x14ac:dyDescent="0.25">
      <c r="A988" s="21"/>
      <c r="B988" s="21"/>
    </row>
    <row r="989" spans="1:2" x14ac:dyDescent="0.25">
      <c r="A989" s="21"/>
      <c r="B989" s="21"/>
    </row>
    <row r="990" spans="1:2" x14ac:dyDescent="0.25">
      <c r="A990" s="21"/>
      <c r="B990" s="21"/>
    </row>
    <row r="991" spans="1:2" x14ac:dyDescent="0.25">
      <c r="A991" s="21"/>
      <c r="B991" s="21"/>
    </row>
    <row r="992" spans="1:2" x14ac:dyDescent="0.25">
      <c r="A992" s="21"/>
      <c r="B992" s="21"/>
    </row>
    <row r="993" spans="1:2" x14ac:dyDescent="0.25">
      <c r="A993" s="21"/>
      <c r="B993" s="21"/>
    </row>
    <row r="994" spans="1:2" x14ac:dyDescent="0.25">
      <c r="A994" s="21"/>
      <c r="B994" s="21"/>
    </row>
    <row r="995" spans="1:2" x14ac:dyDescent="0.25">
      <c r="A995" s="21"/>
      <c r="B995" s="21"/>
    </row>
    <row r="996" spans="1:2" x14ac:dyDescent="0.25">
      <c r="A996" s="21"/>
      <c r="B996" s="21"/>
    </row>
    <row r="997" spans="1:2" x14ac:dyDescent="0.25">
      <c r="A997" s="21"/>
      <c r="B997" s="21"/>
    </row>
    <row r="998" spans="1:2" x14ac:dyDescent="0.25">
      <c r="A998" s="21"/>
      <c r="B998" s="21"/>
    </row>
    <row r="999" spans="1:2" x14ac:dyDescent="0.25">
      <c r="A999" s="21"/>
      <c r="B999" s="21"/>
    </row>
    <row r="1000" spans="1:2" x14ac:dyDescent="0.25">
      <c r="A1000" s="21"/>
      <c r="B1000" s="21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showGridLines="0" workbookViewId="0">
      <selection activeCell="J7" sqref="J7"/>
    </sheetView>
  </sheetViews>
  <sheetFormatPr defaultColWidth="14.42578125" defaultRowHeight="15" customHeight="1" x14ac:dyDescent="0.25"/>
  <cols>
    <col min="1" max="1" width="13.85546875" customWidth="1"/>
    <col min="2" max="2" width="15.140625" customWidth="1"/>
    <col min="3" max="3" width="15.28515625" customWidth="1"/>
    <col min="4" max="4" width="15.85546875" customWidth="1"/>
    <col min="5" max="5" width="16.42578125" customWidth="1"/>
    <col min="6" max="6" width="13.85546875" customWidth="1"/>
    <col min="7" max="8" width="5" customWidth="1"/>
    <col min="9" max="15" width="8.7109375" customWidth="1"/>
    <col min="16" max="16" width="11.5703125" customWidth="1"/>
    <col min="17" max="17" width="8.7109375" customWidth="1"/>
    <col min="18" max="19" width="15.42578125" customWidth="1"/>
    <col min="20" max="26" width="8.7109375" customWidth="1"/>
  </cols>
  <sheetData>
    <row r="1" spans="1:20" ht="18.75" x14ac:dyDescent="0.25">
      <c r="A1" s="1" t="s">
        <v>5</v>
      </c>
      <c r="B1" s="1" t="s">
        <v>7</v>
      </c>
      <c r="C1" s="1" t="s">
        <v>202</v>
      </c>
      <c r="D1" s="1" t="s">
        <v>203</v>
      </c>
      <c r="E1" s="1" t="s">
        <v>204</v>
      </c>
      <c r="F1" s="22" t="s">
        <v>205</v>
      </c>
      <c r="P1" s="1" t="s">
        <v>187</v>
      </c>
      <c r="R1" s="1" t="s">
        <v>206</v>
      </c>
      <c r="S1" s="1" t="s">
        <v>207</v>
      </c>
    </row>
    <row r="2" spans="1:20" x14ac:dyDescent="0.25">
      <c r="A2" s="8" t="s">
        <v>18</v>
      </c>
      <c r="B2" s="23">
        <v>80359466</v>
      </c>
      <c r="C2" s="7">
        <f>B2*$C$15</f>
        <v>40179733</v>
      </c>
      <c r="D2" s="137">
        <f>B2*$D$15</f>
        <v>24107839.800000001</v>
      </c>
      <c r="E2" s="137">
        <f>B2*$D$15</f>
        <v>24107839.800000001</v>
      </c>
      <c r="F2" s="148">
        <f>B2*0.5</f>
        <v>40179733</v>
      </c>
      <c r="P2" s="24">
        <v>44197</v>
      </c>
      <c r="R2" s="25" t="str">
        <f>TEXT(P2,"yyyy/mm/dd")</f>
        <v>2021/01/01</v>
      </c>
      <c r="S2" s="25" t="str">
        <f>TEXT(R2,"dd/mm/yyyy")</f>
        <v>01/01/2021</v>
      </c>
      <c r="T2" s="9"/>
    </row>
    <row r="3" spans="1:20" x14ac:dyDescent="0.25">
      <c r="A3" s="8" t="s">
        <v>23</v>
      </c>
      <c r="B3" s="23">
        <v>11323861</v>
      </c>
      <c r="C3" s="7">
        <f t="shared" ref="C3:C6" si="0">B3*$C$15</f>
        <v>5661930.5</v>
      </c>
      <c r="D3" s="137">
        <f t="shared" ref="D3:D6" si="1">B3*$D$15</f>
        <v>3397158.3</v>
      </c>
      <c r="E3" s="137">
        <f t="shared" ref="E3:E6" si="2">B3*$D$15</f>
        <v>3397158.3</v>
      </c>
      <c r="F3" s="8">
        <f t="shared" ref="F3:F6" si="3">B3*0.5</f>
        <v>5661930.5</v>
      </c>
      <c r="P3" s="24">
        <v>44198</v>
      </c>
      <c r="R3" s="25" t="str">
        <f t="shared" ref="R3:R21" si="4">TEXT(P3,"yyyy/mm/dd")</f>
        <v>2021/01/02</v>
      </c>
      <c r="S3" s="25" t="str">
        <f t="shared" ref="S3:S21" si="5">TEXT(R3,"dd/mm/yyyy")</f>
        <v>02/01/2021</v>
      </c>
      <c r="T3" s="9"/>
    </row>
    <row r="4" spans="1:20" x14ac:dyDescent="0.25">
      <c r="A4" s="8" t="s">
        <v>40</v>
      </c>
      <c r="B4" s="23">
        <v>96980834</v>
      </c>
      <c r="C4" s="7">
        <f t="shared" si="0"/>
        <v>48490417</v>
      </c>
      <c r="D4" s="137">
        <f t="shared" si="1"/>
        <v>29094250.199999999</v>
      </c>
      <c r="E4" s="137">
        <f t="shared" si="2"/>
        <v>29094250.199999999</v>
      </c>
      <c r="F4" s="8">
        <f t="shared" si="3"/>
        <v>48490417</v>
      </c>
      <c r="P4" s="24">
        <v>44199</v>
      </c>
      <c r="R4" s="25" t="str">
        <f t="shared" si="4"/>
        <v>2021/01/03</v>
      </c>
      <c r="S4" s="25" t="str">
        <f t="shared" si="5"/>
        <v>03/01/2021</v>
      </c>
      <c r="T4" s="9"/>
    </row>
    <row r="5" spans="1:20" x14ac:dyDescent="0.25">
      <c r="A5" s="8" t="s">
        <v>15</v>
      </c>
      <c r="B5" s="23">
        <v>96849340</v>
      </c>
      <c r="C5" s="7">
        <f t="shared" si="0"/>
        <v>48424670</v>
      </c>
      <c r="D5" s="137">
        <f t="shared" si="1"/>
        <v>29054802</v>
      </c>
      <c r="E5" s="137">
        <f t="shared" si="2"/>
        <v>29054802</v>
      </c>
      <c r="F5" s="8">
        <f t="shared" si="3"/>
        <v>48424670</v>
      </c>
      <c r="P5" s="24">
        <v>44200</v>
      </c>
      <c r="R5" s="25" t="str">
        <f t="shared" si="4"/>
        <v>2021/01/04</v>
      </c>
      <c r="S5" s="25" t="str">
        <f t="shared" si="5"/>
        <v>04/01/2021</v>
      </c>
      <c r="T5" s="9"/>
    </row>
    <row r="6" spans="1:20" x14ac:dyDescent="0.25">
      <c r="A6" s="8" t="s">
        <v>79</v>
      </c>
      <c r="B6" s="23">
        <v>15274231</v>
      </c>
      <c r="C6" s="7">
        <f t="shared" si="0"/>
        <v>7637115.5</v>
      </c>
      <c r="D6" s="137">
        <f t="shared" si="1"/>
        <v>4582269.3</v>
      </c>
      <c r="E6" s="137">
        <f t="shared" si="2"/>
        <v>4582269.3</v>
      </c>
      <c r="F6" s="8">
        <f t="shared" si="3"/>
        <v>7637115.5</v>
      </c>
      <c r="J6" s="9"/>
      <c r="K6" s="9"/>
      <c r="L6" s="9"/>
      <c r="N6" s="9"/>
      <c r="P6" s="24">
        <v>44201</v>
      </c>
      <c r="R6" s="25" t="str">
        <f t="shared" si="4"/>
        <v>2021/01/05</v>
      </c>
      <c r="S6" s="25" t="str">
        <f t="shared" si="5"/>
        <v>05/01/2021</v>
      </c>
      <c r="T6" s="9"/>
    </row>
    <row r="7" spans="1:20" x14ac:dyDescent="0.25">
      <c r="D7" s="9"/>
      <c r="J7" s="9"/>
      <c r="K7" s="9"/>
      <c r="L7" s="9"/>
      <c r="M7" s="9"/>
      <c r="N7" s="9"/>
      <c r="O7" s="9"/>
      <c r="P7" s="24">
        <v>44202</v>
      </c>
      <c r="R7" s="25" t="str">
        <f t="shared" si="4"/>
        <v>2021/01/06</v>
      </c>
      <c r="S7" s="25" t="str">
        <f t="shared" si="5"/>
        <v>06/01/2021</v>
      </c>
      <c r="T7" s="9"/>
    </row>
    <row r="8" spans="1:20" x14ac:dyDescent="0.25">
      <c r="D8" s="9"/>
      <c r="J8" s="9"/>
      <c r="K8" s="9"/>
      <c r="L8" s="9"/>
      <c r="M8" s="9"/>
      <c r="N8" s="9"/>
      <c r="P8" s="24">
        <v>44203</v>
      </c>
      <c r="R8" s="25" t="str">
        <f t="shared" si="4"/>
        <v>2021/01/07</v>
      </c>
      <c r="S8" s="25" t="str">
        <f t="shared" si="5"/>
        <v>07/01/2021</v>
      </c>
      <c r="T8" s="9"/>
    </row>
    <row r="9" spans="1:20" x14ac:dyDescent="0.25">
      <c r="D9" s="9"/>
      <c r="J9" s="9"/>
      <c r="K9" s="9"/>
      <c r="L9" s="9"/>
      <c r="M9" s="9"/>
      <c r="N9" s="9"/>
      <c r="P9" s="24">
        <v>44204</v>
      </c>
      <c r="R9" s="25" t="str">
        <f t="shared" si="4"/>
        <v>2021/01/08</v>
      </c>
      <c r="S9" s="25" t="str">
        <f t="shared" si="5"/>
        <v>08/01/2021</v>
      </c>
      <c r="T9" s="9"/>
    </row>
    <row r="10" spans="1:20" x14ac:dyDescent="0.25">
      <c r="D10" s="9"/>
      <c r="J10" s="9"/>
      <c r="K10" s="9"/>
      <c r="L10" s="9"/>
      <c r="M10" s="9"/>
      <c r="N10" s="9"/>
      <c r="P10" s="24">
        <v>44205</v>
      </c>
      <c r="R10" s="25" t="str">
        <f t="shared" si="4"/>
        <v>2021/01/09</v>
      </c>
      <c r="S10" s="25" t="str">
        <f t="shared" si="5"/>
        <v>09/01/2021</v>
      </c>
      <c r="T10" s="9"/>
    </row>
    <row r="11" spans="1:20" x14ac:dyDescent="0.25">
      <c r="I11" s="140" t="s">
        <v>1002</v>
      </c>
      <c r="J11" s="140" t="s">
        <v>1003</v>
      </c>
      <c r="K11" s="140" t="s">
        <v>1004</v>
      </c>
      <c r="P11" s="24">
        <v>44206</v>
      </c>
      <c r="R11" s="25" t="str">
        <f t="shared" si="4"/>
        <v>2021/01/10</v>
      </c>
      <c r="S11" s="25" t="str">
        <f t="shared" si="5"/>
        <v>10/01/2021</v>
      </c>
      <c r="T11" s="9"/>
    </row>
    <row r="12" spans="1:20" x14ac:dyDescent="0.25">
      <c r="F12" s="9"/>
      <c r="G12" s="9"/>
      <c r="I12" s="141">
        <v>20</v>
      </c>
      <c r="J12" s="142">
        <v>2</v>
      </c>
      <c r="K12" s="142">
        <v>22</v>
      </c>
      <c r="P12" s="24">
        <v>44207</v>
      </c>
      <c r="R12" s="25" t="str">
        <f t="shared" si="4"/>
        <v>2021/01/11</v>
      </c>
      <c r="S12" s="25" t="str">
        <f t="shared" si="5"/>
        <v>11/01/2021</v>
      </c>
      <c r="T12" s="9"/>
    </row>
    <row r="13" spans="1:20" x14ac:dyDescent="0.25">
      <c r="F13" s="9"/>
      <c r="G13" s="9"/>
      <c r="I13" s="141">
        <v>10</v>
      </c>
      <c r="J13" s="142">
        <v>3</v>
      </c>
      <c r="K13" s="142">
        <v>13</v>
      </c>
      <c r="P13" s="24">
        <v>44208</v>
      </c>
      <c r="R13" s="25" t="str">
        <f t="shared" si="4"/>
        <v>2021/01/12</v>
      </c>
      <c r="S13" s="25" t="str">
        <f t="shared" si="5"/>
        <v>12/01/2021</v>
      </c>
      <c r="T13" s="9"/>
    </row>
    <row r="14" spans="1:20" ht="18.75" x14ac:dyDescent="0.25">
      <c r="A14" s="21" t="s">
        <v>208</v>
      </c>
      <c r="B14" s="26" t="s">
        <v>209</v>
      </c>
      <c r="C14" s="26" t="s">
        <v>210</v>
      </c>
      <c r="D14" s="26" t="s">
        <v>211</v>
      </c>
      <c r="F14" s="9"/>
      <c r="G14" s="9"/>
      <c r="I14" s="141">
        <v>30</v>
      </c>
      <c r="J14" s="142">
        <v>4</v>
      </c>
      <c r="K14" s="142">
        <v>34</v>
      </c>
      <c r="P14" s="24">
        <v>44209</v>
      </c>
      <c r="R14" s="25" t="str">
        <f t="shared" si="4"/>
        <v>2021/01/13</v>
      </c>
      <c r="S14" s="25" t="str">
        <f t="shared" si="5"/>
        <v>13/01/2021</v>
      </c>
      <c r="T14" s="9"/>
    </row>
    <row r="15" spans="1:20" x14ac:dyDescent="0.25">
      <c r="A15" s="8" t="s">
        <v>212</v>
      </c>
      <c r="B15" s="27">
        <v>0.4</v>
      </c>
      <c r="C15" s="27">
        <v>0.5</v>
      </c>
      <c r="D15" s="27">
        <v>0.3</v>
      </c>
      <c r="F15" s="9"/>
      <c r="G15" s="9"/>
      <c r="I15" s="141">
        <v>40</v>
      </c>
      <c r="J15" s="142">
        <v>5</v>
      </c>
      <c r="K15" s="142">
        <v>45</v>
      </c>
      <c r="P15" s="24">
        <v>44210</v>
      </c>
      <c r="R15" s="25" t="str">
        <f t="shared" si="4"/>
        <v>2021/01/14</v>
      </c>
      <c r="S15" s="25" t="str">
        <f t="shared" si="5"/>
        <v>14/01/2021</v>
      </c>
      <c r="T15" s="9"/>
    </row>
    <row r="16" spans="1:20" x14ac:dyDescent="0.25">
      <c r="I16" s="141">
        <v>100</v>
      </c>
      <c r="J16" s="142">
        <v>14</v>
      </c>
      <c r="K16" s="142">
        <v>114</v>
      </c>
      <c r="P16" s="24">
        <v>44211</v>
      </c>
      <c r="R16" s="25" t="str">
        <f t="shared" si="4"/>
        <v>2021/01/15</v>
      </c>
      <c r="S16" s="25" t="str">
        <f t="shared" si="5"/>
        <v>15/01/2021</v>
      </c>
      <c r="T16" s="9"/>
    </row>
    <row r="17" spans="1:26" x14ac:dyDescent="0.25">
      <c r="P17" s="24">
        <v>44212</v>
      </c>
      <c r="R17" s="25" t="str">
        <f t="shared" si="4"/>
        <v>2021/01/16</v>
      </c>
      <c r="S17" s="25" t="str">
        <f t="shared" si="5"/>
        <v>16/01/2021</v>
      </c>
      <c r="T17" s="9"/>
    </row>
    <row r="18" spans="1:26" x14ac:dyDescent="0.25">
      <c r="P18" s="24">
        <v>44213</v>
      </c>
      <c r="R18" s="25" t="str">
        <f t="shared" si="4"/>
        <v>2021/01/17</v>
      </c>
      <c r="S18" s="25" t="str">
        <f t="shared" si="5"/>
        <v>17/01/2021</v>
      </c>
      <c r="T18" s="9"/>
    </row>
    <row r="19" spans="1:26" x14ac:dyDescent="0.25">
      <c r="P19" s="24">
        <v>44214</v>
      </c>
      <c r="R19" s="25" t="str">
        <f t="shared" si="4"/>
        <v>2021/01/18</v>
      </c>
      <c r="S19" s="25" t="str">
        <f t="shared" si="5"/>
        <v>18/01/2021</v>
      </c>
      <c r="T19" s="9"/>
    </row>
    <row r="20" spans="1:26" ht="23.25" x14ac:dyDescent="0.35">
      <c r="A20" s="28"/>
      <c r="G20" s="9"/>
      <c r="H20" s="9"/>
      <c r="P20" s="24">
        <v>44215</v>
      </c>
      <c r="R20" s="25" t="str">
        <f t="shared" si="4"/>
        <v>2021/01/19</v>
      </c>
      <c r="S20" s="25" t="str">
        <f t="shared" si="5"/>
        <v>19/01/2021</v>
      </c>
      <c r="T20" s="9"/>
    </row>
    <row r="21" spans="1:26" ht="15.75" customHeight="1" x14ac:dyDescent="0.3">
      <c r="A21" s="29"/>
      <c r="G21" s="9"/>
      <c r="H21" s="9"/>
      <c r="P21" s="24">
        <v>44216</v>
      </c>
      <c r="R21" s="25" t="str">
        <f t="shared" si="4"/>
        <v>2021/01/20</v>
      </c>
      <c r="S21" s="25" t="str">
        <f t="shared" si="5"/>
        <v>20/01/2021</v>
      </c>
      <c r="T21" s="9"/>
    </row>
    <row r="22" spans="1:26" ht="15.75" customHeight="1" x14ac:dyDescent="0.3">
      <c r="A22" s="30" t="s">
        <v>213</v>
      </c>
      <c r="B22" s="31"/>
      <c r="C22" s="31"/>
      <c r="D22" s="31"/>
      <c r="E22" s="31"/>
      <c r="F22" s="31"/>
      <c r="G22" s="32"/>
      <c r="H22" s="32"/>
      <c r="I22" s="32"/>
      <c r="J22" s="31"/>
      <c r="K22" s="31"/>
      <c r="L22" s="31"/>
      <c r="M22" s="31"/>
      <c r="N22" s="31"/>
      <c r="O22" s="31"/>
      <c r="P22" s="33">
        <v>44217</v>
      </c>
      <c r="Q22" s="31"/>
      <c r="R22" s="34"/>
      <c r="S22" s="34"/>
      <c r="T22" s="32"/>
      <c r="U22" s="31"/>
      <c r="V22" s="31"/>
      <c r="W22" s="31"/>
      <c r="X22" s="31"/>
      <c r="Y22" s="31"/>
      <c r="Z22" s="31"/>
    </row>
    <row r="23" spans="1:26" ht="15.75" customHeight="1" x14ac:dyDescent="0.25">
      <c r="A23" s="30" t="s">
        <v>214</v>
      </c>
      <c r="R23" s="35"/>
      <c r="S23" s="9"/>
    </row>
    <row r="24" spans="1:26" ht="15.75" customHeight="1" x14ac:dyDescent="0.25">
      <c r="A24" s="30" t="s">
        <v>215</v>
      </c>
      <c r="R24" s="35"/>
      <c r="S24" s="9"/>
    </row>
    <row r="25" spans="1:26" ht="15.75" customHeight="1" x14ac:dyDescent="0.25">
      <c r="R25" s="35"/>
      <c r="S25" s="9"/>
    </row>
    <row r="26" spans="1:26" ht="15.75" customHeight="1" x14ac:dyDescent="0.25">
      <c r="A26" s="9" t="s">
        <v>216</v>
      </c>
      <c r="R26" s="35"/>
      <c r="S26" s="9"/>
    </row>
    <row r="27" spans="1:26" ht="15.75" customHeight="1" x14ac:dyDescent="0.25">
      <c r="A27" s="36" t="s">
        <v>217</v>
      </c>
      <c r="B27" s="139">
        <f>SUM(B2:B6)</f>
        <v>300787732</v>
      </c>
      <c r="R27" s="35"/>
      <c r="S27" s="9"/>
    </row>
    <row r="28" spans="1:26" ht="15.75" customHeight="1" x14ac:dyDescent="0.25">
      <c r="R28" s="35"/>
      <c r="S28" s="9"/>
    </row>
    <row r="29" spans="1:26" ht="15.75" customHeight="1" x14ac:dyDescent="0.25">
      <c r="R29" s="35"/>
      <c r="S29" s="9"/>
    </row>
    <row r="30" spans="1:26" ht="15.75" customHeight="1" x14ac:dyDescent="0.25">
      <c r="R30" s="35"/>
      <c r="S30" s="9"/>
    </row>
    <row r="31" spans="1:26" ht="15.75" customHeight="1" x14ac:dyDescent="0.25">
      <c r="P31" s="37"/>
      <c r="R31" s="38"/>
      <c r="S31" s="39"/>
    </row>
    <row r="32" spans="1:26" ht="15.75" customHeight="1" x14ac:dyDescent="0.25">
      <c r="P32" s="21"/>
      <c r="R32" s="25"/>
      <c r="S32" s="8"/>
    </row>
    <row r="33" spans="16:19" ht="15.75" customHeight="1" x14ac:dyDescent="0.25">
      <c r="P33" s="21"/>
      <c r="R33" s="25"/>
      <c r="S33" s="8"/>
    </row>
    <row r="34" spans="16:19" ht="15.75" customHeight="1" x14ac:dyDescent="0.25">
      <c r="P34" s="21"/>
      <c r="R34" s="25"/>
      <c r="S34" s="8"/>
    </row>
    <row r="35" spans="16:19" ht="15.75" customHeight="1" x14ac:dyDescent="0.25">
      <c r="P35" s="21"/>
      <c r="R35" s="25"/>
      <c r="S35" s="8"/>
    </row>
    <row r="36" spans="16:19" ht="15.75" customHeight="1" x14ac:dyDescent="0.25">
      <c r="P36" s="21"/>
      <c r="R36" s="25"/>
      <c r="S36" s="8"/>
    </row>
    <row r="37" spans="16:19" ht="15.75" customHeight="1" x14ac:dyDescent="0.25">
      <c r="P37" s="21"/>
      <c r="R37" s="25"/>
      <c r="S37" s="8"/>
    </row>
    <row r="38" spans="16:19" ht="15.75" customHeight="1" x14ac:dyDescent="0.25">
      <c r="P38" s="21"/>
      <c r="R38" s="25"/>
      <c r="S38" s="8"/>
    </row>
    <row r="39" spans="16:19" ht="15.75" customHeight="1" x14ac:dyDescent="0.25">
      <c r="P39" s="21"/>
      <c r="R39" s="25"/>
      <c r="S39" s="8"/>
    </row>
    <row r="40" spans="16:19" ht="15.75" customHeight="1" x14ac:dyDescent="0.25">
      <c r="P40" s="21"/>
      <c r="R40" s="25"/>
      <c r="S40" s="8"/>
    </row>
    <row r="41" spans="16:19" ht="15.75" customHeight="1" x14ac:dyDescent="0.25">
      <c r="P41" s="21"/>
      <c r="R41" s="25"/>
      <c r="S41" s="8"/>
    </row>
    <row r="42" spans="16:19" ht="15.75" customHeight="1" x14ac:dyDescent="0.25">
      <c r="P42" s="21"/>
      <c r="R42" s="8"/>
      <c r="S42" s="8"/>
    </row>
    <row r="43" spans="16:19" ht="15.75" customHeight="1" x14ac:dyDescent="0.25">
      <c r="P43" s="21"/>
      <c r="R43" s="8"/>
      <c r="S43" s="8"/>
    </row>
    <row r="44" spans="16:19" ht="15.75" customHeight="1" x14ac:dyDescent="0.25">
      <c r="P44" s="21"/>
      <c r="R44" s="8"/>
      <c r="S44" s="8"/>
    </row>
    <row r="45" spans="16:19" ht="15.75" customHeight="1" x14ac:dyDescent="0.25">
      <c r="P45" s="21"/>
      <c r="R45" s="8"/>
      <c r="S45" s="8"/>
    </row>
    <row r="46" spans="16:19" ht="15.75" customHeight="1" x14ac:dyDescent="0.25">
      <c r="P46" s="21"/>
      <c r="R46" s="8"/>
      <c r="S46" s="8"/>
    </row>
    <row r="47" spans="16:19" ht="15.75" customHeight="1" x14ac:dyDescent="0.25">
      <c r="P47" s="21"/>
      <c r="R47" s="8"/>
      <c r="S47" s="8"/>
    </row>
    <row r="48" spans="16:19" ht="15.75" customHeight="1" x14ac:dyDescent="0.25">
      <c r="P48" s="21"/>
      <c r="R48" s="8"/>
      <c r="S48" s="8"/>
    </row>
    <row r="49" spans="16:19" ht="15.75" customHeight="1" x14ac:dyDescent="0.25">
      <c r="P49" s="21"/>
      <c r="R49" s="8"/>
      <c r="S49" s="8"/>
    </row>
    <row r="50" spans="16:19" ht="15.75" customHeight="1" x14ac:dyDescent="0.25">
      <c r="P50" s="21"/>
      <c r="R50" s="8"/>
      <c r="S50" s="8"/>
    </row>
    <row r="51" spans="16:19" ht="15.75" customHeight="1" x14ac:dyDescent="0.25">
      <c r="P51" s="21"/>
      <c r="R51" s="8"/>
      <c r="S51" s="8"/>
    </row>
    <row r="52" spans="16:19" ht="15.75" customHeight="1" x14ac:dyDescent="0.25">
      <c r="P52" s="21"/>
      <c r="R52" s="8"/>
      <c r="S52" s="8"/>
    </row>
    <row r="53" spans="16:19" ht="15.75" customHeight="1" x14ac:dyDescent="0.25">
      <c r="P53" s="21"/>
      <c r="R53" s="8"/>
      <c r="S53" s="8"/>
    </row>
    <row r="54" spans="16:19" ht="15.75" customHeight="1" x14ac:dyDescent="0.25">
      <c r="P54" s="21"/>
      <c r="R54" s="8"/>
      <c r="S54" s="8"/>
    </row>
    <row r="55" spans="16:19" ht="15.75" customHeight="1" x14ac:dyDescent="0.25">
      <c r="P55" s="21"/>
      <c r="R55" s="8"/>
      <c r="S55" s="8"/>
    </row>
    <row r="56" spans="16:19" ht="15.75" customHeight="1" x14ac:dyDescent="0.25">
      <c r="P56" s="21"/>
      <c r="R56" s="8"/>
      <c r="S56" s="8"/>
    </row>
    <row r="57" spans="16:19" ht="15.75" customHeight="1" x14ac:dyDescent="0.25">
      <c r="P57" s="21"/>
      <c r="R57" s="8"/>
      <c r="S57" s="8"/>
    </row>
    <row r="58" spans="16:19" ht="15.75" customHeight="1" x14ac:dyDescent="0.25">
      <c r="P58" s="21"/>
      <c r="R58" s="8"/>
      <c r="S58" s="8"/>
    </row>
    <row r="59" spans="16:19" ht="15.75" customHeight="1" x14ac:dyDescent="0.25">
      <c r="P59" s="21"/>
      <c r="R59" s="8"/>
      <c r="S59" s="8"/>
    </row>
    <row r="60" spans="16:19" ht="15.75" customHeight="1" x14ac:dyDescent="0.25">
      <c r="P60" s="21"/>
      <c r="R60" s="8"/>
      <c r="S60" s="8"/>
    </row>
    <row r="61" spans="16:19" ht="15.75" customHeight="1" x14ac:dyDescent="0.25">
      <c r="P61" s="21"/>
      <c r="R61" s="8"/>
      <c r="S61" s="8"/>
    </row>
    <row r="62" spans="16:19" ht="15.75" customHeight="1" x14ac:dyDescent="0.25">
      <c r="P62" s="21"/>
      <c r="R62" s="8"/>
      <c r="S62" s="8"/>
    </row>
    <row r="63" spans="16:19" ht="15.75" customHeight="1" x14ac:dyDescent="0.25">
      <c r="P63" s="21"/>
      <c r="R63" s="8"/>
      <c r="S63" s="8"/>
    </row>
    <row r="64" spans="16:19" ht="15.75" customHeight="1" x14ac:dyDescent="0.25">
      <c r="P64" s="21"/>
      <c r="R64" s="8"/>
      <c r="S64" s="8"/>
    </row>
    <row r="65" spans="16:19" ht="15.75" customHeight="1" x14ac:dyDescent="0.25">
      <c r="P65" s="21"/>
      <c r="R65" s="8"/>
      <c r="S65" s="8"/>
    </row>
    <row r="66" spans="16:19" ht="15.75" customHeight="1" x14ac:dyDescent="0.25">
      <c r="P66" s="21"/>
      <c r="R66" s="8"/>
      <c r="S66" s="8"/>
    </row>
    <row r="67" spans="16:19" ht="15.75" customHeight="1" x14ac:dyDescent="0.25">
      <c r="P67" s="21"/>
      <c r="R67" s="8"/>
      <c r="S67" s="8"/>
    </row>
    <row r="68" spans="16:19" ht="15.75" customHeight="1" x14ac:dyDescent="0.25">
      <c r="P68" s="21"/>
      <c r="R68" s="8"/>
      <c r="S68" s="8"/>
    </row>
    <row r="69" spans="16:19" ht="15.75" customHeight="1" x14ac:dyDescent="0.25">
      <c r="P69" s="21"/>
      <c r="R69" s="8"/>
      <c r="S69" s="8"/>
    </row>
    <row r="70" spans="16:19" ht="15.75" customHeight="1" x14ac:dyDescent="0.25">
      <c r="P70" s="21"/>
      <c r="R70" s="8"/>
      <c r="S70" s="8"/>
    </row>
    <row r="71" spans="16:19" ht="15.75" customHeight="1" x14ac:dyDescent="0.25">
      <c r="P71" s="21"/>
      <c r="R71" s="8"/>
      <c r="S71" s="8"/>
    </row>
    <row r="72" spans="16:19" ht="15.75" customHeight="1" x14ac:dyDescent="0.25">
      <c r="P72" s="21"/>
      <c r="R72" s="8"/>
      <c r="S72" s="8"/>
    </row>
    <row r="73" spans="16:19" ht="15.75" customHeight="1" x14ac:dyDescent="0.25">
      <c r="P73" s="21"/>
      <c r="R73" s="8"/>
      <c r="S73" s="8"/>
    </row>
    <row r="74" spans="16:19" ht="15.75" customHeight="1" x14ac:dyDescent="0.25">
      <c r="P74" s="21"/>
      <c r="R74" s="8"/>
      <c r="S74" s="8"/>
    </row>
    <row r="75" spans="16:19" ht="15.75" customHeight="1" x14ac:dyDescent="0.25">
      <c r="P75" s="21"/>
      <c r="R75" s="8"/>
      <c r="S75" s="8"/>
    </row>
    <row r="76" spans="16:19" ht="15.75" customHeight="1" x14ac:dyDescent="0.25">
      <c r="P76" s="21"/>
      <c r="R76" s="8"/>
      <c r="S76" s="8"/>
    </row>
    <row r="77" spans="16:19" ht="15.75" customHeight="1" x14ac:dyDescent="0.25">
      <c r="P77" s="21"/>
      <c r="R77" s="8"/>
      <c r="S77" s="8"/>
    </row>
    <row r="78" spans="16:19" ht="15.75" customHeight="1" x14ac:dyDescent="0.25">
      <c r="P78" s="21"/>
      <c r="R78" s="8"/>
      <c r="S78" s="8"/>
    </row>
    <row r="79" spans="16:19" ht="15.75" customHeight="1" x14ac:dyDescent="0.25">
      <c r="P79" s="21"/>
      <c r="R79" s="8"/>
      <c r="S79" s="8"/>
    </row>
    <row r="80" spans="16:19" ht="15.75" customHeight="1" x14ac:dyDescent="0.25">
      <c r="P80" s="21"/>
      <c r="R80" s="8"/>
      <c r="S80" s="8"/>
    </row>
    <row r="81" spans="16:19" ht="15.75" customHeight="1" x14ac:dyDescent="0.25">
      <c r="P81" s="21"/>
      <c r="R81" s="8"/>
      <c r="S81" s="8"/>
    </row>
    <row r="82" spans="16:19" ht="15.75" customHeight="1" x14ac:dyDescent="0.25">
      <c r="P82" s="21"/>
      <c r="R82" s="8"/>
      <c r="S82" s="8"/>
    </row>
    <row r="83" spans="16:19" ht="15.75" customHeight="1" x14ac:dyDescent="0.25">
      <c r="P83" s="21"/>
      <c r="R83" s="8"/>
      <c r="S83" s="8"/>
    </row>
    <row r="84" spans="16:19" ht="15.75" customHeight="1" x14ac:dyDescent="0.25">
      <c r="P84" s="21"/>
      <c r="R84" s="8"/>
      <c r="S84" s="8"/>
    </row>
    <row r="85" spans="16:19" ht="15.75" customHeight="1" x14ac:dyDescent="0.25">
      <c r="P85" s="21"/>
      <c r="R85" s="8"/>
      <c r="S85" s="8"/>
    </row>
    <row r="86" spans="16:19" ht="15.75" customHeight="1" x14ac:dyDescent="0.25">
      <c r="P86" s="21"/>
      <c r="R86" s="8"/>
      <c r="S86" s="8"/>
    </row>
    <row r="87" spans="16:19" ht="15.75" customHeight="1" x14ac:dyDescent="0.25">
      <c r="P87" s="21"/>
      <c r="R87" s="8"/>
      <c r="S87" s="8"/>
    </row>
    <row r="88" spans="16:19" ht="15.75" customHeight="1" x14ac:dyDescent="0.25">
      <c r="P88" s="21"/>
      <c r="R88" s="8"/>
      <c r="S88" s="8"/>
    </row>
    <row r="89" spans="16:19" ht="15.75" customHeight="1" x14ac:dyDescent="0.25">
      <c r="P89" s="21"/>
      <c r="R89" s="8"/>
      <c r="S89" s="8"/>
    </row>
    <row r="90" spans="16:19" ht="15.75" customHeight="1" x14ac:dyDescent="0.25">
      <c r="P90" s="21"/>
      <c r="R90" s="8"/>
      <c r="S90" s="8"/>
    </row>
    <row r="91" spans="16:19" ht="15.75" customHeight="1" x14ac:dyDescent="0.25">
      <c r="P91" s="21"/>
      <c r="R91" s="8"/>
      <c r="S91" s="8"/>
    </row>
    <row r="92" spans="16:19" ht="15.75" customHeight="1" x14ac:dyDescent="0.25">
      <c r="P92" s="21"/>
      <c r="R92" s="8"/>
      <c r="S92" s="8"/>
    </row>
    <row r="93" spans="16:19" ht="15.75" customHeight="1" x14ac:dyDescent="0.25">
      <c r="P93" s="21"/>
      <c r="R93" s="8"/>
      <c r="S93" s="8"/>
    </row>
    <row r="94" spans="16:19" ht="15.75" customHeight="1" x14ac:dyDescent="0.25">
      <c r="P94" s="21"/>
      <c r="R94" s="8"/>
      <c r="S94" s="8"/>
    </row>
    <row r="95" spans="16:19" ht="15.75" customHeight="1" x14ac:dyDescent="0.25">
      <c r="P95" s="21"/>
      <c r="R95" s="8"/>
      <c r="S95" s="8"/>
    </row>
    <row r="96" spans="16:19" ht="15.75" customHeight="1" x14ac:dyDescent="0.25">
      <c r="P96" s="21"/>
      <c r="R96" s="8"/>
      <c r="S96" s="8"/>
    </row>
    <row r="97" spans="16:19" ht="15.75" customHeight="1" x14ac:dyDescent="0.25">
      <c r="P97" s="21"/>
      <c r="R97" s="8"/>
      <c r="S97" s="8"/>
    </row>
    <row r="98" spans="16:19" ht="15.75" customHeight="1" x14ac:dyDescent="0.25">
      <c r="P98" s="21"/>
      <c r="R98" s="8"/>
      <c r="S98" s="8"/>
    </row>
    <row r="99" spans="16:19" ht="15.75" customHeight="1" x14ac:dyDescent="0.25">
      <c r="P99" s="21"/>
      <c r="R99" s="8"/>
      <c r="S99" s="8"/>
    </row>
    <row r="100" spans="16:19" ht="15.75" customHeight="1" x14ac:dyDescent="0.25">
      <c r="P100" s="21"/>
      <c r="R100" s="8"/>
      <c r="S100" s="8"/>
    </row>
    <row r="101" spans="16:19" ht="15.75" customHeight="1" x14ac:dyDescent="0.25">
      <c r="P101" s="21"/>
      <c r="R101" s="8"/>
      <c r="S101" s="8"/>
    </row>
    <row r="102" spans="16:19" ht="15.75" customHeight="1" x14ac:dyDescent="0.25">
      <c r="P102" s="21"/>
      <c r="R102" s="8"/>
      <c r="S102" s="8"/>
    </row>
    <row r="103" spans="16:19" ht="15.75" customHeight="1" x14ac:dyDescent="0.25">
      <c r="P103" s="21"/>
      <c r="R103" s="8"/>
      <c r="S103" s="8"/>
    </row>
    <row r="104" spans="16:19" ht="15.75" customHeight="1" x14ac:dyDescent="0.25">
      <c r="P104" s="21"/>
      <c r="R104" s="8"/>
      <c r="S104" s="8"/>
    </row>
    <row r="105" spans="16:19" ht="15.75" customHeight="1" x14ac:dyDescent="0.25">
      <c r="P105" s="21"/>
      <c r="R105" s="8"/>
      <c r="S105" s="8"/>
    </row>
    <row r="106" spans="16:19" ht="15.75" customHeight="1" x14ac:dyDescent="0.25">
      <c r="P106" s="21"/>
      <c r="R106" s="8"/>
      <c r="S106" s="8"/>
    </row>
    <row r="107" spans="16:19" ht="15.75" customHeight="1" x14ac:dyDescent="0.25">
      <c r="P107" s="21"/>
      <c r="R107" s="8"/>
      <c r="S107" s="8"/>
    </row>
    <row r="108" spans="16:19" ht="15.75" customHeight="1" x14ac:dyDescent="0.25">
      <c r="P108" s="21"/>
      <c r="R108" s="8"/>
      <c r="S108" s="8"/>
    </row>
    <row r="109" spans="16:19" ht="15.75" customHeight="1" x14ac:dyDescent="0.25">
      <c r="P109" s="21"/>
      <c r="R109" s="8"/>
      <c r="S109" s="8"/>
    </row>
    <row r="110" spans="16:19" ht="15.75" customHeight="1" x14ac:dyDescent="0.25">
      <c r="P110" s="21"/>
      <c r="R110" s="8"/>
      <c r="S110" s="8"/>
    </row>
    <row r="111" spans="16:19" ht="15.75" customHeight="1" x14ac:dyDescent="0.25">
      <c r="P111" s="21"/>
      <c r="R111" s="8"/>
      <c r="S111" s="8"/>
    </row>
    <row r="112" spans="16:19" ht="15.75" customHeight="1" x14ac:dyDescent="0.25">
      <c r="P112" s="21"/>
      <c r="R112" s="8"/>
      <c r="S112" s="8"/>
    </row>
    <row r="113" spans="16:19" ht="15.75" customHeight="1" x14ac:dyDescent="0.25">
      <c r="P113" s="21"/>
      <c r="R113" s="8"/>
      <c r="S113" s="8"/>
    </row>
    <row r="114" spans="16:19" ht="15.75" customHeight="1" x14ac:dyDescent="0.25">
      <c r="P114" s="21"/>
      <c r="R114" s="8"/>
      <c r="S114" s="8"/>
    </row>
    <row r="115" spans="16:19" ht="15.75" customHeight="1" x14ac:dyDescent="0.25">
      <c r="P115" s="21"/>
      <c r="R115" s="8"/>
      <c r="S115" s="8"/>
    </row>
    <row r="116" spans="16:19" ht="15.75" customHeight="1" x14ac:dyDescent="0.25">
      <c r="P116" s="21"/>
      <c r="R116" s="8"/>
      <c r="S116" s="8"/>
    </row>
    <row r="117" spans="16:19" ht="15.75" customHeight="1" x14ac:dyDescent="0.25">
      <c r="P117" s="21"/>
      <c r="R117" s="8"/>
      <c r="S117" s="8"/>
    </row>
    <row r="118" spans="16:19" ht="15.75" customHeight="1" x14ac:dyDescent="0.25">
      <c r="P118" s="21"/>
      <c r="R118" s="8"/>
      <c r="S118" s="8"/>
    </row>
    <row r="119" spans="16:19" ht="15.75" customHeight="1" x14ac:dyDescent="0.25">
      <c r="P119" s="21"/>
      <c r="R119" s="8"/>
      <c r="S119" s="8"/>
    </row>
    <row r="120" spans="16:19" ht="15.75" customHeight="1" x14ac:dyDescent="0.25">
      <c r="P120" s="21"/>
      <c r="R120" s="8"/>
      <c r="S120" s="8"/>
    </row>
    <row r="121" spans="16:19" ht="15.75" customHeight="1" x14ac:dyDescent="0.25">
      <c r="P121" s="21"/>
      <c r="R121" s="8"/>
      <c r="S121" s="8"/>
    </row>
    <row r="122" spans="16:19" ht="15.75" customHeight="1" x14ac:dyDescent="0.25">
      <c r="P122" s="21"/>
      <c r="R122" s="8"/>
      <c r="S122" s="8"/>
    </row>
    <row r="123" spans="16:19" ht="15.75" customHeight="1" x14ac:dyDescent="0.25">
      <c r="P123" s="21"/>
      <c r="R123" s="8"/>
      <c r="S123" s="8"/>
    </row>
    <row r="124" spans="16:19" ht="15.75" customHeight="1" x14ac:dyDescent="0.25">
      <c r="P124" s="21"/>
      <c r="R124" s="8"/>
      <c r="S124" s="8"/>
    </row>
    <row r="125" spans="16:19" ht="15.75" customHeight="1" x14ac:dyDescent="0.25">
      <c r="P125" s="21"/>
      <c r="R125" s="8"/>
      <c r="S125" s="8"/>
    </row>
    <row r="126" spans="16:19" ht="15.75" customHeight="1" x14ac:dyDescent="0.25">
      <c r="P126" s="21"/>
      <c r="R126" s="8"/>
      <c r="S126" s="8"/>
    </row>
    <row r="127" spans="16:19" ht="15.75" customHeight="1" x14ac:dyDescent="0.25">
      <c r="P127" s="21"/>
      <c r="R127" s="8"/>
      <c r="S127" s="8"/>
    </row>
    <row r="128" spans="16:19" ht="15.75" customHeight="1" x14ac:dyDescent="0.25">
      <c r="P128" s="21"/>
      <c r="R128" s="8"/>
      <c r="S128" s="8"/>
    </row>
    <row r="129" spans="16:19" ht="15.75" customHeight="1" x14ac:dyDescent="0.25">
      <c r="P129" s="21"/>
      <c r="R129" s="8"/>
      <c r="S129" s="8"/>
    </row>
    <row r="130" spans="16:19" ht="15.75" customHeight="1" x14ac:dyDescent="0.25">
      <c r="P130" s="21"/>
      <c r="R130" s="8"/>
      <c r="S130" s="8"/>
    </row>
    <row r="131" spans="16:19" ht="15.75" customHeight="1" x14ac:dyDescent="0.25">
      <c r="P131" s="21"/>
      <c r="R131" s="8"/>
      <c r="S131" s="8"/>
    </row>
    <row r="132" spans="16:19" ht="15.75" customHeight="1" x14ac:dyDescent="0.25">
      <c r="P132" s="21"/>
      <c r="R132" s="8"/>
      <c r="S132" s="8"/>
    </row>
    <row r="133" spans="16:19" ht="15.75" customHeight="1" x14ac:dyDescent="0.25">
      <c r="P133" s="21"/>
      <c r="R133" s="8"/>
      <c r="S133" s="8"/>
    </row>
    <row r="134" spans="16:19" ht="15.75" customHeight="1" x14ac:dyDescent="0.25">
      <c r="P134" s="21"/>
      <c r="R134" s="8"/>
      <c r="S134" s="8"/>
    </row>
    <row r="135" spans="16:19" ht="15.75" customHeight="1" x14ac:dyDescent="0.25">
      <c r="P135" s="21"/>
      <c r="R135" s="8"/>
      <c r="S135" s="8"/>
    </row>
    <row r="136" spans="16:19" ht="15.75" customHeight="1" x14ac:dyDescent="0.25">
      <c r="P136" s="21"/>
      <c r="R136" s="8"/>
      <c r="S136" s="8"/>
    </row>
    <row r="137" spans="16:19" ht="15.75" customHeight="1" x14ac:dyDescent="0.25">
      <c r="P137" s="21"/>
      <c r="R137" s="8"/>
      <c r="S137" s="8"/>
    </row>
    <row r="138" spans="16:19" ht="15.75" customHeight="1" x14ac:dyDescent="0.25">
      <c r="P138" s="21"/>
      <c r="R138" s="8"/>
      <c r="S138" s="8"/>
    </row>
    <row r="139" spans="16:19" ht="15.75" customHeight="1" x14ac:dyDescent="0.25">
      <c r="P139" s="21"/>
      <c r="R139" s="8"/>
      <c r="S139" s="8"/>
    </row>
    <row r="140" spans="16:19" ht="15.75" customHeight="1" x14ac:dyDescent="0.25">
      <c r="P140" s="21"/>
      <c r="R140" s="8"/>
      <c r="S140" s="8"/>
    </row>
    <row r="141" spans="16:19" ht="15.75" customHeight="1" x14ac:dyDescent="0.25">
      <c r="P141" s="21"/>
      <c r="R141" s="8"/>
      <c r="S141" s="8"/>
    </row>
    <row r="142" spans="16:19" ht="15.75" customHeight="1" x14ac:dyDescent="0.25">
      <c r="P142" s="21"/>
      <c r="R142" s="8"/>
      <c r="S142" s="8"/>
    </row>
    <row r="143" spans="16:19" ht="15.75" customHeight="1" x14ac:dyDescent="0.25">
      <c r="P143" s="21"/>
      <c r="R143" s="8"/>
      <c r="S143" s="8"/>
    </row>
    <row r="144" spans="16:19" ht="15.75" customHeight="1" x14ac:dyDescent="0.25">
      <c r="P144" s="21"/>
      <c r="R144" s="8"/>
      <c r="S144" s="8"/>
    </row>
    <row r="145" spans="16:19" ht="15.75" customHeight="1" x14ac:dyDescent="0.25">
      <c r="P145" s="21"/>
      <c r="R145" s="8"/>
      <c r="S145" s="8"/>
    </row>
    <row r="146" spans="16:19" ht="15.75" customHeight="1" x14ac:dyDescent="0.25">
      <c r="P146" s="21"/>
      <c r="R146" s="8"/>
      <c r="S146" s="8"/>
    </row>
    <row r="147" spans="16:19" ht="15.75" customHeight="1" x14ac:dyDescent="0.25">
      <c r="P147" s="21"/>
      <c r="R147" s="8"/>
      <c r="S147" s="8"/>
    </row>
    <row r="148" spans="16:19" ht="15.75" customHeight="1" x14ac:dyDescent="0.25">
      <c r="P148" s="21"/>
      <c r="R148" s="8"/>
      <c r="S148" s="8"/>
    </row>
    <row r="149" spans="16:19" ht="15.75" customHeight="1" x14ac:dyDescent="0.25">
      <c r="P149" s="21"/>
      <c r="R149" s="8"/>
      <c r="S149" s="8"/>
    </row>
    <row r="150" spans="16:19" ht="15.75" customHeight="1" x14ac:dyDescent="0.25">
      <c r="P150" s="21"/>
      <c r="R150" s="8"/>
      <c r="S150" s="8"/>
    </row>
    <row r="151" spans="16:19" ht="15.75" customHeight="1" x14ac:dyDescent="0.25">
      <c r="P151" s="21"/>
      <c r="R151" s="8"/>
      <c r="S151" s="8"/>
    </row>
    <row r="152" spans="16:19" ht="15.75" customHeight="1" x14ac:dyDescent="0.25">
      <c r="P152" s="21"/>
      <c r="R152" s="8"/>
      <c r="S152" s="8"/>
    </row>
    <row r="153" spans="16:19" ht="15.75" customHeight="1" x14ac:dyDescent="0.25">
      <c r="P153" s="21"/>
      <c r="R153" s="8"/>
      <c r="S153" s="8"/>
    </row>
    <row r="154" spans="16:19" ht="15.75" customHeight="1" x14ac:dyDescent="0.25">
      <c r="P154" s="21"/>
      <c r="R154" s="8"/>
      <c r="S154" s="8"/>
    </row>
    <row r="155" spans="16:19" ht="15.75" customHeight="1" x14ac:dyDescent="0.25">
      <c r="P155" s="21"/>
      <c r="R155" s="8"/>
      <c r="S155" s="8"/>
    </row>
    <row r="156" spans="16:19" ht="15.75" customHeight="1" x14ac:dyDescent="0.25">
      <c r="P156" s="21"/>
      <c r="R156" s="8"/>
      <c r="S156" s="8"/>
    </row>
    <row r="157" spans="16:19" ht="15.75" customHeight="1" x14ac:dyDescent="0.25">
      <c r="P157" s="21"/>
      <c r="R157" s="8"/>
      <c r="S157" s="8"/>
    </row>
    <row r="158" spans="16:19" ht="15.75" customHeight="1" x14ac:dyDescent="0.25">
      <c r="P158" s="21"/>
      <c r="R158" s="8"/>
      <c r="S158" s="8"/>
    </row>
    <row r="159" spans="16:19" ht="15.75" customHeight="1" x14ac:dyDescent="0.25">
      <c r="P159" s="21"/>
      <c r="R159" s="8"/>
      <c r="S159" s="8"/>
    </row>
    <row r="160" spans="16:19" ht="15.75" customHeight="1" x14ac:dyDescent="0.25">
      <c r="P160" s="21"/>
      <c r="R160" s="8"/>
      <c r="S160" s="8"/>
    </row>
    <row r="161" spans="16:19" ht="15.75" customHeight="1" x14ac:dyDescent="0.25">
      <c r="P161" s="21"/>
      <c r="R161" s="8"/>
      <c r="S161" s="8"/>
    </row>
    <row r="162" spans="16:19" ht="15.75" customHeight="1" x14ac:dyDescent="0.25">
      <c r="P162" s="21"/>
      <c r="R162" s="8"/>
      <c r="S162" s="8"/>
    </row>
    <row r="163" spans="16:19" ht="15.75" customHeight="1" x14ac:dyDescent="0.25">
      <c r="P163" s="21"/>
      <c r="R163" s="8"/>
      <c r="S163" s="8"/>
    </row>
    <row r="164" spans="16:19" ht="15.75" customHeight="1" x14ac:dyDescent="0.25">
      <c r="P164" s="21"/>
      <c r="R164" s="8"/>
      <c r="S164" s="8"/>
    </row>
    <row r="165" spans="16:19" ht="15.75" customHeight="1" x14ac:dyDescent="0.25">
      <c r="P165" s="21"/>
      <c r="R165" s="8"/>
      <c r="S165" s="8"/>
    </row>
    <row r="166" spans="16:19" ht="15.75" customHeight="1" x14ac:dyDescent="0.25">
      <c r="P166" s="21"/>
      <c r="R166" s="8"/>
      <c r="S166" s="8"/>
    </row>
    <row r="167" spans="16:19" ht="15.75" customHeight="1" x14ac:dyDescent="0.25">
      <c r="P167" s="21"/>
      <c r="R167" s="8"/>
      <c r="S167" s="8"/>
    </row>
    <row r="168" spans="16:19" ht="15.75" customHeight="1" x14ac:dyDescent="0.25">
      <c r="P168" s="21"/>
      <c r="R168" s="8"/>
      <c r="S168" s="8"/>
    </row>
    <row r="169" spans="16:19" ht="15.75" customHeight="1" x14ac:dyDescent="0.25">
      <c r="P169" s="21"/>
      <c r="R169" s="8"/>
      <c r="S169" s="8"/>
    </row>
    <row r="170" spans="16:19" ht="15.75" customHeight="1" x14ac:dyDescent="0.25">
      <c r="P170" s="21"/>
      <c r="R170" s="8"/>
      <c r="S170" s="8"/>
    </row>
    <row r="171" spans="16:19" ht="15.75" customHeight="1" x14ac:dyDescent="0.25">
      <c r="P171" s="21"/>
      <c r="R171" s="8"/>
      <c r="S171" s="8"/>
    </row>
    <row r="172" spans="16:19" ht="15.75" customHeight="1" x14ac:dyDescent="0.25">
      <c r="P172" s="21"/>
      <c r="R172" s="8"/>
      <c r="S172" s="8"/>
    </row>
    <row r="173" spans="16:19" ht="15.75" customHeight="1" x14ac:dyDescent="0.25">
      <c r="P173" s="21"/>
      <c r="R173" s="8"/>
      <c r="S173" s="8"/>
    </row>
    <row r="174" spans="16:19" ht="15.75" customHeight="1" x14ac:dyDescent="0.25">
      <c r="P174" s="21"/>
      <c r="R174" s="8"/>
      <c r="S174" s="8"/>
    </row>
    <row r="175" spans="16:19" ht="15.75" customHeight="1" x14ac:dyDescent="0.25">
      <c r="P175" s="21"/>
      <c r="R175" s="8"/>
      <c r="S175" s="8"/>
    </row>
    <row r="176" spans="16:19" ht="15.75" customHeight="1" x14ac:dyDescent="0.25">
      <c r="P176" s="21"/>
      <c r="R176" s="8"/>
      <c r="S176" s="8"/>
    </row>
    <row r="177" spans="16:19" ht="15.75" customHeight="1" x14ac:dyDescent="0.25">
      <c r="P177" s="21"/>
      <c r="R177" s="8"/>
      <c r="S177" s="8"/>
    </row>
    <row r="178" spans="16:19" ht="15.75" customHeight="1" x14ac:dyDescent="0.25">
      <c r="P178" s="21"/>
      <c r="R178" s="8"/>
      <c r="S178" s="8"/>
    </row>
    <row r="179" spans="16:19" ht="15.75" customHeight="1" x14ac:dyDescent="0.25">
      <c r="P179" s="21"/>
      <c r="R179" s="8"/>
      <c r="S179" s="8"/>
    </row>
    <row r="180" spans="16:19" ht="15.75" customHeight="1" x14ac:dyDescent="0.25">
      <c r="P180" s="21"/>
      <c r="R180" s="8"/>
      <c r="S180" s="8"/>
    </row>
    <row r="181" spans="16:19" ht="15.75" customHeight="1" x14ac:dyDescent="0.25">
      <c r="P181" s="21"/>
      <c r="R181" s="8"/>
      <c r="S181" s="8"/>
    </row>
    <row r="182" spans="16:19" ht="15.75" customHeight="1" x14ac:dyDescent="0.25">
      <c r="P182" s="21"/>
      <c r="R182" s="8"/>
      <c r="S182" s="8"/>
    </row>
    <row r="183" spans="16:19" ht="15.75" customHeight="1" x14ac:dyDescent="0.25">
      <c r="P183" s="21"/>
      <c r="R183" s="8"/>
      <c r="S183" s="8"/>
    </row>
    <row r="184" spans="16:19" ht="15.75" customHeight="1" x14ac:dyDescent="0.25">
      <c r="P184" s="21"/>
      <c r="R184" s="8"/>
      <c r="S184" s="8"/>
    </row>
    <row r="185" spans="16:19" ht="15.75" customHeight="1" x14ac:dyDescent="0.25">
      <c r="P185" s="21"/>
      <c r="R185" s="8"/>
      <c r="S185" s="8"/>
    </row>
    <row r="186" spans="16:19" ht="15.75" customHeight="1" x14ac:dyDescent="0.25">
      <c r="P186" s="21"/>
      <c r="R186" s="8"/>
      <c r="S186" s="8"/>
    </row>
    <row r="187" spans="16:19" ht="15.75" customHeight="1" x14ac:dyDescent="0.25">
      <c r="P187" s="21"/>
      <c r="R187" s="8"/>
      <c r="S187" s="8"/>
    </row>
    <row r="188" spans="16:19" ht="15.75" customHeight="1" x14ac:dyDescent="0.25">
      <c r="P188" s="21"/>
      <c r="R188" s="8"/>
      <c r="S188" s="8"/>
    </row>
    <row r="189" spans="16:19" ht="15.75" customHeight="1" x14ac:dyDescent="0.25">
      <c r="P189" s="21"/>
      <c r="R189" s="8"/>
      <c r="S189" s="8"/>
    </row>
    <row r="190" spans="16:19" ht="15.75" customHeight="1" x14ac:dyDescent="0.25">
      <c r="P190" s="21"/>
      <c r="R190" s="8"/>
      <c r="S190" s="8"/>
    </row>
    <row r="191" spans="16:19" ht="15.75" customHeight="1" x14ac:dyDescent="0.25">
      <c r="P191" s="21"/>
      <c r="R191" s="8"/>
      <c r="S191" s="8"/>
    </row>
    <row r="192" spans="16:19" ht="15.75" customHeight="1" x14ac:dyDescent="0.25">
      <c r="P192" s="21"/>
      <c r="R192" s="8"/>
      <c r="S192" s="8"/>
    </row>
    <row r="193" spans="16:19" ht="15.75" customHeight="1" x14ac:dyDescent="0.25">
      <c r="P193" s="21"/>
      <c r="R193" s="8"/>
      <c r="S193" s="8"/>
    </row>
    <row r="194" spans="16:19" ht="15.75" customHeight="1" x14ac:dyDescent="0.25">
      <c r="P194" s="21"/>
      <c r="R194" s="8"/>
      <c r="S194" s="8"/>
    </row>
    <row r="195" spans="16:19" ht="15.75" customHeight="1" x14ac:dyDescent="0.25">
      <c r="P195" s="21"/>
      <c r="R195" s="8"/>
      <c r="S195" s="8"/>
    </row>
    <row r="196" spans="16:19" ht="15.75" customHeight="1" x14ac:dyDescent="0.25">
      <c r="P196" s="21"/>
      <c r="R196" s="8"/>
      <c r="S196" s="8"/>
    </row>
    <row r="197" spans="16:19" ht="15.75" customHeight="1" x14ac:dyDescent="0.25">
      <c r="P197" s="21"/>
      <c r="R197" s="8"/>
      <c r="S197" s="8"/>
    </row>
    <row r="198" spans="16:19" ht="15.75" customHeight="1" x14ac:dyDescent="0.25">
      <c r="P198" s="21"/>
      <c r="R198" s="8"/>
      <c r="S198" s="8"/>
    </row>
    <row r="199" spans="16:19" ht="15.75" customHeight="1" x14ac:dyDescent="0.25">
      <c r="P199" s="21"/>
      <c r="R199" s="8"/>
      <c r="S199" s="8"/>
    </row>
    <row r="200" spans="16:19" ht="15.75" customHeight="1" x14ac:dyDescent="0.25">
      <c r="P200" s="21"/>
      <c r="R200" s="8"/>
      <c r="S200" s="8"/>
    </row>
    <row r="201" spans="16:19" ht="15.75" customHeight="1" x14ac:dyDescent="0.25">
      <c r="P201" s="21"/>
      <c r="R201" s="8"/>
      <c r="S201" s="8"/>
    </row>
    <row r="202" spans="16:19" ht="15.75" customHeight="1" x14ac:dyDescent="0.25">
      <c r="P202" s="21"/>
      <c r="R202" s="8"/>
      <c r="S202" s="8"/>
    </row>
    <row r="203" spans="16:19" ht="15.75" customHeight="1" x14ac:dyDescent="0.25">
      <c r="P203" s="21"/>
      <c r="R203" s="8"/>
      <c r="S203" s="8"/>
    </row>
    <row r="204" spans="16:19" ht="15.75" customHeight="1" x14ac:dyDescent="0.25">
      <c r="P204" s="21"/>
      <c r="R204" s="8"/>
      <c r="S204" s="8"/>
    </row>
    <row r="205" spans="16:19" ht="15.75" customHeight="1" x14ac:dyDescent="0.25">
      <c r="P205" s="21"/>
      <c r="R205" s="8"/>
      <c r="S205" s="8"/>
    </row>
    <row r="206" spans="16:19" ht="15.75" customHeight="1" x14ac:dyDescent="0.25">
      <c r="P206" s="21"/>
      <c r="R206" s="8"/>
      <c r="S206" s="8"/>
    </row>
    <row r="207" spans="16:19" ht="15.75" customHeight="1" x14ac:dyDescent="0.25">
      <c r="P207" s="21"/>
      <c r="R207" s="8"/>
      <c r="S207" s="8"/>
    </row>
    <row r="208" spans="16:19" ht="15.75" customHeight="1" x14ac:dyDescent="0.25">
      <c r="P208" s="21"/>
      <c r="R208" s="8"/>
      <c r="S208" s="8"/>
    </row>
    <row r="209" spans="16:19" ht="15.75" customHeight="1" x14ac:dyDescent="0.25">
      <c r="P209" s="21"/>
      <c r="R209" s="8"/>
      <c r="S209" s="8"/>
    </row>
    <row r="210" spans="16:19" ht="15.75" customHeight="1" x14ac:dyDescent="0.25">
      <c r="P210" s="21"/>
      <c r="R210" s="8"/>
      <c r="S210" s="8"/>
    </row>
    <row r="211" spans="16:19" ht="15.75" customHeight="1" x14ac:dyDescent="0.25">
      <c r="P211" s="21"/>
      <c r="R211" s="8"/>
      <c r="S211" s="8"/>
    </row>
    <row r="212" spans="16:19" ht="15.75" customHeight="1" x14ac:dyDescent="0.25">
      <c r="P212" s="21"/>
      <c r="R212" s="8"/>
      <c r="S212" s="8"/>
    </row>
    <row r="213" spans="16:19" ht="15.75" customHeight="1" x14ac:dyDescent="0.25">
      <c r="P213" s="21"/>
      <c r="R213" s="8"/>
      <c r="S213" s="8"/>
    </row>
    <row r="214" spans="16:19" ht="15.75" customHeight="1" x14ac:dyDescent="0.25">
      <c r="P214" s="21"/>
      <c r="R214" s="8"/>
      <c r="S214" s="8"/>
    </row>
    <row r="215" spans="16:19" ht="15.75" customHeight="1" x14ac:dyDescent="0.25">
      <c r="P215" s="21"/>
      <c r="R215" s="8"/>
      <c r="S215" s="8"/>
    </row>
    <row r="216" spans="16:19" ht="15.75" customHeight="1" x14ac:dyDescent="0.25">
      <c r="P216" s="21"/>
      <c r="R216" s="8"/>
      <c r="S216" s="8"/>
    </row>
    <row r="217" spans="16:19" ht="15.75" customHeight="1" x14ac:dyDescent="0.25">
      <c r="P217" s="21"/>
      <c r="R217" s="8"/>
      <c r="S217" s="8"/>
    </row>
    <row r="218" spans="16:19" ht="15.75" customHeight="1" x14ac:dyDescent="0.25">
      <c r="P218" s="21"/>
      <c r="R218" s="8"/>
      <c r="S218" s="8"/>
    </row>
    <row r="219" spans="16:19" ht="15.75" customHeight="1" x14ac:dyDescent="0.25">
      <c r="P219" s="21"/>
      <c r="R219" s="8"/>
      <c r="S219" s="8"/>
    </row>
    <row r="220" spans="16:19" ht="15.75" customHeight="1" x14ac:dyDescent="0.25">
      <c r="P220" s="21"/>
      <c r="R220" s="8"/>
      <c r="S220" s="8"/>
    </row>
    <row r="221" spans="16:19" ht="15.75" customHeight="1" x14ac:dyDescent="0.25">
      <c r="P221" s="21"/>
      <c r="R221" s="8"/>
      <c r="S221" s="8"/>
    </row>
    <row r="222" spans="16:19" ht="15.75" customHeight="1" x14ac:dyDescent="0.25">
      <c r="P222" s="21"/>
      <c r="R222" s="8"/>
      <c r="S222" s="8"/>
    </row>
    <row r="223" spans="16:19" ht="15.75" customHeight="1" x14ac:dyDescent="0.25">
      <c r="P223" s="21"/>
      <c r="R223" s="8"/>
      <c r="S223" s="8"/>
    </row>
    <row r="224" spans="16:19" ht="15.75" customHeight="1" x14ac:dyDescent="0.25">
      <c r="P224" s="21"/>
      <c r="R224" s="8"/>
      <c r="S224" s="8"/>
    </row>
    <row r="225" spans="16:19" ht="15.75" customHeight="1" x14ac:dyDescent="0.25">
      <c r="P225" s="21"/>
      <c r="R225" s="8"/>
      <c r="S225" s="8"/>
    </row>
    <row r="226" spans="16:19" ht="15.75" customHeight="1" x14ac:dyDescent="0.25">
      <c r="P226" s="21"/>
      <c r="R226" s="8"/>
      <c r="S226" s="8"/>
    </row>
    <row r="227" spans="16:19" ht="15.75" customHeight="1" x14ac:dyDescent="0.25">
      <c r="P227" s="21"/>
      <c r="R227" s="8"/>
      <c r="S227" s="8"/>
    </row>
    <row r="228" spans="16:19" ht="15.75" customHeight="1" x14ac:dyDescent="0.25">
      <c r="P228" s="21"/>
      <c r="R228" s="8"/>
      <c r="S228" s="8"/>
    </row>
    <row r="229" spans="16:19" ht="15.75" customHeight="1" x14ac:dyDescent="0.25">
      <c r="P229" s="21"/>
      <c r="R229" s="8"/>
      <c r="S229" s="8"/>
    </row>
    <row r="230" spans="16:19" ht="15.75" customHeight="1" x14ac:dyDescent="0.25">
      <c r="P230" s="21"/>
      <c r="R230" s="8"/>
      <c r="S230" s="8"/>
    </row>
    <row r="231" spans="16:19" ht="15.75" customHeight="1" x14ac:dyDescent="0.25">
      <c r="P231" s="21"/>
      <c r="R231" s="8"/>
      <c r="S231" s="8"/>
    </row>
    <row r="232" spans="16:19" ht="15.75" customHeight="1" x14ac:dyDescent="0.25">
      <c r="P232" s="21"/>
      <c r="R232" s="8"/>
      <c r="S232" s="8"/>
    </row>
    <row r="233" spans="16:19" ht="15.75" customHeight="1" x14ac:dyDescent="0.25">
      <c r="P233" s="21"/>
      <c r="R233" s="8"/>
      <c r="S233" s="8"/>
    </row>
    <row r="234" spans="16:19" ht="15.75" customHeight="1" x14ac:dyDescent="0.25">
      <c r="P234" s="21"/>
      <c r="R234" s="8"/>
      <c r="S234" s="8"/>
    </row>
    <row r="235" spans="16:19" ht="15.75" customHeight="1" x14ac:dyDescent="0.25">
      <c r="P235" s="21"/>
      <c r="R235" s="8"/>
      <c r="S235" s="8"/>
    </row>
    <row r="236" spans="16:19" ht="15.75" customHeight="1" x14ac:dyDescent="0.25">
      <c r="P236" s="21"/>
      <c r="R236" s="8"/>
      <c r="S236" s="8"/>
    </row>
    <row r="237" spans="16:19" ht="15.75" customHeight="1" x14ac:dyDescent="0.25">
      <c r="P237" s="21"/>
      <c r="R237" s="8"/>
      <c r="S237" s="8"/>
    </row>
    <row r="238" spans="16:19" ht="15.75" customHeight="1" x14ac:dyDescent="0.25">
      <c r="P238" s="21"/>
      <c r="R238" s="8"/>
      <c r="S238" s="8"/>
    </row>
    <row r="239" spans="16:19" ht="15.75" customHeight="1" x14ac:dyDescent="0.25">
      <c r="P239" s="21"/>
      <c r="R239" s="8"/>
      <c r="S239" s="8"/>
    </row>
    <row r="240" spans="16:19" ht="15.75" customHeight="1" x14ac:dyDescent="0.25">
      <c r="P240" s="21"/>
      <c r="R240" s="8"/>
      <c r="S240" s="8"/>
    </row>
    <row r="241" spans="16:19" ht="15.75" customHeight="1" x14ac:dyDescent="0.25">
      <c r="P241" s="21"/>
      <c r="R241" s="8"/>
      <c r="S241" s="8"/>
    </row>
    <row r="242" spans="16:19" ht="15.75" customHeight="1" x14ac:dyDescent="0.25">
      <c r="P242" s="21"/>
      <c r="R242" s="8"/>
      <c r="S242" s="8"/>
    </row>
    <row r="243" spans="16:19" ht="15.75" customHeight="1" x14ac:dyDescent="0.25">
      <c r="P243" s="21"/>
      <c r="R243" s="8"/>
      <c r="S243" s="8"/>
    </row>
    <row r="244" spans="16:19" ht="15.75" customHeight="1" x14ac:dyDescent="0.25">
      <c r="P244" s="21"/>
      <c r="R244" s="8"/>
      <c r="S244" s="8"/>
    </row>
    <row r="245" spans="16:19" ht="15.75" customHeight="1" x14ac:dyDescent="0.25">
      <c r="P245" s="21"/>
      <c r="R245" s="8"/>
      <c r="S245" s="8"/>
    </row>
    <row r="246" spans="16:19" ht="15.75" customHeight="1" x14ac:dyDescent="0.25">
      <c r="P246" s="21"/>
      <c r="R246" s="8"/>
      <c r="S246" s="8"/>
    </row>
    <row r="247" spans="16:19" ht="15.75" customHeight="1" x14ac:dyDescent="0.25">
      <c r="P247" s="21"/>
      <c r="R247" s="8"/>
      <c r="S247" s="8"/>
    </row>
    <row r="248" spans="16:19" ht="15.75" customHeight="1" x14ac:dyDescent="0.25">
      <c r="P248" s="21"/>
      <c r="R248" s="8"/>
      <c r="S248" s="8"/>
    </row>
    <row r="249" spans="16:19" ht="15.75" customHeight="1" x14ac:dyDescent="0.25">
      <c r="P249" s="21"/>
      <c r="R249" s="8"/>
      <c r="S249" s="8"/>
    </row>
    <row r="250" spans="16:19" ht="15.75" customHeight="1" x14ac:dyDescent="0.25">
      <c r="P250" s="21"/>
      <c r="R250" s="8"/>
      <c r="S250" s="8"/>
    </row>
    <row r="251" spans="16:19" ht="15.75" customHeight="1" x14ac:dyDescent="0.25">
      <c r="P251" s="21"/>
      <c r="R251" s="8"/>
      <c r="S251" s="8"/>
    </row>
    <row r="252" spans="16:19" ht="15.75" customHeight="1" x14ac:dyDescent="0.25">
      <c r="P252" s="21"/>
      <c r="R252" s="8"/>
      <c r="S252" s="8"/>
    </row>
    <row r="253" spans="16:19" ht="15.75" customHeight="1" x14ac:dyDescent="0.25">
      <c r="P253" s="21"/>
      <c r="R253" s="8"/>
      <c r="S253" s="8"/>
    </row>
    <row r="254" spans="16:19" ht="15.75" customHeight="1" x14ac:dyDescent="0.25">
      <c r="P254" s="21"/>
      <c r="R254" s="8"/>
      <c r="S254" s="8"/>
    </row>
    <row r="255" spans="16:19" ht="15.75" customHeight="1" x14ac:dyDescent="0.25">
      <c r="P255" s="21"/>
      <c r="R255" s="8"/>
      <c r="S255" s="8"/>
    </row>
    <row r="256" spans="16:19" ht="15.75" customHeight="1" x14ac:dyDescent="0.25">
      <c r="P256" s="21"/>
      <c r="R256" s="8"/>
      <c r="S256" s="8"/>
    </row>
    <row r="257" spans="16:19" ht="15.75" customHeight="1" x14ac:dyDescent="0.25">
      <c r="P257" s="21"/>
      <c r="R257" s="8"/>
      <c r="S257" s="8"/>
    </row>
    <row r="258" spans="16:19" ht="15.75" customHeight="1" x14ac:dyDescent="0.25">
      <c r="P258" s="21"/>
      <c r="R258" s="8"/>
      <c r="S258" s="8"/>
    </row>
    <row r="259" spans="16:19" ht="15.75" customHeight="1" x14ac:dyDescent="0.25">
      <c r="P259" s="21"/>
      <c r="R259" s="8"/>
      <c r="S259" s="8"/>
    </row>
    <row r="260" spans="16:19" ht="15.75" customHeight="1" x14ac:dyDescent="0.25">
      <c r="P260" s="21"/>
      <c r="R260" s="8"/>
      <c r="S260" s="8"/>
    </row>
    <row r="261" spans="16:19" ht="15.75" customHeight="1" x14ac:dyDescent="0.25">
      <c r="P261" s="21"/>
      <c r="R261" s="8"/>
      <c r="S261" s="8"/>
    </row>
    <row r="262" spans="16:19" ht="15.75" customHeight="1" x14ac:dyDescent="0.25">
      <c r="P262" s="21"/>
      <c r="R262" s="8"/>
      <c r="S262" s="8"/>
    </row>
    <row r="263" spans="16:19" ht="15.75" customHeight="1" x14ac:dyDescent="0.25">
      <c r="P263" s="21"/>
      <c r="R263" s="8"/>
      <c r="S263" s="8"/>
    </row>
    <row r="264" spans="16:19" ht="15.75" customHeight="1" x14ac:dyDescent="0.25">
      <c r="P264" s="21"/>
      <c r="R264" s="8"/>
      <c r="S264" s="8"/>
    </row>
    <row r="265" spans="16:19" ht="15.75" customHeight="1" x14ac:dyDescent="0.25">
      <c r="P265" s="21"/>
      <c r="R265" s="8"/>
      <c r="S265" s="8"/>
    </row>
    <row r="266" spans="16:19" ht="15.75" customHeight="1" x14ac:dyDescent="0.25">
      <c r="P266" s="21"/>
      <c r="R266" s="8"/>
      <c r="S266" s="8"/>
    </row>
    <row r="267" spans="16:19" ht="15.75" customHeight="1" x14ac:dyDescent="0.25">
      <c r="P267" s="21"/>
      <c r="R267" s="8"/>
      <c r="S267" s="8"/>
    </row>
    <row r="268" spans="16:19" ht="15.75" customHeight="1" x14ac:dyDescent="0.25">
      <c r="P268" s="21"/>
      <c r="R268" s="8"/>
      <c r="S268" s="8"/>
    </row>
    <row r="269" spans="16:19" ht="15.75" customHeight="1" x14ac:dyDescent="0.25">
      <c r="P269" s="21"/>
      <c r="R269" s="8"/>
      <c r="S269" s="8"/>
    </row>
    <row r="270" spans="16:19" ht="15.75" customHeight="1" x14ac:dyDescent="0.25">
      <c r="P270" s="21"/>
      <c r="R270" s="8"/>
      <c r="S270" s="8"/>
    </row>
    <row r="271" spans="16:19" ht="15.75" customHeight="1" x14ac:dyDescent="0.25">
      <c r="P271" s="21"/>
      <c r="R271" s="8"/>
      <c r="S271" s="8"/>
    </row>
    <row r="272" spans="16:19" ht="15.75" customHeight="1" x14ac:dyDescent="0.25">
      <c r="P272" s="21"/>
      <c r="R272" s="8"/>
      <c r="S272" s="8"/>
    </row>
    <row r="273" spans="16:19" ht="15.75" customHeight="1" x14ac:dyDescent="0.25">
      <c r="P273" s="21"/>
      <c r="R273" s="8"/>
      <c r="S273" s="8"/>
    </row>
    <row r="274" spans="16:19" ht="15.75" customHeight="1" x14ac:dyDescent="0.25">
      <c r="P274" s="21"/>
      <c r="R274" s="8"/>
      <c r="S274" s="8"/>
    </row>
    <row r="275" spans="16:19" ht="15.75" customHeight="1" x14ac:dyDescent="0.25">
      <c r="P275" s="21"/>
      <c r="R275" s="8"/>
      <c r="S275" s="8"/>
    </row>
    <row r="276" spans="16:19" ht="15.75" customHeight="1" x14ac:dyDescent="0.25">
      <c r="P276" s="21"/>
      <c r="R276" s="8"/>
      <c r="S276" s="8"/>
    </row>
    <row r="277" spans="16:19" ht="15.75" customHeight="1" x14ac:dyDescent="0.25">
      <c r="P277" s="21"/>
      <c r="R277" s="8"/>
      <c r="S277" s="8"/>
    </row>
    <row r="278" spans="16:19" ht="15.75" customHeight="1" x14ac:dyDescent="0.25">
      <c r="P278" s="21"/>
      <c r="R278" s="8"/>
      <c r="S278" s="8"/>
    </row>
    <row r="279" spans="16:19" ht="15.75" customHeight="1" x14ac:dyDescent="0.25">
      <c r="P279" s="21"/>
      <c r="R279" s="8"/>
      <c r="S279" s="8"/>
    </row>
    <row r="280" spans="16:19" ht="15.75" customHeight="1" x14ac:dyDescent="0.25">
      <c r="P280" s="21"/>
      <c r="R280" s="8"/>
      <c r="S280" s="8"/>
    </row>
    <row r="281" spans="16:19" ht="15.75" customHeight="1" x14ac:dyDescent="0.25">
      <c r="P281" s="21"/>
      <c r="R281" s="8"/>
      <c r="S281" s="8"/>
    </row>
    <row r="282" spans="16:19" ht="15.75" customHeight="1" x14ac:dyDescent="0.25">
      <c r="P282" s="21"/>
      <c r="R282" s="8"/>
      <c r="S282" s="8"/>
    </row>
    <row r="283" spans="16:19" ht="15.75" customHeight="1" x14ac:dyDescent="0.25">
      <c r="P283" s="21"/>
      <c r="R283" s="8"/>
      <c r="S283" s="8"/>
    </row>
    <row r="284" spans="16:19" ht="15.75" customHeight="1" x14ac:dyDescent="0.25">
      <c r="P284" s="21"/>
      <c r="R284" s="8"/>
      <c r="S284" s="8"/>
    </row>
    <row r="285" spans="16:19" ht="15.75" customHeight="1" x14ac:dyDescent="0.25">
      <c r="P285" s="21"/>
      <c r="R285" s="8"/>
      <c r="S285" s="8"/>
    </row>
    <row r="286" spans="16:19" ht="15.75" customHeight="1" x14ac:dyDescent="0.25">
      <c r="P286" s="21"/>
      <c r="R286" s="8"/>
      <c r="S286" s="8"/>
    </row>
    <row r="287" spans="16:19" ht="15.75" customHeight="1" x14ac:dyDescent="0.25">
      <c r="P287" s="21"/>
      <c r="R287" s="8"/>
      <c r="S287" s="8"/>
    </row>
    <row r="288" spans="16:19" ht="15.75" customHeight="1" x14ac:dyDescent="0.25">
      <c r="P288" s="21"/>
      <c r="R288" s="8"/>
      <c r="S288" s="8"/>
    </row>
    <row r="289" spans="16:19" ht="15.75" customHeight="1" x14ac:dyDescent="0.25">
      <c r="P289" s="21"/>
      <c r="R289" s="8"/>
      <c r="S289" s="8"/>
    </row>
    <row r="290" spans="16:19" ht="15.75" customHeight="1" x14ac:dyDescent="0.25">
      <c r="P290" s="21"/>
      <c r="R290" s="8"/>
      <c r="S290" s="8"/>
    </row>
    <row r="291" spans="16:19" ht="15.75" customHeight="1" x14ac:dyDescent="0.25">
      <c r="P291" s="21"/>
      <c r="R291" s="8"/>
      <c r="S291" s="8"/>
    </row>
    <row r="292" spans="16:19" ht="15.75" customHeight="1" x14ac:dyDescent="0.25">
      <c r="P292" s="21"/>
      <c r="R292" s="8"/>
      <c r="S292" s="8"/>
    </row>
    <row r="293" spans="16:19" ht="15.75" customHeight="1" x14ac:dyDescent="0.25">
      <c r="P293" s="21"/>
      <c r="R293" s="8"/>
      <c r="S293" s="8"/>
    </row>
    <row r="294" spans="16:19" ht="15.75" customHeight="1" x14ac:dyDescent="0.25">
      <c r="P294" s="21"/>
      <c r="R294" s="8"/>
      <c r="S294" s="8"/>
    </row>
    <row r="295" spans="16:19" ht="15.75" customHeight="1" x14ac:dyDescent="0.25">
      <c r="P295" s="21"/>
      <c r="R295" s="8"/>
      <c r="S295" s="8"/>
    </row>
    <row r="296" spans="16:19" ht="15.75" customHeight="1" x14ac:dyDescent="0.25">
      <c r="P296" s="21"/>
      <c r="R296" s="8"/>
      <c r="S296" s="8"/>
    </row>
    <row r="297" spans="16:19" ht="15.75" customHeight="1" x14ac:dyDescent="0.25">
      <c r="P297" s="21"/>
      <c r="R297" s="8"/>
      <c r="S297" s="8"/>
    </row>
    <row r="298" spans="16:19" ht="15.75" customHeight="1" x14ac:dyDescent="0.25">
      <c r="P298" s="21"/>
      <c r="R298" s="8"/>
      <c r="S298" s="8"/>
    </row>
    <row r="299" spans="16:19" ht="15.75" customHeight="1" x14ac:dyDescent="0.25">
      <c r="P299" s="21"/>
      <c r="R299" s="8"/>
      <c r="S299" s="8"/>
    </row>
    <row r="300" spans="16:19" ht="15.75" customHeight="1" x14ac:dyDescent="0.25">
      <c r="P300" s="21"/>
      <c r="R300" s="8"/>
      <c r="S300" s="8"/>
    </row>
    <row r="301" spans="16:19" ht="15.75" customHeight="1" x14ac:dyDescent="0.25">
      <c r="P301" s="21"/>
      <c r="R301" s="8"/>
      <c r="S301" s="8"/>
    </row>
    <row r="302" spans="16:19" ht="15.75" customHeight="1" x14ac:dyDescent="0.25">
      <c r="P302" s="21"/>
      <c r="R302" s="8"/>
      <c r="S302" s="8"/>
    </row>
    <row r="303" spans="16:19" ht="15.75" customHeight="1" x14ac:dyDescent="0.25">
      <c r="P303" s="21"/>
      <c r="R303" s="8"/>
      <c r="S303" s="8"/>
    </row>
    <row r="304" spans="16:19" ht="15.75" customHeight="1" x14ac:dyDescent="0.25">
      <c r="P304" s="21"/>
      <c r="R304" s="8"/>
      <c r="S304" s="8"/>
    </row>
    <row r="305" spans="16:19" ht="15.75" customHeight="1" x14ac:dyDescent="0.25">
      <c r="P305" s="21"/>
      <c r="R305" s="8"/>
      <c r="S305" s="8"/>
    </row>
    <row r="306" spans="16:19" ht="15.75" customHeight="1" x14ac:dyDescent="0.25">
      <c r="P306" s="21"/>
      <c r="R306" s="8"/>
      <c r="S306" s="8"/>
    </row>
    <row r="307" spans="16:19" ht="15.75" customHeight="1" x14ac:dyDescent="0.25">
      <c r="P307" s="21"/>
      <c r="R307" s="8"/>
      <c r="S307" s="8"/>
    </row>
    <row r="308" spans="16:19" ht="15.75" customHeight="1" x14ac:dyDescent="0.25">
      <c r="P308" s="21"/>
      <c r="R308" s="8"/>
      <c r="S308" s="8"/>
    </row>
    <row r="309" spans="16:19" ht="15.75" customHeight="1" x14ac:dyDescent="0.25">
      <c r="P309" s="21"/>
      <c r="R309" s="8"/>
      <c r="S309" s="8"/>
    </row>
    <row r="310" spans="16:19" ht="15.75" customHeight="1" x14ac:dyDescent="0.25">
      <c r="P310" s="21"/>
      <c r="R310" s="8"/>
      <c r="S310" s="8"/>
    </row>
    <row r="311" spans="16:19" ht="15.75" customHeight="1" x14ac:dyDescent="0.25">
      <c r="P311" s="21"/>
      <c r="R311" s="8"/>
      <c r="S311" s="8"/>
    </row>
    <row r="312" spans="16:19" ht="15.75" customHeight="1" x14ac:dyDescent="0.25">
      <c r="P312" s="21"/>
      <c r="R312" s="8"/>
      <c r="S312" s="8"/>
    </row>
    <row r="313" spans="16:19" ht="15.75" customHeight="1" x14ac:dyDescent="0.25">
      <c r="P313" s="21"/>
      <c r="R313" s="8"/>
      <c r="S313" s="8"/>
    </row>
    <row r="314" spans="16:19" ht="15.75" customHeight="1" x14ac:dyDescent="0.25">
      <c r="P314" s="21"/>
      <c r="R314" s="8"/>
      <c r="S314" s="8"/>
    </row>
    <row r="315" spans="16:19" ht="15.75" customHeight="1" x14ac:dyDescent="0.25">
      <c r="P315" s="21"/>
      <c r="R315" s="8"/>
      <c r="S315" s="8"/>
    </row>
    <row r="316" spans="16:19" ht="15.75" customHeight="1" x14ac:dyDescent="0.25">
      <c r="P316" s="21"/>
      <c r="R316" s="8"/>
      <c r="S316" s="8"/>
    </row>
    <row r="317" spans="16:19" ht="15.75" customHeight="1" x14ac:dyDescent="0.25">
      <c r="P317" s="21"/>
      <c r="R317" s="8"/>
      <c r="S317" s="8"/>
    </row>
    <row r="318" spans="16:19" ht="15.75" customHeight="1" x14ac:dyDescent="0.25">
      <c r="P318" s="21"/>
      <c r="R318" s="8"/>
      <c r="S318" s="8"/>
    </row>
    <row r="319" spans="16:19" ht="15.75" customHeight="1" x14ac:dyDescent="0.25">
      <c r="P319" s="21"/>
      <c r="R319" s="8"/>
      <c r="S319" s="8"/>
    </row>
    <row r="320" spans="16:19" ht="15.75" customHeight="1" x14ac:dyDescent="0.25">
      <c r="P320" s="21"/>
      <c r="R320" s="8"/>
      <c r="S320" s="8"/>
    </row>
    <row r="321" spans="16:19" ht="15.75" customHeight="1" x14ac:dyDescent="0.25">
      <c r="P321" s="21"/>
      <c r="R321" s="8"/>
      <c r="S321" s="8"/>
    </row>
    <row r="322" spans="16:19" ht="15.75" customHeight="1" x14ac:dyDescent="0.25">
      <c r="P322" s="21"/>
      <c r="R322" s="8"/>
      <c r="S322" s="8"/>
    </row>
    <row r="323" spans="16:19" ht="15.75" customHeight="1" x14ac:dyDescent="0.25">
      <c r="P323" s="21"/>
      <c r="R323" s="8"/>
      <c r="S323" s="8"/>
    </row>
    <row r="324" spans="16:19" ht="15.75" customHeight="1" x14ac:dyDescent="0.25">
      <c r="P324" s="21"/>
      <c r="R324" s="8"/>
      <c r="S324" s="8"/>
    </row>
    <row r="325" spans="16:19" ht="15.75" customHeight="1" x14ac:dyDescent="0.25">
      <c r="P325" s="21"/>
      <c r="R325" s="8"/>
      <c r="S325" s="8"/>
    </row>
    <row r="326" spans="16:19" ht="15.75" customHeight="1" x14ac:dyDescent="0.25">
      <c r="P326" s="21"/>
      <c r="R326" s="8"/>
      <c r="S326" s="8"/>
    </row>
    <row r="327" spans="16:19" ht="15.75" customHeight="1" x14ac:dyDescent="0.25">
      <c r="P327" s="21"/>
      <c r="R327" s="8"/>
      <c r="S327" s="8"/>
    </row>
    <row r="328" spans="16:19" ht="15.75" customHeight="1" x14ac:dyDescent="0.25">
      <c r="P328" s="21"/>
      <c r="R328" s="8"/>
      <c r="S328" s="8"/>
    </row>
    <row r="329" spans="16:19" ht="15.75" customHeight="1" x14ac:dyDescent="0.25">
      <c r="P329" s="21"/>
      <c r="R329" s="8"/>
      <c r="S329" s="8"/>
    </row>
    <row r="330" spans="16:19" ht="15.75" customHeight="1" x14ac:dyDescent="0.25">
      <c r="P330" s="21"/>
      <c r="R330" s="8"/>
      <c r="S330" s="8"/>
    </row>
    <row r="331" spans="16:19" ht="15.75" customHeight="1" x14ac:dyDescent="0.25">
      <c r="P331" s="21"/>
      <c r="R331" s="8"/>
      <c r="S331" s="8"/>
    </row>
    <row r="332" spans="16:19" ht="15.75" customHeight="1" x14ac:dyDescent="0.25">
      <c r="P332" s="21"/>
      <c r="R332" s="8"/>
      <c r="S332" s="8"/>
    </row>
    <row r="333" spans="16:19" ht="15.75" customHeight="1" x14ac:dyDescent="0.25">
      <c r="P333" s="21"/>
      <c r="R333" s="8"/>
      <c r="S333" s="8"/>
    </row>
    <row r="334" spans="16:19" ht="15.75" customHeight="1" x14ac:dyDescent="0.25">
      <c r="P334" s="21"/>
      <c r="R334" s="8"/>
      <c r="S334" s="8"/>
    </row>
    <row r="335" spans="16:19" ht="15.75" customHeight="1" x14ac:dyDescent="0.25">
      <c r="P335" s="21"/>
      <c r="R335" s="8"/>
      <c r="S335" s="8"/>
    </row>
    <row r="336" spans="16:19" ht="15.75" customHeight="1" x14ac:dyDescent="0.25">
      <c r="P336" s="21"/>
      <c r="R336" s="8"/>
      <c r="S336" s="8"/>
    </row>
    <row r="337" spans="16:19" ht="15.75" customHeight="1" x14ac:dyDescent="0.25">
      <c r="P337" s="21"/>
      <c r="R337" s="8"/>
      <c r="S337" s="8"/>
    </row>
    <row r="338" spans="16:19" ht="15.75" customHeight="1" x14ac:dyDescent="0.25">
      <c r="P338" s="21"/>
      <c r="R338" s="8"/>
      <c r="S338" s="8"/>
    </row>
    <row r="339" spans="16:19" ht="15.75" customHeight="1" x14ac:dyDescent="0.25">
      <c r="P339" s="21"/>
      <c r="R339" s="8"/>
      <c r="S339" s="8"/>
    </row>
    <row r="340" spans="16:19" ht="15.75" customHeight="1" x14ac:dyDescent="0.25">
      <c r="P340" s="21"/>
      <c r="R340" s="8"/>
      <c r="S340" s="8"/>
    </row>
    <row r="341" spans="16:19" ht="15.75" customHeight="1" x14ac:dyDescent="0.25">
      <c r="P341" s="21"/>
      <c r="R341" s="8"/>
      <c r="S341" s="8"/>
    </row>
    <row r="342" spans="16:19" ht="15.75" customHeight="1" x14ac:dyDescent="0.25">
      <c r="P342" s="21"/>
      <c r="R342" s="8"/>
      <c r="S342" s="8"/>
    </row>
    <row r="343" spans="16:19" ht="15.75" customHeight="1" x14ac:dyDescent="0.25">
      <c r="P343" s="21"/>
      <c r="R343" s="8"/>
      <c r="S343" s="8"/>
    </row>
    <row r="344" spans="16:19" ht="15.75" customHeight="1" x14ac:dyDescent="0.25">
      <c r="P344" s="21"/>
      <c r="R344" s="8"/>
      <c r="S344" s="8"/>
    </row>
    <row r="345" spans="16:19" ht="15.75" customHeight="1" x14ac:dyDescent="0.25">
      <c r="P345" s="21"/>
      <c r="R345" s="8"/>
      <c r="S345" s="8"/>
    </row>
    <row r="346" spans="16:19" ht="15.75" customHeight="1" x14ac:dyDescent="0.25">
      <c r="P346" s="21"/>
      <c r="R346" s="8"/>
      <c r="S346" s="8"/>
    </row>
    <row r="347" spans="16:19" ht="15.75" customHeight="1" x14ac:dyDescent="0.25">
      <c r="P347" s="21"/>
      <c r="R347" s="8"/>
      <c r="S347" s="8"/>
    </row>
    <row r="348" spans="16:19" ht="15.75" customHeight="1" x14ac:dyDescent="0.25">
      <c r="P348" s="21"/>
      <c r="R348" s="8"/>
      <c r="S348" s="8"/>
    </row>
    <row r="349" spans="16:19" ht="15.75" customHeight="1" x14ac:dyDescent="0.25">
      <c r="P349" s="21"/>
      <c r="R349" s="8"/>
      <c r="S349" s="8"/>
    </row>
    <row r="350" spans="16:19" ht="15.75" customHeight="1" x14ac:dyDescent="0.25">
      <c r="P350" s="21"/>
      <c r="R350" s="8"/>
      <c r="S350" s="8"/>
    </row>
    <row r="351" spans="16:19" ht="15.75" customHeight="1" x14ac:dyDescent="0.25">
      <c r="P351" s="21"/>
      <c r="R351" s="8"/>
      <c r="S351" s="8"/>
    </row>
    <row r="352" spans="16:19" ht="15.75" customHeight="1" x14ac:dyDescent="0.25">
      <c r="P352" s="21"/>
      <c r="R352" s="8"/>
      <c r="S352" s="8"/>
    </row>
    <row r="353" spans="16:19" ht="15.75" customHeight="1" x14ac:dyDescent="0.25">
      <c r="P353" s="21"/>
      <c r="R353" s="8"/>
      <c r="S353" s="8"/>
    </row>
    <row r="354" spans="16:19" ht="15.75" customHeight="1" x14ac:dyDescent="0.25">
      <c r="P354" s="21"/>
      <c r="R354" s="8"/>
      <c r="S354" s="8"/>
    </row>
    <row r="355" spans="16:19" ht="15.75" customHeight="1" x14ac:dyDescent="0.25">
      <c r="P355" s="21"/>
      <c r="R355" s="8"/>
      <c r="S355" s="8"/>
    </row>
    <row r="356" spans="16:19" ht="15.75" customHeight="1" x14ac:dyDescent="0.25">
      <c r="P356" s="21"/>
      <c r="R356" s="8"/>
      <c r="S356" s="8"/>
    </row>
    <row r="357" spans="16:19" ht="15.75" customHeight="1" x14ac:dyDescent="0.25">
      <c r="P357" s="21"/>
      <c r="R357" s="8"/>
      <c r="S357" s="8"/>
    </row>
    <row r="358" spans="16:19" ht="15.75" customHeight="1" x14ac:dyDescent="0.25">
      <c r="P358" s="21"/>
      <c r="R358" s="8"/>
      <c r="S358" s="8"/>
    </row>
    <row r="359" spans="16:19" ht="15.75" customHeight="1" x14ac:dyDescent="0.25">
      <c r="P359" s="21"/>
      <c r="R359" s="8"/>
      <c r="S359" s="8"/>
    </row>
    <row r="360" spans="16:19" ht="15.75" customHeight="1" x14ac:dyDescent="0.25">
      <c r="P360" s="21"/>
      <c r="R360" s="8"/>
      <c r="S360" s="8"/>
    </row>
    <row r="361" spans="16:19" ht="15.75" customHeight="1" x14ac:dyDescent="0.25">
      <c r="P361" s="21"/>
      <c r="R361" s="8"/>
      <c r="S361" s="8"/>
    </row>
    <row r="362" spans="16:19" ht="15.75" customHeight="1" x14ac:dyDescent="0.25">
      <c r="P362" s="21"/>
      <c r="R362" s="8"/>
      <c r="S362" s="8"/>
    </row>
    <row r="363" spans="16:19" ht="15.75" customHeight="1" x14ac:dyDescent="0.25">
      <c r="P363" s="21"/>
      <c r="R363" s="8"/>
      <c r="S363" s="8"/>
    </row>
    <row r="364" spans="16:19" ht="15.75" customHeight="1" x14ac:dyDescent="0.25">
      <c r="P364" s="21"/>
      <c r="R364" s="8"/>
      <c r="S364" s="8"/>
    </row>
    <row r="365" spans="16:19" ht="15.75" customHeight="1" x14ac:dyDescent="0.25">
      <c r="P365" s="21"/>
      <c r="R365" s="8"/>
      <c r="S365" s="8"/>
    </row>
    <row r="366" spans="16:19" ht="15.75" customHeight="1" x14ac:dyDescent="0.25">
      <c r="P366" s="21"/>
      <c r="R366" s="8"/>
      <c r="S366" s="8"/>
    </row>
    <row r="367" spans="16:19" ht="15.75" customHeight="1" x14ac:dyDescent="0.25">
      <c r="P367" s="21"/>
      <c r="R367" s="8"/>
      <c r="S367" s="8"/>
    </row>
    <row r="368" spans="16:19" ht="15.75" customHeight="1" x14ac:dyDescent="0.25">
      <c r="P368" s="21"/>
      <c r="R368" s="8"/>
      <c r="S368" s="8"/>
    </row>
    <row r="369" spans="16:19" ht="15.75" customHeight="1" x14ac:dyDescent="0.25">
      <c r="P369" s="21"/>
      <c r="R369" s="8"/>
      <c r="S369" s="8"/>
    </row>
    <row r="370" spans="16:19" ht="15.75" customHeight="1" x14ac:dyDescent="0.25">
      <c r="P370" s="21"/>
      <c r="R370" s="8"/>
      <c r="S370" s="8"/>
    </row>
    <row r="371" spans="16:19" ht="15.75" customHeight="1" x14ac:dyDescent="0.25">
      <c r="P371" s="21"/>
      <c r="R371" s="8"/>
      <c r="S371" s="8"/>
    </row>
    <row r="372" spans="16:19" ht="15.75" customHeight="1" x14ac:dyDescent="0.25">
      <c r="P372" s="21"/>
      <c r="R372" s="8"/>
      <c r="S372" s="8"/>
    </row>
    <row r="373" spans="16:19" ht="15.75" customHeight="1" x14ac:dyDescent="0.25">
      <c r="P373" s="21"/>
      <c r="R373" s="8"/>
      <c r="S373" s="8"/>
    </row>
    <row r="374" spans="16:19" ht="15.75" customHeight="1" x14ac:dyDescent="0.25">
      <c r="P374" s="21"/>
      <c r="R374" s="8"/>
      <c r="S374" s="8"/>
    </row>
    <row r="375" spans="16:19" ht="15.75" customHeight="1" x14ac:dyDescent="0.25">
      <c r="P375" s="21"/>
      <c r="R375" s="8"/>
      <c r="S375" s="8"/>
    </row>
    <row r="376" spans="16:19" ht="15.75" customHeight="1" x14ac:dyDescent="0.25">
      <c r="P376" s="21"/>
      <c r="R376" s="8"/>
      <c r="S376" s="8"/>
    </row>
    <row r="377" spans="16:19" ht="15.75" customHeight="1" x14ac:dyDescent="0.25">
      <c r="P377" s="21"/>
      <c r="R377" s="8"/>
      <c r="S377" s="8"/>
    </row>
    <row r="378" spans="16:19" ht="15.75" customHeight="1" x14ac:dyDescent="0.25">
      <c r="P378" s="21"/>
      <c r="R378" s="8"/>
      <c r="S378" s="8"/>
    </row>
    <row r="379" spans="16:19" ht="15.75" customHeight="1" x14ac:dyDescent="0.25">
      <c r="P379" s="21"/>
      <c r="R379" s="8"/>
      <c r="S379" s="8"/>
    </row>
    <row r="380" spans="16:19" ht="15.75" customHeight="1" x14ac:dyDescent="0.25">
      <c r="P380" s="21"/>
      <c r="R380" s="8"/>
      <c r="S380" s="8"/>
    </row>
    <row r="381" spans="16:19" ht="15.75" customHeight="1" x14ac:dyDescent="0.25">
      <c r="P381" s="21"/>
      <c r="R381" s="8"/>
      <c r="S381" s="8"/>
    </row>
    <row r="382" spans="16:19" ht="15.75" customHeight="1" x14ac:dyDescent="0.25">
      <c r="P382" s="21"/>
      <c r="R382" s="8"/>
      <c r="S382" s="8"/>
    </row>
    <row r="383" spans="16:19" ht="15.75" customHeight="1" x14ac:dyDescent="0.25">
      <c r="P383" s="21"/>
      <c r="R383" s="8"/>
      <c r="S383" s="8"/>
    </row>
    <row r="384" spans="16:19" ht="15.75" customHeight="1" x14ac:dyDescent="0.25">
      <c r="P384" s="21"/>
      <c r="R384" s="8"/>
      <c r="S384" s="8"/>
    </row>
    <row r="385" spans="16:19" ht="15.75" customHeight="1" x14ac:dyDescent="0.25">
      <c r="P385" s="21"/>
      <c r="R385" s="8"/>
      <c r="S385" s="8"/>
    </row>
    <row r="386" spans="16:19" ht="15.75" customHeight="1" x14ac:dyDescent="0.25">
      <c r="P386" s="21"/>
      <c r="R386" s="8"/>
      <c r="S386" s="8"/>
    </row>
    <row r="387" spans="16:19" ht="15.75" customHeight="1" x14ac:dyDescent="0.25">
      <c r="P387" s="21"/>
      <c r="R387" s="8"/>
      <c r="S387" s="8"/>
    </row>
    <row r="388" spans="16:19" ht="15.75" customHeight="1" x14ac:dyDescent="0.25">
      <c r="P388" s="21"/>
      <c r="R388" s="8"/>
      <c r="S388" s="8"/>
    </row>
    <row r="389" spans="16:19" ht="15.75" customHeight="1" x14ac:dyDescent="0.25">
      <c r="P389" s="21"/>
      <c r="R389" s="8"/>
      <c r="S389" s="8"/>
    </row>
    <row r="390" spans="16:19" ht="15.75" customHeight="1" x14ac:dyDescent="0.25">
      <c r="P390" s="21"/>
      <c r="R390" s="8"/>
      <c r="S390" s="8"/>
    </row>
    <row r="391" spans="16:19" ht="15.75" customHeight="1" x14ac:dyDescent="0.25">
      <c r="P391" s="21"/>
      <c r="R391" s="8"/>
      <c r="S391" s="8"/>
    </row>
    <row r="392" spans="16:19" ht="15.75" customHeight="1" x14ac:dyDescent="0.25">
      <c r="P392" s="21"/>
      <c r="R392" s="8"/>
      <c r="S392" s="8"/>
    </row>
    <row r="393" spans="16:19" ht="15.75" customHeight="1" x14ac:dyDescent="0.25">
      <c r="P393" s="21"/>
      <c r="R393" s="8"/>
      <c r="S393" s="8"/>
    </row>
    <row r="394" spans="16:19" ht="15.75" customHeight="1" x14ac:dyDescent="0.25">
      <c r="P394" s="21"/>
      <c r="R394" s="8"/>
      <c r="S394" s="8"/>
    </row>
    <row r="395" spans="16:19" ht="15.75" customHeight="1" x14ac:dyDescent="0.25">
      <c r="P395" s="21"/>
      <c r="R395" s="8"/>
      <c r="S395" s="8"/>
    </row>
    <row r="396" spans="16:19" ht="15.75" customHeight="1" x14ac:dyDescent="0.25">
      <c r="P396" s="21"/>
      <c r="R396" s="8"/>
      <c r="S396" s="8"/>
    </row>
    <row r="397" spans="16:19" ht="15.75" customHeight="1" x14ac:dyDescent="0.25">
      <c r="P397" s="21"/>
      <c r="R397" s="8"/>
      <c r="S397" s="8"/>
    </row>
    <row r="398" spans="16:19" ht="15.75" customHeight="1" x14ac:dyDescent="0.25">
      <c r="P398" s="21"/>
      <c r="R398" s="8"/>
      <c r="S398" s="8"/>
    </row>
    <row r="399" spans="16:19" ht="15.75" customHeight="1" x14ac:dyDescent="0.25">
      <c r="P399" s="21"/>
      <c r="R399" s="8"/>
      <c r="S399" s="8"/>
    </row>
    <row r="400" spans="16:19" ht="15.75" customHeight="1" x14ac:dyDescent="0.25">
      <c r="P400" s="21"/>
      <c r="R400" s="8"/>
      <c r="S400" s="8"/>
    </row>
    <row r="401" spans="16:19" ht="15.75" customHeight="1" x14ac:dyDescent="0.25">
      <c r="P401" s="21"/>
      <c r="R401" s="8"/>
      <c r="S401" s="8"/>
    </row>
    <row r="402" spans="16:19" ht="15.75" customHeight="1" x14ac:dyDescent="0.25">
      <c r="P402" s="21"/>
      <c r="R402" s="8"/>
      <c r="S402" s="8"/>
    </row>
    <row r="403" spans="16:19" ht="15.75" customHeight="1" x14ac:dyDescent="0.25">
      <c r="P403" s="21"/>
      <c r="R403" s="8"/>
      <c r="S403" s="8"/>
    </row>
    <row r="404" spans="16:19" ht="15.75" customHeight="1" x14ac:dyDescent="0.25">
      <c r="P404" s="21"/>
      <c r="R404" s="8"/>
      <c r="S404" s="8"/>
    </row>
    <row r="405" spans="16:19" ht="15.75" customHeight="1" x14ac:dyDescent="0.25">
      <c r="P405" s="21"/>
      <c r="R405" s="8"/>
      <c r="S405" s="8"/>
    </row>
    <row r="406" spans="16:19" ht="15.75" customHeight="1" x14ac:dyDescent="0.25">
      <c r="P406" s="21"/>
      <c r="R406" s="8"/>
      <c r="S406" s="8"/>
    </row>
    <row r="407" spans="16:19" ht="15.75" customHeight="1" x14ac:dyDescent="0.25">
      <c r="P407" s="21"/>
      <c r="R407" s="8"/>
      <c r="S407" s="8"/>
    </row>
    <row r="408" spans="16:19" ht="15.75" customHeight="1" x14ac:dyDescent="0.25">
      <c r="P408" s="21"/>
      <c r="R408" s="8"/>
      <c r="S408" s="8"/>
    </row>
    <row r="409" spans="16:19" ht="15.75" customHeight="1" x14ac:dyDescent="0.25">
      <c r="P409" s="21"/>
      <c r="R409" s="8"/>
      <c r="S409" s="8"/>
    </row>
    <row r="410" spans="16:19" ht="15.75" customHeight="1" x14ac:dyDescent="0.25">
      <c r="P410" s="21"/>
      <c r="R410" s="8"/>
      <c r="S410" s="8"/>
    </row>
    <row r="411" spans="16:19" ht="15.75" customHeight="1" x14ac:dyDescent="0.25">
      <c r="P411" s="21"/>
      <c r="R411" s="8"/>
      <c r="S411" s="8"/>
    </row>
    <row r="412" spans="16:19" ht="15.75" customHeight="1" x14ac:dyDescent="0.25">
      <c r="P412" s="21"/>
      <c r="R412" s="8"/>
      <c r="S412" s="8"/>
    </row>
    <row r="413" spans="16:19" ht="15.75" customHeight="1" x14ac:dyDescent="0.25">
      <c r="P413" s="21"/>
      <c r="R413" s="8"/>
      <c r="S413" s="8"/>
    </row>
    <row r="414" spans="16:19" ht="15.75" customHeight="1" x14ac:dyDescent="0.25">
      <c r="P414" s="21"/>
      <c r="R414" s="8"/>
      <c r="S414" s="8"/>
    </row>
    <row r="415" spans="16:19" ht="15.75" customHeight="1" x14ac:dyDescent="0.25">
      <c r="P415" s="21"/>
      <c r="R415" s="8"/>
      <c r="S415" s="8"/>
    </row>
    <row r="416" spans="16:19" ht="15.75" customHeight="1" x14ac:dyDescent="0.25">
      <c r="P416" s="21"/>
      <c r="R416" s="8"/>
      <c r="S416" s="8"/>
    </row>
    <row r="417" spans="16:19" ht="15.75" customHeight="1" x14ac:dyDescent="0.25">
      <c r="P417" s="21"/>
      <c r="R417" s="8"/>
      <c r="S417" s="8"/>
    </row>
    <row r="418" spans="16:19" ht="15.75" customHeight="1" x14ac:dyDescent="0.25">
      <c r="P418" s="21"/>
      <c r="R418" s="8"/>
      <c r="S418" s="8"/>
    </row>
    <row r="419" spans="16:19" ht="15.75" customHeight="1" x14ac:dyDescent="0.25">
      <c r="P419" s="21"/>
      <c r="R419" s="8"/>
      <c r="S419" s="8"/>
    </row>
    <row r="420" spans="16:19" ht="15.75" customHeight="1" x14ac:dyDescent="0.25">
      <c r="P420" s="21"/>
      <c r="R420" s="8"/>
      <c r="S420" s="8"/>
    </row>
    <row r="421" spans="16:19" ht="15.75" customHeight="1" x14ac:dyDescent="0.25">
      <c r="P421" s="21"/>
      <c r="R421" s="8"/>
      <c r="S421" s="8"/>
    </row>
    <row r="422" spans="16:19" ht="15.75" customHeight="1" x14ac:dyDescent="0.25">
      <c r="P422" s="21"/>
      <c r="R422" s="8"/>
      <c r="S422" s="8"/>
    </row>
    <row r="423" spans="16:19" ht="15.75" customHeight="1" x14ac:dyDescent="0.25">
      <c r="P423" s="21"/>
      <c r="R423" s="8"/>
      <c r="S423" s="8"/>
    </row>
    <row r="424" spans="16:19" ht="15.75" customHeight="1" x14ac:dyDescent="0.25">
      <c r="P424" s="21"/>
      <c r="R424" s="8"/>
      <c r="S424" s="8"/>
    </row>
    <row r="425" spans="16:19" ht="15.75" customHeight="1" x14ac:dyDescent="0.25">
      <c r="P425" s="21"/>
      <c r="R425" s="8"/>
      <c r="S425" s="8"/>
    </row>
    <row r="426" spans="16:19" ht="15.75" customHeight="1" x14ac:dyDescent="0.25">
      <c r="P426" s="21"/>
      <c r="R426" s="8"/>
      <c r="S426" s="8"/>
    </row>
    <row r="427" spans="16:19" ht="15.75" customHeight="1" x14ac:dyDescent="0.25">
      <c r="P427" s="21"/>
      <c r="R427" s="8"/>
      <c r="S427" s="8"/>
    </row>
    <row r="428" spans="16:19" ht="15.75" customHeight="1" x14ac:dyDescent="0.25">
      <c r="P428" s="21"/>
      <c r="R428" s="8"/>
      <c r="S428" s="8"/>
    </row>
    <row r="429" spans="16:19" ht="15.75" customHeight="1" x14ac:dyDescent="0.25">
      <c r="P429" s="21"/>
      <c r="R429" s="8"/>
      <c r="S429" s="8"/>
    </row>
    <row r="430" spans="16:19" ht="15.75" customHeight="1" x14ac:dyDescent="0.25">
      <c r="P430" s="21"/>
      <c r="R430" s="8"/>
      <c r="S430" s="8"/>
    </row>
    <row r="431" spans="16:19" ht="15.75" customHeight="1" x14ac:dyDescent="0.25">
      <c r="P431" s="21"/>
      <c r="R431" s="8"/>
      <c r="S431" s="8"/>
    </row>
    <row r="432" spans="16:19" ht="15.75" customHeight="1" x14ac:dyDescent="0.25">
      <c r="P432" s="21"/>
      <c r="R432" s="8"/>
      <c r="S432" s="8"/>
    </row>
    <row r="433" spans="16:19" ht="15.75" customHeight="1" x14ac:dyDescent="0.25">
      <c r="P433" s="21"/>
      <c r="R433" s="8"/>
      <c r="S433" s="8"/>
    </row>
    <row r="434" spans="16:19" ht="15.75" customHeight="1" x14ac:dyDescent="0.25">
      <c r="P434" s="21"/>
      <c r="R434" s="8"/>
      <c r="S434" s="8"/>
    </row>
    <row r="435" spans="16:19" ht="15.75" customHeight="1" x14ac:dyDescent="0.25">
      <c r="P435" s="21"/>
      <c r="R435" s="8"/>
      <c r="S435" s="8"/>
    </row>
    <row r="436" spans="16:19" ht="15.75" customHeight="1" x14ac:dyDescent="0.25">
      <c r="P436" s="21"/>
      <c r="R436" s="8"/>
      <c r="S436" s="8"/>
    </row>
    <row r="437" spans="16:19" ht="15.75" customHeight="1" x14ac:dyDescent="0.25">
      <c r="P437" s="21"/>
      <c r="R437" s="8"/>
      <c r="S437" s="8"/>
    </row>
    <row r="438" spans="16:19" ht="15.75" customHeight="1" x14ac:dyDescent="0.25">
      <c r="P438" s="21"/>
      <c r="R438" s="8"/>
      <c r="S438" s="8"/>
    </row>
    <row r="439" spans="16:19" ht="15.75" customHeight="1" x14ac:dyDescent="0.25">
      <c r="P439" s="21"/>
      <c r="R439" s="8"/>
      <c r="S439" s="8"/>
    </row>
    <row r="440" spans="16:19" ht="15.75" customHeight="1" x14ac:dyDescent="0.25">
      <c r="P440" s="21"/>
      <c r="R440" s="8"/>
      <c r="S440" s="8"/>
    </row>
    <row r="441" spans="16:19" ht="15.75" customHeight="1" x14ac:dyDescent="0.25">
      <c r="P441" s="21"/>
      <c r="R441" s="8"/>
      <c r="S441" s="8"/>
    </row>
    <row r="442" spans="16:19" ht="15.75" customHeight="1" x14ac:dyDescent="0.25">
      <c r="P442" s="21"/>
      <c r="R442" s="8"/>
      <c r="S442" s="8"/>
    </row>
    <row r="443" spans="16:19" ht="15.75" customHeight="1" x14ac:dyDescent="0.25">
      <c r="P443" s="21"/>
      <c r="R443" s="8"/>
      <c r="S443" s="8"/>
    </row>
    <row r="444" spans="16:19" ht="15.75" customHeight="1" x14ac:dyDescent="0.25">
      <c r="P444" s="21"/>
      <c r="R444" s="8"/>
      <c r="S444" s="8"/>
    </row>
    <row r="445" spans="16:19" ht="15.75" customHeight="1" x14ac:dyDescent="0.25">
      <c r="P445" s="21"/>
      <c r="R445" s="8"/>
      <c r="S445" s="8"/>
    </row>
    <row r="446" spans="16:19" ht="15.75" customHeight="1" x14ac:dyDescent="0.25">
      <c r="P446" s="21"/>
      <c r="R446" s="8"/>
      <c r="S446" s="8"/>
    </row>
    <row r="447" spans="16:19" ht="15.75" customHeight="1" x14ac:dyDescent="0.25">
      <c r="P447" s="21"/>
      <c r="R447" s="8"/>
      <c r="S447" s="8"/>
    </row>
    <row r="448" spans="16:19" ht="15.75" customHeight="1" x14ac:dyDescent="0.25">
      <c r="P448" s="21"/>
      <c r="R448" s="8"/>
      <c r="S448" s="8"/>
    </row>
    <row r="449" spans="16:19" ht="15.75" customHeight="1" x14ac:dyDescent="0.25">
      <c r="P449" s="21"/>
      <c r="R449" s="8"/>
      <c r="S449" s="8"/>
    </row>
    <row r="450" spans="16:19" ht="15.75" customHeight="1" x14ac:dyDescent="0.25">
      <c r="P450" s="21"/>
      <c r="R450" s="8"/>
      <c r="S450" s="8"/>
    </row>
    <row r="451" spans="16:19" ht="15.75" customHeight="1" x14ac:dyDescent="0.25">
      <c r="P451" s="21"/>
      <c r="R451" s="8"/>
      <c r="S451" s="8"/>
    </row>
    <row r="452" spans="16:19" ht="15.75" customHeight="1" x14ac:dyDescent="0.25">
      <c r="P452" s="21"/>
      <c r="R452" s="8"/>
      <c r="S452" s="8"/>
    </row>
    <row r="453" spans="16:19" ht="15.75" customHeight="1" x14ac:dyDescent="0.25">
      <c r="P453" s="21"/>
      <c r="R453" s="8"/>
      <c r="S453" s="8"/>
    </row>
    <row r="454" spans="16:19" ht="15.75" customHeight="1" x14ac:dyDescent="0.25">
      <c r="P454" s="21"/>
      <c r="R454" s="8"/>
      <c r="S454" s="8"/>
    </row>
    <row r="455" spans="16:19" ht="15.75" customHeight="1" x14ac:dyDescent="0.25">
      <c r="P455" s="21"/>
      <c r="R455" s="8"/>
      <c r="S455" s="8"/>
    </row>
    <row r="456" spans="16:19" ht="15.75" customHeight="1" x14ac:dyDescent="0.25">
      <c r="P456" s="21"/>
      <c r="R456" s="8"/>
      <c r="S456" s="8"/>
    </row>
    <row r="457" spans="16:19" ht="15.75" customHeight="1" x14ac:dyDescent="0.25">
      <c r="P457" s="21"/>
      <c r="R457" s="8"/>
      <c r="S457" s="8"/>
    </row>
    <row r="458" spans="16:19" ht="15.75" customHeight="1" x14ac:dyDescent="0.25">
      <c r="P458" s="21"/>
      <c r="R458" s="8"/>
      <c r="S458" s="8"/>
    </row>
    <row r="459" spans="16:19" ht="15.75" customHeight="1" x14ac:dyDescent="0.25">
      <c r="P459" s="21"/>
      <c r="R459" s="8"/>
      <c r="S459" s="8"/>
    </row>
    <row r="460" spans="16:19" ht="15.75" customHeight="1" x14ac:dyDescent="0.25">
      <c r="P460" s="21"/>
      <c r="R460" s="8"/>
      <c r="S460" s="8"/>
    </row>
    <row r="461" spans="16:19" ht="15.75" customHeight="1" x14ac:dyDescent="0.25">
      <c r="P461" s="21"/>
      <c r="R461" s="8"/>
      <c r="S461" s="8"/>
    </row>
    <row r="462" spans="16:19" ht="15.75" customHeight="1" x14ac:dyDescent="0.25">
      <c r="P462" s="21"/>
      <c r="R462" s="8"/>
      <c r="S462" s="8"/>
    </row>
    <row r="463" spans="16:19" ht="15.75" customHeight="1" x14ac:dyDescent="0.25">
      <c r="P463" s="21"/>
      <c r="R463" s="8"/>
      <c r="S463" s="8"/>
    </row>
    <row r="464" spans="16:19" ht="15.75" customHeight="1" x14ac:dyDescent="0.25">
      <c r="P464" s="21"/>
      <c r="R464" s="8"/>
      <c r="S464" s="8"/>
    </row>
    <row r="465" spans="16:19" ht="15.75" customHeight="1" x14ac:dyDescent="0.25">
      <c r="P465" s="21"/>
      <c r="R465" s="8"/>
      <c r="S465" s="8"/>
    </row>
    <row r="466" spans="16:19" ht="15.75" customHeight="1" x14ac:dyDescent="0.25">
      <c r="P466" s="21"/>
      <c r="R466" s="8"/>
      <c r="S466" s="8"/>
    </row>
    <row r="467" spans="16:19" ht="15.75" customHeight="1" x14ac:dyDescent="0.25">
      <c r="P467" s="21"/>
      <c r="R467" s="8"/>
      <c r="S467" s="8"/>
    </row>
    <row r="468" spans="16:19" ht="15.75" customHeight="1" x14ac:dyDescent="0.25">
      <c r="P468" s="21"/>
      <c r="R468" s="8"/>
      <c r="S468" s="8"/>
    </row>
    <row r="469" spans="16:19" ht="15.75" customHeight="1" x14ac:dyDescent="0.25">
      <c r="P469" s="21"/>
      <c r="R469" s="8"/>
      <c r="S469" s="8"/>
    </row>
    <row r="470" spans="16:19" ht="15.75" customHeight="1" x14ac:dyDescent="0.25">
      <c r="P470" s="21"/>
      <c r="R470" s="8"/>
      <c r="S470" s="8"/>
    </row>
    <row r="471" spans="16:19" ht="15.75" customHeight="1" x14ac:dyDescent="0.25">
      <c r="P471" s="21"/>
      <c r="R471" s="8"/>
      <c r="S471" s="8"/>
    </row>
    <row r="472" spans="16:19" ht="15.75" customHeight="1" x14ac:dyDescent="0.25">
      <c r="P472" s="21"/>
      <c r="R472" s="8"/>
      <c r="S472" s="8"/>
    </row>
    <row r="473" spans="16:19" ht="15.75" customHeight="1" x14ac:dyDescent="0.25">
      <c r="P473" s="21"/>
      <c r="R473" s="8"/>
      <c r="S473" s="8"/>
    </row>
    <row r="474" spans="16:19" ht="15.75" customHeight="1" x14ac:dyDescent="0.25">
      <c r="P474" s="21"/>
      <c r="R474" s="8"/>
      <c r="S474" s="8"/>
    </row>
    <row r="475" spans="16:19" ht="15.75" customHeight="1" x14ac:dyDescent="0.25">
      <c r="P475" s="21"/>
      <c r="R475" s="8"/>
      <c r="S475" s="8"/>
    </row>
    <row r="476" spans="16:19" ht="15.75" customHeight="1" x14ac:dyDescent="0.25">
      <c r="P476" s="21"/>
      <c r="R476" s="8"/>
      <c r="S476" s="8"/>
    </row>
    <row r="477" spans="16:19" ht="15.75" customHeight="1" x14ac:dyDescent="0.25">
      <c r="P477" s="21"/>
      <c r="R477" s="8"/>
      <c r="S477" s="8"/>
    </row>
    <row r="478" spans="16:19" ht="15.75" customHeight="1" x14ac:dyDescent="0.25">
      <c r="P478" s="21"/>
      <c r="R478" s="8"/>
      <c r="S478" s="8"/>
    </row>
    <row r="479" spans="16:19" ht="15.75" customHeight="1" x14ac:dyDescent="0.25">
      <c r="P479" s="21"/>
      <c r="R479" s="8"/>
      <c r="S479" s="8"/>
    </row>
    <row r="480" spans="16:19" ht="15.75" customHeight="1" x14ac:dyDescent="0.25">
      <c r="P480" s="21"/>
      <c r="R480" s="8"/>
      <c r="S480" s="8"/>
    </row>
    <row r="481" spans="16:19" ht="15.75" customHeight="1" x14ac:dyDescent="0.25">
      <c r="P481" s="21"/>
      <c r="R481" s="8"/>
      <c r="S481" s="8"/>
    </row>
    <row r="482" spans="16:19" ht="15.75" customHeight="1" x14ac:dyDescent="0.25">
      <c r="P482" s="21"/>
      <c r="R482" s="8"/>
      <c r="S482" s="8"/>
    </row>
    <row r="483" spans="16:19" ht="15.75" customHeight="1" x14ac:dyDescent="0.25">
      <c r="P483" s="21"/>
      <c r="R483" s="8"/>
      <c r="S483" s="8"/>
    </row>
    <row r="484" spans="16:19" ht="15.75" customHeight="1" x14ac:dyDescent="0.25">
      <c r="P484" s="21"/>
      <c r="R484" s="8"/>
      <c r="S484" s="8"/>
    </row>
    <row r="485" spans="16:19" ht="15.75" customHeight="1" x14ac:dyDescent="0.25">
      <c r="P485" s="21"/>
      <c r="R485" s="8"/>
      <c r="S485" s="8"/>
    </row>
    <row r="486" spans="16:19" ht="15.75" customHeight="1" x14ac:dyDescent="0.25">
      <c r="P486" s="21"/>
      <c r="R486" s="8"/>
      <c r="S486" s="8"/>
    </row>
    <row r="487" spans="16:19" ht="15.75" customHeight="1" x14ac:dyDescent="0.25">
      <c r="P487" s="21"/>
      <c r="R487" s="8"/>
      <c r="S487" s="8"/>
    </row>
    <row r="488" spans="16:19" ht="15.75" customHeight="1" x14ac:dyDescent="0.25">
      <c r="P488" s="21"/>
      <c r="R488" s="8"/>
      <c r="S488" s="8"/>
    </row>
    <row r="489" spans="16:19" ht="15.75" customHeight="1" x14ac:dyDescent="0.25">
      <c r="P489" s="21"/>
      <c r="R489" s="8"/>
      <c r="S489" s="8"/>
    </row>
    <row r="490" spans="16:19" ht="15.75" customHeight="1" x14ac:dyDescent="0.25">
      <c r="P490" s="21"/>
      <c r="R490" s="8"/>
      <c r="S490" s="8"/>
    </row>
    <row r="491" spans="16:19" ht="15.75" customHeight="1" x14ac:dyDescent="0.25">
      <c r="P491" s="21"/>
      <c r="R491" s="8"/>
      <c r="S491" s="8"/>
    </row>
    <row r="492" spans="16:19" ht="15.75" customHeight="1" x14ac:dyDescent="0.25">
      <c r="P492" s="21"/>
      <c r="R492" s="8"/>
      <c r="S492" s="8"/>
    </row>
    <row r="493" spans="16:19" ht="15.75" customHeight="1" x14ac:dyDescent="0.25">
      <c r="P493" s="21"/>
      <c r="R493" s="8"/>
      <c r="S493" s="8"/>
    </row>
    <row r="494" spans="16:19" ht="15.75" customHeight="1" x14ac:dyDescent="0.25">
      <c r="P494" s="21"/>
      <c r="R494" s="8"/>
      <c r="S494" s="8"/>
    </row>
    <row r="495" spans="16:19" ht="15.75" customHeight="1" x14ac:dyDescent="0.25">
      <c r="P495" s="21"/>
      <c r="R495" s="8"/>
      <c r="S495" s="8"/>
    </row>
    <row r="496" spans="16:19" ht="15.75" customHeight="1" x14ac:dyDescent="0.25">
      <c r="P496" s="21"/>
      <c r="R496" s="8"/>
      <c r="S496" s="8"/>
    </row>
    <row r="497" spans="16:19" ht="15.75" customHeight="1" x14ac:dyDescent="0.25">
      <c r="P497" s="21"/>
      <c r="R497" s="8"/>
      <c r="S497" s="8"/>
    </row>
    <row r="498" spans="16:19" ht="15.75" customHeight="1" x14ac:dyDescent="0.25">
      <c r="P498" s="21"/>
      <c r="R498" s="8"/>
      <c r="S498" s="8"/>
    </row>
    <row r="499" spans="16:19" ht="15.75" customHeight="1" x14ac:dyDescent="0.25">
      <c r="P499" s="21"/>
      <c r="R499" s="8"/>
      <c r="S499" s="8"/>
    </row>
    <row r="500" spans="16:19" ht="15.75" customHeight="1" x14ac:dyDescent="0.25">
      <c r="P500" s="21"/>
      <c r="R500" s="8"/>
      <c r="S500" s="8"/>
    </row>
    <row r="501" spans="16:19" ht="15.75" customHeight="1" x14ac:dyDescent="0.25">
      <c r="P501" s="21"/>
      <c r="R501" s="8"/>
      <c r="S501" s="8"/>
    </row>
    <row r="502" spans="16:19" ht="15.75" customHeight="1" x14ac:dyDescent="0.25">
      <c r="P502" s="21"/>
      <c r="R502" s="8"/>
      <c r="S502" s="8"/>
    </row>
    <row r="503" spans="16:19" ht="15.75" customHeight="1" x14ac:dyDescent="0.25">
      <c r="P503" s="21"/>
      <c r="R503" s="8"/>
      <c r="S503" s="8"/>
    </row>
    <row r="504" spans="16:19" ht="15.75" customHeight="1" x14ac:dyDescent="0.25">
      <c r="P504" s="21"/>
      <c r="R504" s="8"/>
      <c r="S504" s="8"/>
    </row>
    <row r="505" spans="16:19" ht="15.75" customHeight="1" x14ac:dyDescent="0.25">
      <c r="P505" s="21"/>
      <c r="R505" s="8"/>
      <c r="S505" s="8"/>
    </row>
    <row r="506" spans="16:19" ht="15.75" customHeight="1" x14ac:dyDescent="0.25">
      <c r="P506" s="21"/>
      <c r="R506" s="8"/>
      <c r="S506" s="8"/>
    </row>
    <row r="507" spans="16:19" ht="15.75" customHeight="1" x14ac:dyDescent="0.25">
      <c r="P507" s="21"/>
      <c r="R507" s="8"/>
      <c r="S507" s="8"/>
    </row>
    <row r="508" spans="16:19" ht="15.75" customHeight="1" x14ac:dyDescent="0.25">
      <c r="P508" s="21"/>
      <c r="R508" s="8"/>
      <c r="S508" s="8"/>
    </row>
    <row r="509" spans="16:19" ht="15.75" customHeight="1" x14ac:dyDescent="0.25">
      <c r="P509" s="21"/>
      <c r="R509" s="8"/>
      <c r="S509" s="8"/>
    </row>
    <row r="510" spans="16:19" ht="15.75" customHeight="1" x14ac:dyDescent="0.25">
      <c r="P510" s="21"/>
      <c r="R510" s="8"/>
      <c r="S510" s="8"/>
    </row>
    <row r="511" spans="16:19" ht="15.75" customHeight="1" x14ac:dyDescent="0.25">
      <c r="P511" s="21"/>
      <c r="R511" s="8"/>
      <c r="S511" s="8"/>
    </row>
    <row r="512" spans="16:19" ht="15.75" customHeight="1" x14ac:dyDescent="0.25">
      <c r="P512" s="21"/>
      <c r="R512" s="8"/>
      <c r="S512" s="8"/>
    </row>
    <row r="513" spans="16:19" ht="15.75" customHeight="1" x14ac:dyDescent="0.25">
      <c r="P513" s="21"/>
      <c r="R513" s="8"/>
      <c r="S513" s="8"/>
    </row>
    <row r="514" spans="16:19" ht="15.75" customHeight="1" x14ac:dyDescent="0.25">
      <c r="P514" s="21"/>
      <c r="R514" s="8"/>
      <c r="S514" s="8"/>
    </row>
    <row r="515" spans="16:19" ht="15.75" customHeight="1" x14ac:dyDescent="0.25">
      <c r="P515" s="21"/>
      <c r="R515" s="8"/>
      <c r="S515" s="8"/>
    </row>
    <row r="516" spans="16:19" ht="15.75" customHeight="1" x14ac:dyDescent="0.25">
      <c r="P516" s="21"/>
      <c r="R516" s="8"/>
      <c r="S516" s="8"/>
    </row>
    <row r="517" spans="16:19" ht="15.75" customHeight="1" x14ac:dyDescent="0.25">
      <c r="P517" s="21"/>
      <c r="R517" s="8"/>
      <c r="S517" s="8"/>
    </row>
    <row r="518" spans="16:19" ht="15.75" customHeight="1" x14ac:dyDescent="0.25">
      <c r="P518" s="21"/>
      <c r="R518" s="8"/>
      <c r="S518" s="8"/>
    </row>
    <row r="519" spans="16:19" ht="15.75" customHeight="1" x14ac:dyDescent="0.25">
      <c r="P519" s="21"/>
      <c r="R519" s="8"/>
      <c r="S519" s="8"/>
    </row>
    <row r="520" spans="16:19" ht="15.75" customHeight="1" x14ac:dyDescent="0.25">
      <c r="P520" s="21"/>
      <c r="R520" s="8"/>
      <c r="S520" s="8"/>
    </row>
    <row r="521" spans="16:19" ht="15.75" customHeight="1" x14ac:dyDescent="0.25">
      <c r="P521" s="21"/>
      <c r="R521" s="8"/>
      <c r="S521" s="8"/>
    </row>
    <row r="522" spans="16:19" ht="15.75" customHeight="1" x14ac:dyDescent="0.25">
      <c r="P522" s="21"/>
      <c r="R522" s="8"/>
      <c r="S522" s="8"/>
    </row>
    <row r="523" spans="16:19" ht="15.75" customHeight="1" x14ac:dyDescent="0.25">
      <c r="P523" s="21"/>
      <c r="R523" s="8"/>
      <c r="S523" s="8"/>
    </row>
    <row r="524" spans="16:19" ht="15.75" customHeight="1" x14ac:dyDescent="0.25">
      <c r="P524" s="21"/>
      <c r="R524" s="8"/>
      <c r="S524" s="8"/>
    </row>
    <row r="525" spans="16:19" ht="15.75" customHeight="1" x14ac:dyDescent="0.25">
      <c r="P525" s="21"/>
      <c r="R525" s="8"/>
      <c r="S525" s="8"/>
    </row>
    <row r="526" spans="16:19" ht="15.75" customHeight="1" x14ac:dyDescent="0.25">
      <c r="P526" s="21"/>
      <c r="R526" s="8"/>
      <c r="S526" s="8"/>
    </row>
    <row r="527" spans="16:19" ht="15.75" customHeight="1" x14ac:dyDescent="0.25">
      <c r="P527" s="21"/>
      <c r="R527" s="8"/>
      <c r="S527" s="8"/>
    </row>
    <row r="528" spans="16:19" ht="15.75" customHeight="1" x14ac:dyDescent="0.25">
      <c r="P528" s="21"/>
      <c r="R528" s="8"/>
      <c r="S528" s="8"/>
    </row>
    <row r="529" spans="16:19" ht="15.75" customHeight="1" x14ac:dyDescent="0.25">
      <c r="P529" s="21"/>
      <c r="R529" s="8"/>
      <c r="S529" s="8"/>
    </row>
    <row r="530" spans="16:19" ht="15.75" customHeight="1" x14ac:dyDescent="0.25">
      <c r="P530" s="21"/>
      <c r="R530" s="8"/>
      <c r="S530" s="8"/>
    </row>
    <row r="531" spans="16:19" ht="15.75" customHeight="1" x14ac:dyDescent="0.25">
      <c r="P531" s="21"/>
      <c r="R531" s="8"/>
      <c r="S531" s="8"/>
    </row>
    <row r="532" spans="16:19" ht="15.75" customHeight="1" x14ac:dyDescent="0.25">
      <c r="P532" s="21"/>
      <c r="R532" s="8"/>
      <c r="S532" s="8"/>
    </row>
    <row r="533" spans="16:19" ht="15.75" customHeight="1" x14ac:dyDescent="0.25">
      <c r="P533" s="21"/>
      <c r="R533" s="8"/>
      <c r="S533" s="8"/>
    </row>
    <row r="534" spans="16:19" ht="15.75" customHeight="1" x14ac:dyDescent="0.25">
      <c r="P534" s="21"/>
      <c r="R534" s="8"/>
      <c r="S534" s="8"/>
    </row>
    <row r="535" spans="16:19" ht="15.75" customHeight="1" x14ac:dyDescent="0.25">
      <c r="P535" s="21"/>
      <c r="R535" s="8"/>
      <c r="S535" s="8"/>
    </row>
    <row r="536" spans="16:19" ht="15.75" customHeight="1" x14ac:dyDescent="0.25">
      <c r="P536" s="21"/>
      <c r="R536" s="8"/>
      <c r="S536" s="8"/>
    </row>
    <row r="537" spans="16:19" ht="15.75" customHeight="1" x14ac:dyDescent="0.25">
      <c r="P537" s="21"/>
      <c r="R537" s="8"/>
      <c r="S537" s="8"/>
    </row>
    <row r="538" spans="16:19" ht="15.75" customHeight="1" x14ac:dyDescent="0.25">
      <c r="P538" s="21"/>
      <c r="R538" s="8"/>
      <c r="S538" s="8"/>
    </row>
    <row r="539" spans="16:19" ht="15.75" customHeight="1" x14ac:dyDescent="0.25">
      <c r="P539" s="21"/>
      <c r="R539" s="8"/>
      <c r="S539" s="8"/>
    </row>
    <row r="540" spans="16:19" ht="15.75" customHeight="1" x14ac:dyDescent="0.25">
      <c r="P540" s="21"/>
      <c r="R540" s="8"/>
      <c r="S540" s="8"/>
    </row>
    <row r="541" spans="16:19" ht="15.75" customHeight="1" x14ac:dyDescent="0.25">
      <c r="P541" s="21"/>
      <c r="R541" s="8"/>
      <c r="S541" s="8"/>
    </row>
    <row r="542" spans="16:19" ht="15.75" customHeight="1" x14ac:dyDescent="0.25">
      <c r="P542" s="21"/>
      <c r="R542" s="8"/>
      <c r="S542" s="8"/>
    </row>
    <row r="543" spans="16:19" ht="15.75" customHeight="1" x14ac:dyDescent="0.25">
      <c r="P543" s="21"/>
      <c r="R543" s="8"/>
      <c r="S543" s="8"/>
    </row>
    <row r="544" spans="16:19" ht="15.75" customHeight="1" x14ac:dyDescent="0.25">
      <c r="P544" s="21"/>
      <c r="R544" s="8"/>
      <c r="S544" s="8"/>
    </row>
    <row r="545" spans="16:19" ht="15.75" customHeight="1" x14ac:dyDescent="0.25">
      <c r="P545" s="21"/>
      <c r="R545" s="8"/>
      <c r="S545" s="8"/>
    </row>
    <row r="546" spans="16:19" ht="15.75" customHeight="1" x14ac:dyDescent="0.25">
      <c r="P546" s="21"/>
      <c r="R546" s="8"/>
      <c r="S546" s="8"/>
    </row>
    <row r="547" spans="16:19" ht="15.75" customHeight="1" x14ac:dyDescent="0.25">
      <c r="P547" s="21"/>
      <c r="R547" s="8"/>
      <c r="S547" s="8"/>
    </row>
    <row r="548" spans="16:19" ht="15.75" customHeight="1" x14ac:dyDescent="0.25">
      <c r="P548" s="21"/>
      <c r="R548" s="8"/>
      <c r="S548" s="8"/>
    </row>
    <row r="549" spans="16:19" ht="15.75" customHeight="1" x14ac:dyDescent="0.25">
      <c r="P549" s="21"/>
      <c r="R549" s="8"/>
      <c r="S549" s="8"/>
    </row>
    <row r="550" spans="16:19" ht="15.75" customHeight="1" x14ac:dyDescent="0.25">
      <c r="P550" s="21"/>
      <c r="R550" s="8"/>
      <c r="S550" s="8"/>
    </row>
    <row r="551" spans="16:19" ht="15.75" customHeight="1" x14ac:dyDescent="0.25">
      <c r="P551" s="21"/>
      <c r="R551" s="8"/>
      <c r="S551" s="8"/>
    </row>
    <row r="552" spans="16:19" ht="15.75" customHeight="1" x14ac:dyDescent="0.25">
      <c r="P552" s="21"/>
      <c r="R552" s="8"/>
      <c r="S552" s="8"/>
    </row>
    <row r="553" spans="16:19" ht="15.75" customHeight="1" x14ac:dyDescent="0.25">
      <c r="P553" s="21"/>
      <c r="R553" s="8"/>
      <c r="S553" s="8"/>
    </row>
    <row r="554" spans="16:19" ht="15.75" customHeight="1" x14ac:dyDescent="0.25">
      <c r="P554" s="21"/>
      <c r="R554" s="8"/>
      <c r="S554" s="8"/>
    </row>
    <row r="555" spans="16:19" ht="15.75" customHeight="1" x14ac:dyDescent="0.25">
      <c r="P555" s="21"/>
      <c r="R555" s="8"/>
      <c r="S555" s="8"/>
    </row>
    <row r="556" spans="16:19" ht="15.75" customHeight="1" x14ac:dyDescent="0.25">
      <c r="P556" s="21"/>
      <c r="R556" s="8"/>
      <c r="S556" s="8"/>
    </row>
    <row r="557" spans="16:19" ht="15.75" customHeight="1" x14ac:dyDescent="0.25">
      <c r="P557" s="21"/>
      <c r="R557" s="8"/>
      <c r="S557" s="8"/>
    </row>
    <row r="558" spans="16:19" ht="15.75" customHeight="1" x14ac:dyDescent="0.25">
      <c r="P558" s="21"/>
      <c r="R558" s="8"/>
      <c r="S558" s="8"/>
    </row>
    <row r="559" spans="16:19" ht="15.75" customHeight="1" x14ac:dyDescent="0.25">
      <c r="P559" s="21"/>
      <c r="R559" s="8"/>
      <c r="S559" s="8"/>
    </row>
    <row r="560" spans="16:19" ht="15.75" customHeight="1" x14ac:dyDescent="0.25">
      <c r="P560" s="21"/>
      <c r="R560" s="8"/>
      <c r="S560" s="8"/>
    </row>
    <row r="561" spans="16:19" ht="15.75" customHeight="1" x14ac:dyDescent="0.25">
      <c r="P561" s="21"/>
      <c r="R561" s="8"/>
      <c r="S561" s="8"/>
    </row>
    <row r="562" spans="16:19" ht="15.75" customHeight="1" x14ac:dyDescent="0.25">
      <c r="P562" s="21"/>
      <c r="R562" s="8"/>
      <c r="S562" s="8"/>
    </row>
    <row r="563" spans="16:19" ht="15.75" customHeight="1" x14ac:dyDescent="0.25">
      <c r="P563" s="21"/>
      <c r="R563" s="8"/>
      <c r="S563" s="8"/>
    </row>
    <row r="564" spans="16:19" ht="15.75" customHeight="1" x14ac:dyDescent="0.25">
      <c r="P564" s="21"/>
      <c r="R564" s="8"/>
      <c r="S564" s="8"/>
    </row>
    <row r="565" spans="16:19" ht="15.75" customHeight="1" x14ac:dyDescent="0.25">
      <c r="P565" s="21"/>
      <c r="R565" s="8"/>
      <c r="S565" s="8"/>
    </row>
    <row r="566" spans="16:19" ht="15.75" customHeight="1" x14ac:dyDescent="0.25">
      <c r="P566" s="21"/>
      <c r="R566" s="8"/>
      <c r="S566" s="8"/>
    </row>
    <row r="567" spans="16:19" ht="15.75" customHeight="1" x14ac:dyDescent="0.25">
      <c r="P567" s="21"/>
      <c r="R567" s="8"/>
      <c r="S567" s="8"/>
    </row>
    <row r="568" spans="16:19" ht="15.75" customHeight="1" x14ac:dyDescent="0.25">
      <c r="P568" s="21"/>
      <c r="R568" s="8"/>
      <c r="S568" s="8"/>
    </row>
    <row r="569" spans="16:19" ht="15.75" customHeight="1" x14ac:dyDescent="0.25">
      <c r="P569" s="21"/>
      <c r="R569" s="8"/>
      <c r="S569" s="8"/>
    </row>
    <row r="570" spans="16:19" ht="15.75" customHeight="1" x14ac:dyDescent="0.25">
      <c r="P570" s="21"/>
      <c r="R570" s="8"/>
      <c r="S570" s="8"/>
    </row>
    <row r="571" spans="16:19" ht="15.75" customHeight="1" x14ac:dyDescent="0.25">
      <c r="P571" s="21"/>
      <c r="R571" s="8"/>
      <c r="S571" s="8"/>
    </row>
    <row r="572" spans="16:19" ht="15.75" customHeight="1" x14ac:dyDescent="0.25">
      <c r="P572" s="21"/>
      <c r="R572" s="8"/>
      <c r="S572" s="8"/>
    </row>
    <row r="573" spans="16:19" ht="15.75" customHeight="1" x14ac:dyDescent="0.25">
      <c r="P573" s="21"/>
      <c r="R573" s="8"/>
      <c r="S573" s="8"/>
    </row>
    <row r="574" spans="16:19" ht="15.75" customHeight="1" x14ac:dyDescent="0.25">
      <c r="P574" s="21"/>
      <c r="R574" s="8"/>
      <c r="S574" s="8"/>
    </row>
    <row r="575" spans="16:19" ht="15.75" customHeight="1" x14ac:dyDescent="0.25">
      <c r="P575" s="21"/>
      <c r="R575" s="8"/>
      <c r="S575" s="8"/>
    </row>
    <row r="576" spans="16:19" ht="15.75" customHeight="1" x14ac:dyDescent="0.25">
      <c r="P576" s="21"/>
      <c r="R576" s="8"/>
      <c r="S576" s="8"/>
    </row>
    <row r="577" spans="16:19" ht="15.75" customHeight="1" x14ac:dyDescent="0.25">
      <c r="P577" s="21"/>
      <c r="R577" s="8"/>
      <c r="S577" s="8"/>
    </row>
    <row r="578" spans="16:19" ht="15.75" customHeight="1" x14ac:dyDescent="0.25">
      <c r="P578" s="21"/>
      <c r="R578" s="8"/>
      <c r="S578" s="8"/>
    </row>
    <row r="579" spans="16:19" ht="15.75" customHeight="1" x14ac:dyDescent="0.25">
      <c r="P579" s="21"/>
      <c r="R579" s="8"/>
      <c r="S579" s="8"/>
    </row>
    <row r="580" spans="16:19" ht="15.75" customHeight="1" x14ac:dyDescent="0.25">
      <c r="P580" s="21"/>
      <c r="R580" s="8"/>
      <c r="S580" s="8"/>
    </row>
    <row r="581" spans="16:19" ht="15.75" customHeight="1" x14ac:dyDescent="0.25">
      <c r="P581" s="21"/>
      <c r="R581" s="8"/>
      <c r="S581" s="8"/>
    </row>
    <row r="582" spans="16:19" ht="15.75" customHeight="1" x14ac:dyDescent="0.25">
      <c r="P582" s="21"/>
      <c r="R582" s="8"/>
      <c r="S582" s="8"/>
    </row>
    <row r="583" spans="16:19" ht="15.75" customHeight="1" x14ac:dyDescent="0.25">
      <c r="P583" s="21"/>
      <c r="R583" s="8"/>
      <c r="S583" s="8"/>
    </row>
    <row r="584" spans="16:19" ht="15.75" customHeight="1" x14ac:dyDescent="0.25">
      <c r="P584" s="21"/>
      <c r="R584" s="8"/>
      <c r="S584" s="8"/>
    </row>
    <row r="585" spans="16:19" ht="15.75" customHeight="1" x14ac:dyDescent="0.25">
      <c r="P585" s="21"/>
      <c r="R585" s="8"/>
      <c r="S585" s="8"/>
    </row>
    <row r="586" spans="16:19" ht="15.75" customHeight="1" x14ac:dyDescent="0.25">
      <c r="P586" s="21"/>
      <c r="R586" s="8"/>
      <c r="S586" s="8"/>
    </row>
    <row r="587" spans="16:19" ht="15.75" customHeight="1" x14ac:dyDescent="0.25">
      <c r="P587" s="21"/>
      <c r="R587" s="8"/>
      <c r="S587" s="8"/>
    </row>
    <row r="588" spans="16:19" ht="15.75" customHeight="1" x14ac:dyDescent="0.25">
      <c r="P588" s="21"/>
      <c r="R588" s="8"/>
      <c r="S588" s="8"/>
    </row>
    <row r="589" spans="16:19" ht="15.75" customHeight="1" x14ac:dyDescent="0.25">
      <c r="P589" s="21"/>
      <c r="R589" s="8"/>
      <c r="S589" s="8"/>
    </row>
    <row r="590" spans="16:19" ht="15.75" customHeight="1" x14ac:dyDescent="0.25">
      <c r="P590" s="21"/>
      <c r="R590" s="8"/>
      <c r="S590" s="8"/>
    </row>
    <row r="591" spans="16:19" ht="15.75" customHeight="1" x14ac:dyDescent="0.25">
      <c r="P591" s="21"/>
      <c r="R591" s="8"/>
      <c r="S591" s="8"/>
    </row>
    <row r="592" spans="16:19" ht="15.75" customHeight="1" x14ac:dyDescent="0.25">
      <c r="P592" s="21"/>
      <c r="R592" s="8"/>
      <c r="S592" s="8"/>
    </row>
    <row r="593" spans="16:19" ht="15.75" customHeight="1" x14ac:dyDescent="0.25">
      <c r="P593" s="21"/>
      <c r="R593" s="8"/>
      <c r="S593" s="8"/>
    </row>
    <row r="594" spans="16:19" ht="15.75" customHeight="1" x14ac:dyDescent="0.25">
      <c r="P594" s="21"/>
      <c r="R594" s="8"/>
      <c r="S594" s="8"/>
    </row>
    <row r="595" spans="16:19" ht="15.75" customHeight="1" x14ac:dyDescent="0.25">
      <c r="P595" s="21"/>
      <c r="R595" s="8"/>
      <c r="S595" s="8"/>
    </row>
    <row r="596" spans="16:19" ht="15.75" customHeight="1" x14ac:dyDescent="0.25">
      <c r="P596" s="21"/>
      <c r="R596" s="8"/>
      <c r="S596" s="8"/>
    </row>
    <row r="597" spans="16:19" ht="15.75" customHeight="1" x14ac:dyDescent="0.25">
      <c r="P597" s="21"/>
      <c r="R597" s="8"/>
      <c r="S597" s="8"/>
    </row>
    <row r="598" spans="16:19" ht="15.75" customHeight="1" x14ac:dyDescent="0.25">
      <c r="P598" s="21"/>
      <c r="R598" s="8"/>
      <c r="S598" s="8"/>
    </row>
    <row r="599" spans="16:19" ht="15.75" customHeight="1" x14ac:dyDescent="0.25">
      <c r="P599" s="21"/>
      <c r="R599" s="8"/>
      <c r="S599" s="8"/>
    </row>
    <row r="600" spans="16:19" ht="15.75" customHeight="1" x14ac:dyDescent="0.25">
      <c r="P600" s="21"/>
      <c r="R600" s="8"/>
      <c r="S600" s="8"/>
    </row>
    <row r="601" spans="16:19" ht="15.75" customHeight="1" x14ac:dyDescent="0.25">
      <c r="P601" s="21"/>
      <c r="R601" s="8"/>
      <c r="S601" s="8"/>
    </row>
    <row r="602" spans="16:19" ht="15.75" customHeight="1" x14ac:dyDescent="0.25">
      <c r="P602" s="21"/>
      <c r="R602" s="8"/>
      <c r="S602" s="8"/>
    </row>
    <row r="603" spans="16:19" ht="15.75" customHeight="1" x14ac:dyDescent="0.25">
      <c r="P603" s="21"/>
      <c r="R603" s="8"/>
      <c r="S603" s="8"/>
    </row>
    <row r="604" spans="16:19" ht="15.75" customHeight="1" x14ac:dyDescent="0.25">
      <c r="P604" s="21"/>
      <c r="R604" s="8"/>
      <c r="S604" s="8"/>
    </row>
    <row r="605" spans="16:19" ht="15.75" customHeight="1" x14ac:dyDescent="0.25">
      <c r="P605" s="21"/>
      <c r="R605" s="8"/>
      <c r="S605" s="8"/>
    </row>
    <row r="606" spans="16:19" ht="15.75" customHeight="1" x14ac:dyDescent="0.25">
      <c r="P606" s="21"/>
      <c r="R606" s="8"/>
      <c r="S606" s="8"/>
    </row>
    <row r="607" spans="16:19" ht="15.75" customHeight="1" x14ac:dyDescent="0.25">
      <c r="P607" s="21"/>
      <c r="R607" s="8"/>
      <c r="S607" s="8"/>
    </row>
    <row r="608" spans="16:19" ht="15.75" customHeight="1" x14ac:dyDescent="0.25">
      <c r="P608" s="21"/>
      <c r="R608" s="8"/>
      <c r="S608" s="8"/>
    </row>
    <row r="609" spans="16:19" ht="15.75" customHeight="1" x14ac:dyDescent="0.25">
      <c r="P609" s="21"/>
      <c r="R609" s="8"/>
      <c r="S609" s="8"/>
    </row>
    <row r="610" spans="16:19" ht="15.75" customHeight="1" x14ac:dyDescent="0.25">
      <c r="P610" s="21"/>
      <c r="R610" s="8"/>
      <c r="S610" s="8"/>
    </row>
    <row r="611" spans="16:19" ht="15.75" customHeight="1" x14ac:dyDescent="0.25">
      <c r="P611" s="21"/>
      <c r="R611" s="8"/>
      <c r="S611" s="8"/>
    </row>
    <row r="612" spans="16:19" ht="15.75" customHeight="1" x14ac:dyDescent="0.25">
      <c r="P612" s="21"/>
      <c r="R612" s="8"/>
      <c r="S612" s="8"/>
    </row>
    <row r="613" spans="16:19" ht="15.75" customHeight="1" x14ac:dyDescent="0.25">
      <c r="P613" s="21"/>
      <c r="R613" s="8"/>
      <c r="S613" s="8"/>
    </row>
    <row r="614" spans="16:19" ht="15.75" customHeight="1" x14ac:dyDescent="0.25">
      <c r="P614" s="21"/>
      <c r="R614" s="8"/>
      <c r="S614" s="8"/>
    </row>
    <row r="615" spans="16:19" ht="15.75" customHeight="1" x14ac:dyDescent="0.25">
      <c r="P615" s="21"/>
      <c r="R615" s="8"/>
      <c r="S615" s="8"/>
    </row>
    <row r="616" spans="16:19" ht="15.75" customHeight="1" x14ac:dyDescent="0.25">
      <c r="P616" s="21"/>
      <c r="R616" s="8"/>
      <c r="S616" s="8"/>
    </row>
    <row r="617" spans="16:19" ht="15.75" customHeight="1" x14ac:dyDescent="0.25">
      <c r="P617" s="21"/>
      <c r="R617" s="8"/>
      <c r="S617" s="8"/>
    </row>
    <row r="618" spans="16:19" ht="15.75" customHeight="1" x14ac:dyDescent="0.25">
      <c r="P618" s="21"/>
      <c r="R618" s="8"/>
      <c r="S618" s="8"/>
    </row>
    <row r="619" spans="16:19" ht="15.75" customHeight="1" x14ac:dyDescent="0.25">
      <c r="P619" s="21"/>
      <c r="R619" s="8"/>
      <c r="S619" s="8"/>
    </row>
    <row r="620" spans="16:19" ht="15.75" customHeight="1" x14ac:dyDescent="0.25">
      <c r="P620" s="21"/>
      <c r="R620" s="8"/>
      <c r="S620" s="8"/>
    </row>
    <row r="621" spans="16:19" ht="15.75" customHeight="1" x14ac:dyDescent="0.25">
      <c r="P621" s="21"/>
      <c r="R621" s="8"/>
      <c r="S621" s="8"/>
    </row>
    <row r="622" spans="16:19" ht="15.75" customHeight="1" x14ac:dyDescent="0.25">
      <c r="P622" s="21"/>
      <c r="R622" s="8"/>
      <c r="S622" s="8"/>
    </row>
    <row r="623" spans="16:19" ht="15.75" customHeight="1" x14ac:dyDescent="0.25">
      <c r="P623" s="21"/>
      <c r="R623" s="8"/>
      <c r="S623" s="8"/>
    </row>
    <row r="624" spans="16:19" ht="15.75" customHeight="1" x14ac:dyDescent="0.25">
      <c r="P624" s="21"/>
      <c r="R624" s="8"/>
      <c r="S624" s="8"/>
    </row>
    <row r="625" spans="16:19" ht="15.75" customHeight="1" x14ac:dyDescent="0.25">
      <c r="P625" s="21"/>
      <c r="R625" s="8"/>
      <c r="S625" s="8"/>
    </row>
    <row r="626" spans="16:19" ht="15.75" customHeight="1" x14ac:dyDescent="0.25">
      <c r="P626" s="21"/>
      <c r="R626" s="8"/>
      <c r="S626" s="8"/>
    </row>
    <row r="627" spans="16:19" ht="15.75" customHeight="1" x14ac:dyDescent="0.25">
      <c r="P627" s="21"/>
      <c r="R627" s="8"/>
      <c r="S627" s="8"/>
    </row>
    <row r="628" spans="16:19" ht="15.75" customHeight="1" x14ac:dyDescent="0.25">
      <c r="P628" s="21"/>
      <c r="R628" s="8"/>
      <c r="S628" s="8"/>
    </row>
    <row r="629" spans="16:19" ht="15.75" customHeight="1" x14ac:dyDescent="0.25">
      <c r="P629" s="21"/>
      <c r="R629" s="8"/>
      <c r="S629" s="8"/>
    </row>
    <row r="630" spans="16:19" ht="15.75" customHeight="1" x14ac:dyDescent="0.25">
      <c r="P630" s="21"/>
      <c r="R630" s="8"/>
      <c r="S630" s="8"/>
    </row>
    <row r="631" spans="16:19" ht="15.75" customHeight="1" x14ac:dyDescent="0.25">
      <c r="P631" s="21"/>
      <c r="R631" s="8"/>
      <c r="S631" s="8"/>
    </row>
    <row r="632" spans="16:19" ht="15.75" customHeight="1" x14ac:dyDescent="0.25">
      <c r="P632" s="21"/>
      <c r="R632" s="8"/>
      <c r="S632" s="8"/>
    </row>
    <row r="633" spans="16:19" ht="15.75" customHeight="1" x14ac:dyDescent="0.25">
      <c r="P633" s="21"/>
      <c r="R633" s="8"/>
      <c r="S633" s="8"/>
    </row>
    <row r="634" spans="16:19" ht="15.75" customHeight="1" x14ac:dyDescent="0.25">
      <c r="P634" s="21"/>
      <c r="R634" s="8"/>
      <c r="S634" s="8"/>
    </row>
    <row r="635" spans="16:19" ht="15.75" customHeight="1" x14ac:dyDescent="0.25">
      <c r="P635" s="21"/>
      <c r="R635" s="8"/>
      <c r="S635" s="8"/>
    </row>
    <row r="636" spans="16:19" ht="15.75" customHeight="1" x14ac:dyDescent="0.25">
      <c r="P636" s="21"/>
      <c r="R636" s="8"/>
      <c r="S636" s="8"/>
    </row>
    <row r="637" spans="16:19" ht="15.75" customHeight="1" x14ac:dyDescent="0.25">
      <c r="P637" s="21"/>
      <c r="R637" s="8"/>
      <c r="S637" s="8"/>
    </row>
    <row r="638" spans="16:19" ht="15.75" customHeight="1" x14ac:dyDescent="0.25">
      <c r="P638" s="21"/>
      <c r="R638" s="8"/>
      <c r="S638" s="8"/>
    </row>
    <row r="639" spans="16:19" ht="15.75" customHeight="1" x14ac:dyDescent="0.25">
      <c r="P639" s="21"/>
      <c r="R639" s="8"/>
      <c r="S639" s="8"/>
    </row>
    <row r="640" spans="16:19" ht="15.75" customHeight="1" x14ac:dyDescent="0.25">
      <c r="P640" s="21"/>
      <c r="R640" s="8"/>
      <c r="S640" s="8"/>
    </row>
    <row r="641" spans="16:19" ht="15.75" customHeight="1" x14ac:dyDescent="0.25">
      <c r="P641" s="21"/>
      <c r="R641" s="8"/>
      <c r="S641" s="8"/>
    </row>
    <row r="642" spans="16:19" ht="15.75" customHeight="1" x14ac:dyDescent="0.25">
      <c r="P642" s="21"/>
      <c r="R642" s="8"/>
      <c r="S642" s="8"/>
    </row>
    <row r="643" spans="16:19" ht="15.75" customHeight="1" x14ac:dyDescent="0.25">
      <c r="P643" s="21"/>
      <c r="R643" s="8"/>
      <c r="S643" s="8"/>
    </row>
    <row r="644" spans="16:19" ht="15.75" customHeight="1" x14ac:dyDescent="0.25">
      <c r="P644" s="21"/>
      <c r="R644" s="8"/>
      <c r="S644" s="8"/>
    </row>
    <row r="645" spans="16:19" ht="15.75" customHeight="1" x14ac:dyDescent="0.25">
      <c r="P645" s="21"/>
      <c r="R645" s="8"/>
      <c r="S645" s="8"/>
    </row>
    <row r="646" spans="16:19" ht="15.75" customHeight="1" x14ac:dyDescent="0.25">
      <c r="P646" s="21"/>
      <c r="R646" s="8"/>
      <c r="S646" s="8"/>
    </row>
    <row r="647" spans="16:19" ht="15.75" customHeight="1" x14ac:dyDescent="0.25">
      <c r="P647" s="21"/>
      <c r="R647" s="8"/>
      <c r="S647" s="8"/>
    </row>
    <row r="648" spans="16:19" ht="15.75" customHeight="1" x14ac:dyDescent="0.25">
      <c r="P648" s="21"/>
      <c r="R648" s="8"/>
      <c r="S648" s="8"/>
    </row>
    <row r="649" spans="16:19" ht="15.75" customHeight="1" x14ac:dyDescent="0.25">
      <c r="P649" s="21"/>
      <c r="R649" s="8"/>
      <c r="S649" s="8"/>
    </row>
    <row r="650" spans="16:19" ht="15.75" customHeight="1" x14ac:dyDescent="0.25">
      <c r="P650" s="21"/>
      <c r="R650" s="8"/>
      <c r="S650" s="8"/>
    </row>
    <row r="651" spans="16:19" ht="15.75" customHeight="1" x14ac:dyDescent="0.25">
      <c r="P651" s="21"/>
      <c r="R651" s="8"/>
      <c r="S651" s="8"/>
    </row>
    <row r="652" spans="16:19" ht="15.75" customHeight="1" x14ac:dyDescent="0.25">
      <c r="P652" s="21"/>
      <c r="R652" s="8"/>
      <c r="S652" s="8"/>
    </row>
    <row r="653" spans="16:19" ht="15.75" customHeight="1" x14ac:dyDescent="0.25">
      <c r="P653" s="21"/>
      <c r="R653" s="8"/>
      <c r="S653" s="8"/>
    </row>
    <row r="654" spans="16:19" ht="15.75" customHeight="1" x14ac:dyDescent="0.25">
      <c r="P654" s="21"/>
      <c r="R654" s="8"/>
      <c r="S654" s="8"/>
    </row>
    <row r="655" spans="16:19" ht="15.75" customHeight="1" x14ac:dyDescent="0.25">
      <c r="P655" s="21"/>
      <c r="R655" s="8"/>
      <c r="S655" s="8"/>
    </row>
    <row r="656" spans="16:19" ht="15.75" customHeight="1" x14ac:dyDescent="0.25">
      <c r="P656" s="21"/>
      <c r="R656" s="8"/>
      <c r="S656" s="8"/>
    </row>
    <row r="657" spans="16:19" ht="15.75" customHeight="1" x14ac:dyDescent="0.25">
      <c r="P657" s="21"/>
      <c r="R657" s="8"/>
      <c r="S657" s="8"/>
    </row>
    <row r="658" spans="16:19" ht="15.75" customHeight="1" x14ac:dyDescent="0.25">
      <c r="P658" s="21"/>
      <c r="R658" s="8"/>
      <c r="S658" s="8"/>
    </row>
    <row r="659" spans="16:19" ht="15.75" customHeight="1" x14ac:dyDescent="0.25">
      <c r="P659" s="21"/>
      <c r="R659" s="8"/>
      <c r="S659" s="8"/>
    </row>
    <row r="660" spans="16:19" ht="15.75" customHeight="1" x14ac:dyDescent="0.25">
      <c r="P660" s="21"/>
      <c r="R660" s="8"/>
      <c r="S660" s="8"/>
    </row>
    <row r="661" spans="16:19" ht="15.75" customHeight="1" x14ac:dyDescent="0.25">
      <c r="P661" s="21"/>
      <c r="R661" s="8"/>
      <c r="S661" s="8"/>
    </row>
    <row r="662" spans="16:19" ht="15.75" customHeight="1" x14ac:dyDescent="0.25">
      <c r="P662" s="21"/>
      <c r="R662" s="8"/>
      <c r="S662" s="8"/>
    </row>
    <row r="663" spans="16:19" ht="15.75" customHeight="1" x14ac:dyDescent="0.25">
      <c r="P663" s="21"/>
      <c r="R663" s="8"/>
      <c r="S663" s="8"/>
    </row>
    <row r="664" spans="16:19" ht="15.75" customHeight="1" x14ac:dyDescent="0.25">
      <c r="P664" s="21"/>
      <c r="R664" s="8"/>
      <c r="S664" s="8"/>
    </row>
    <row r="665" spans="16:19" ht="15.75" customHeight="1" x14ac:dyDescent="0.25">
      <c r="P665" s="21"/>
      <c r="R665" s="8"/>
      <c r="S665" s="8"/>
    </row>
    <row r="666" spans="16:19" ht="15.75" customHeight="1" x14ac:dyDescent="0.25">
      <c r="P666" s="21"/>
      <c r="R666" s="8"/>
      <c r="S666" s="8"/>
    </row>
    <row r="667" spans="16:19" ht="15.75" customHeight="1" x14ac:dyDescent="0.25">
      <c r="P667" s="21"/>
      <c r="R667" s="8"/>
      <c r="S667" s="8"/>
    </row>
    <row r="668" spans="16:19" ht="15.75" customHeight="1" x14ac:dyDescent="0.25">
      <c r="P668" s="21"/>
      <c r="R668" s="8"/>
      <c r="S668" s="8"/>
    </row>
    <row r="669" spans="16:19" ht="15.75" customHeight="1" x14ac:dyDescent="0.25">
      <c r="P669" s="21"/>
      <c r="R669" s="8"/>
      <c r="S669" s="8"/>
    </row>
    <row r="670" spans="16:19" ht="15.75" customHeight="1" x14ac:dyDescent="0.25">
      <c r="P670" s="21"/>
      <c r="R670" s="8"/>
      <c r="S670" s="8"/>
    </row>
    <row r="671" spans="16:19" ht="15.75" customHeight="1" x14ac:dyDescent="0.25">
      <c r="P671" s="21"/>
      <c r="R671" s="8"/>
      <c r="S671" s="8"/>
    </row>
    <row r="672" spans="16:19" ht="15.75" customHeight="1" x14ac:dyDescent="0.25">
      <c r="P672" s="21"/>
      <c r="R672" s="8"/>
      <c r="S672" s="8"/>
    </row>
    <row r="673" spans="16:19" ht="15.75" customHeight="1" x14ac:dyDescent="0.25">
      <c r="P673" s="21"/>
      <c r="R673" s="8"/>
      <c r="S673" s="8"/>
    </row>
    <row r="674" spans="16:19" ht="15.75" customHeight="1" x14ac:dyDescent="0.25">
      <c r="P674" s="21"/>
      <c r="R674" s="8"/>
      <c r="S674" s="8"/>
    </row>
    <row r="675" spans="16:19" ht="15.75" customHeight="1" x14ac:dyDescent="0.25">
      <c r="P675" s="21"/>
      <c r="R675" s="8"/>
      <c r="S675" s="8"/>
    </row>
    <row r="676" spans="16:19" ht="15.75" customHeight="1" x14ac:dyDescent="0.25">
      <c r="P676" s="21"/>
      <c r="R676" s="8"/>
      <c r="S676" s="8"/>
    </row>
    <row r="677" spans="16:19" ht="15.75" customHeight="1" x14ac:dyDescent="0.25">
      <c r="P677" s="21"/>
      <c r="R677" s="8"/>
      <c r="S677" s="8"/>
    </row>
    <row r="678" spans="16:19" ht="15.75" customHeight="1" x14ac:dyDescent="0.25">
      <c r="P678" s="21"/>
      <c r="R678" s="8"/>
      <c r="S678" s="8"/>
    </row>
    <row r="679" spans="16:19" ht="15.75" customHeight="1" x14ac:dyDescent="0.25">
      <c r="P679" s="21"/>
      <c r="R679" s="8"/>
      <c r="S679" s="8"/>
    </row>
    <row r="680" spans="16:19" ht="15.75" customHeight="1" x14ac:dyDescent="0.25">
      <c r="P680" s="21"/>
      <c r="R680" s="8"/>
      <c r="S680" s="8"/>
    </row>
    <row r="681" spans="16:19" ht="15.75" customHeight="1" x14ac:dyDescent="0.25">
      <c r="P681" s="21"/>
      <c r="R681" s="8"/>
      <c r="S681" s="8"/>
    </row>
    <row r="682" spans="16:19" ht="15.75" customHeight="1" x14ac:dyDescent="0.25">
      <c r="P682" s="21"/>
      <c r="R682" s="8"/>
      <c r="S682" s="8"/>
    </row>
    <row r="683" spans="16:19" ht="15.75" customHeight="1" x14ac:dyDescent="0.25">
      <c r="P683" s="21"/>
      <c r="R683" s="8"/>
      <c r="S683" s="8"/>
    </row>
    <row r="684" spans="16:19" ht="15.75" customHeight="1" x14ac:dyDescent="0.25">
      <c r="P684" s="21"/>
      <c r="R684" s="8"/>
      <c r="S684" s="8"/>
    </row>
    <row r="685" spans="16:19" ht="15.75" customHeight="1" x14ac:dyDescent="0.25">
      <c r="P685" s="21"/>
      <c r="R685" s="8"/>
      <c r="S685" s="8"/>
    </row>
    <row r="686" spans="16:19" ht="15.75" customHeight="1" x14ac:dyDescent="0.25">
      <c r="P686" s="21"/>
      <c r="R686" s="8"/>
      <c r="S686" s="8"/>
    </row>
    <row r="687" spans="16:19" ht="15.75" customHeight="1" x14ac:dyDescent="0.25">
      <c r="P687" s="21"/>
      <c r="R687" s="8"/>
      <c r="S687" s="8"/>
    </row>
    <row r="688" spans="16:19" ht="15.75" customHeight="1" x14ac:dyDescent="0.25">
      <c r="P688" s="21"/>
      <c r="R688" s="8"/>
      <c r="S688" s="8"/>
    </row>
    <row r="689" spans="16:19" ht="15.75" customHeight="1" x14ac:dyDescent="0.25">
      <c r="P689" s="21"/>
      <c r="R689" s="8"/>
      <c r="S689" s="8"/>
    </row>
    <row r="690" spans="16:19" ht="15.75" customHeight="1" x14ac:dyDescent="0.25">
      <c r="P690" s="21"/>
      <c r="R690" s="8"/>
      <c r="S690" s="8"/>
    </row>
    <row r="691" spans="16:19" ht="15.75" customHeight="1" x14ac:dyDescent="0.25">
      <c r="P691" s="21"/>
      <c r="R691" s="8"/>
      <c r="S691" s="8"/>
    </row>
    <row r="692" spans="16:19" ht="15.75" customHeight="1" x14ac:dyDescent="0.25">
      <c r="P692" s="21"/>
      <c r="R692" s="8"/>
      <c r="S692" s="8"/>
    </row>
    <row r="693" spans="16:19" ht="15.75" customHeight="1" x14ac:dyDescent="0.25">
      <c r="P693" s="21"/>
      <c r="R693" s="8"/>
      <c r="S693" s="8"/>
    </row>
    <row r="694" spans="16:19" ht="15.75" customHeight="1" x14ac:dyDescent="0.25">
      <c r="P694" s="21"/>
      <c r="R694" s="8"/>
      <c r="S694" s="8"/>
    </row>
    <row r="695" spans="16:19" ht="15.75" customHeight="1" x14ac:dyDescent="0.25">
      <c r="P695" s="21"/>
      <c r="R695" s="8"/>
      <c r="S695" s="8"/>
    </row>
    <row r="696" spans="16:19" ht="15.75" customHeight="1" x14ac:dyDescent="0.25">
      <c r="P696" s="21"/>
      <c r="R696" s="8"/>
      <c r="S696" s="8"/>
    </row>
    <row r="697" spans="16:19" ht="15.75" customHeight="1" x14ac:dyDescent="0.25">
      <c r="P697" s="21"/>
      <c r="R697" s="8"/>
      <c r="S697" s="8"/>
    </row>
    <row r="698" spans="16:19" ht="15.75" customHeight="1" x14ac:dyDescent="0.25">
      <c r="P698" s="21"/>
      <c r="R698" s="8"/>
      <c r="S698" s="8"/>
    </row>
    <row r="699" spans="16:19" ht="15.75" customHeight="1" x14ac:dyDescent="0.25">
      <c r="P699" s="21"/>
      <c r="R699" s="8"/>
      <c r="S699" s="8"/>
    </row>
    <row r="700" spans="16:19" ht="15.75" customHeight="1" x14ac:dyDescent="0.25">
      <c r="P700" s="21"/>
      <c r="R700" s="8"/>
      <c r="S700" s="8"/>
    </row>
    <row r="701" spans="16:19" ht="15.75" customHeight="1" x14ac:dyDescent="0.25">
      <c r="P701" s="21"/>
      <c r="R701" s="8"/>
      <c r="S701" s="8"/>
    </row>
    <row r="702" spans="16:19" ht="15.75" customHeight="1" x14ac:dyDescent="0.25">
      <c r="P702" s="21"/>
      <c r="R702" s="8"/>
      <c r="S702" s="8"/>
    </row>
    <row r="703" spans="16:19" ht="15.75" customHeight="1" x14ac:dyDescent="0.25">
      <c r="P703" s="21"/>
      <c r="R703" s="8"/>
      <c r="S703" s="8"/>
    </row>
    <row r="704" spans="16:19" ht="15.75" customHeight="1" x14ac:dyDescent="0.25">
      <c r="P704" s="21"/>
      <c r="R704" s="8"/>
      <c r="S704" s="8"/>
    </row>
    <row r="705" spans="16:19" ht="15.75" customHeight="1" x14ac:dyDescent="0.25">
      <c r="P705" s="21"/>
      <c r="R705" s="8"/>
      <c r="S705" s="8"/>
    </row>
    <row r="706" spans="16:19" ht="15.75" customHeight="1" x14ac:dyDescent="0.25">
      <c r="P706" s="21"/>
      <c r="R706" s="8"/>
      <c r="S706" s="8"/>
    </row>
    <row r="707" spans="16:19" ht="15.75" customHeight="1" x14ac:dyDescent="0.25">
      <c r="P707" s="21"/>
      <c r="R707" s="8"/>
      <c r="S707" s="8"/>
    </row>
    <row r="708" spans="16:19" ht="15.75" customHeight="1" x14ac:dyDescent="0.25">
      <c r="P708" s="21"/>
      <c r="R708" s="8"/>
      <c r="S708" s="8"/>
    </row>
    <row r="709" spans="16:19" ht="15.75" customHeight="1" x14ac:dyDescent="0.25">
      <c r="P709" s="21"/>
      <c r="R709" s="8"/>
      <c r="S709" s="8"/>
    </row>
    <row r="710" spans="16:19" ht="15.75" customHeight="1" x14ac:dyDescent="0.25">
      <c r="P710" s="21"/>
      <c r="R710" s="8"/>
      <c r="S710" s="8"/>
    </row>
    <row r="711" spans="16:19" ht="15.75" customHeight="1" x14ac:dyDescent="0.25">
      <c r="P711" s="21"/>
      <c r="R711" s="8"/>
      <c r="S711" s="8"/>
    </row>
    <row r="712" spans="16:19" ht="15.75" customHeight="1" x14ac:dyDescent="0.25">
      <c r="P712" s="21"/>
      <c r="R712" s="8"/>
      <c r="S712" s="8"/>
    </row>
    <row r="713" spans="16:19" ht="15.75" customHeight="1" x14ac:dyDescent="0.25">
      <c r="P713" s="21"/>
      <c r="R713" s="8"/>
      <c r="S713" s="8"/>
    </row>
    <row r="714" spans="16:19" ht="15.75" customHeight="1" x14ac:dyDescent="0.25">
      <c r="P714" s="21"/>
      <c r="R714" s="8"/>
      <c r="S714" s="8"/>
    </row>
    <row r="715" spans="16:19" ht="15.75" customHeight="1" x14ac:dyDescent="0.25">
      <c r="P715" s="21"/>
      <c r="R715" s="8"/>
      <c r="S715" s="8"/>
    </row>
    <row r="716" spans="16:19" ht="15.75" customHeight="1" x14ac:dyDescent="0.25">
      <c r="P716" s="21"/>
      <c r="R716" s="8"/>
      <c r="S716" s="8"/>
    </row>
    <row r="717" spans="16:19" ht="15.75" customHeight="1" x14ac:dyDescent="0.25">
      <c r="P717" s="21"/>
      <c r="R717" s="8"/>
      <c r="S717" s="8"/>
    </row>
    <row r="718" spans="16:19" ht="15.75" customHeight="1" x14ac:dyDescent="0.25">
      <c r="P718" s="21"/>
      <c r="R718" s="8"/>
      <c r="S718" s="8"/>
    </row>
    <row r="719" spans="16:19" ht="15.75" customHeight="1" x14ac:dyDescent="0.25">
      <c r="P719" s="21"/>
      <c r="R719" s="8"/>
      <c r="S719" s="8"/>
    </row>
    <row r="720" spans="16:19" ht="15.75" customHeight="1" x14ac:dyDescent="0.25">
      <c r="P720" s="21"/>
      <c r="R720" s="8"/>
      <c r="S720" s="8"/>
    </row>
    <row r="721" spans="16:19" ht="15.75" customHeight="1" x14ac:dyDescent="0.25">
      <c r="P721" s="21"/>
      <c r="R721" s="8"/>
      <c r="S721" s="8"/>
    </row>
    <row r="722" spans="16:19" ht="15.75" customHeight="1" x14ac:dyDescent="0.25">
      <c r="P722" s="21"/>
      <c r="R722" s="8"/>
      <c r="S722" s="8"/>
    </row>
    <row r="723" spans="16:19" ht="15.75" customHeight="1" x14ac:dyDescent="0.25">
      <c r="P723" s="21"/>
      <c r="R723" s="8"/>
      <c r="S723" s="8"/>
    </row>
    <row r="724" spans="16:19" ht="15.75" customHeight="1" x14ac:dyDescent="0.25">
      <c r="P724" s="21"/>
      <c r="R724" s="8"/>
      <c r="S724" s="8"/>
    </row>
    <row r="725" spans="16:19" ht="15.75" customHeight="1" x14ac:dyDescent="0.25">
      <c r="P725" s="21"/>
      <c r="R725" s="8"/>
      <c r="S725" s="8"/>
    </row>
    <row r="726" spans="16:19" ht="15.75" customHeight="1" x14ac:dyDescent="0.25">
      <c r="P726" s="21"/>
      <c r="R726" s="8"/>
      <c r="S726" s="8"/>
    </row>
    <row r="727" spans="16:19" ht="15.75" customHeight="1" x14ac:dyDescent="0.25">
      <c r="P727" s="21"/>
      <c r="R727" s="8"/>
      <c r="S727" s="8"/>
    </row>
    <row r="728" spans="16:19" ht="15.75" customHeight="1" x14ac:dyDescent="0.25">
      <c r="P728" s="21"/>
      <c r="R728" s="8"/>
      <c r="S728" s="8"/>
    </row>
    <row r="729" spans="16:19" ht="15.75" customHeight="1" x14ac:dyDescent="0.25">
      <c r="P729" s="21"/>
      <c r="R729" s="8"/>
      <c r="S729" s="8"/>
    </row>
    <row r="730" spans="16:19" ht="15.75" customHeight="1" x14ac:dyDescent="0.25">
      <c r="P730" s="21"/>
      <c r="R730" s="8"/>
      <c r="S730" s="8"/>
    </row>
    <row r="731" spans="16:19" ht="15.75" customHeight="1" x14ac:dyDescent="0.25">
      <c r="P731" s="21"/>
      <c r="R731" s="8"/>
      <c r="S731" s="8"/>
    </row>
    <row r="732" spans="16:19" ht="15.75" customHeight="1" x14ac:dyDescent="0.25">
      <c r="P732" s="21"/>
      <c r="R732" s="8"/>
      <c r="S732" s="8"/>
    </row>
    <row r="733" spans="16:19" ht="15.75" customHeight="1" x14ac:dyDescent="0.25">
      <c r="P733" s="21"/>
      <c r="R733" s="8"/>
      <c r="S733" s="8"/>
    </row>
    <row r="734" spans="16:19" ht="15.75" customHeight="1" x14ac:dyDescent="0.25">
      <c r="P734" s="21"/>
      <c r="R734" s="8"/>
      <c r="S734" s="8"/>
    </row>
    <row r="735" spans="16:19" ht="15.75" customHeight="1" x14ac:dyDescent="0.25">
      <c r="P735" s="21"/>
      <c r="R735" s="8"/>
      <c r="S735" s="8"/>
    </row>
    <row r="736" spans="16:19" ht="15.75" customHeight="1" x14ac:dyDescent="0.25">
      <c r="P736" s="21"/>
      <c r="R736" s="8"/>
      <c r="S736" s="8"/>
    </row>
    <row r="737" spans="16:19" ht="15.75" customHeight="1" x14ac:dyDescent="0.25">
      <c r="P737" s="21"/>
      <c r="R737" s="8"/>
      <c r="S737" s="8"/>
    </row>
    <row r="738" spans="16:19" ht="15.75" customHeight="1" x14ac:dyDescent="0.25">
      <c r="P738" s="21"/>
      <c r="R738" s="8"/>
      <c r="S738" s="8"/>
    </row>
    <row r="739" spans="16:19" ht="15.75" customHeight="1" x14ac:dyDescent="0.25">
      <c r="P739" s="21"/>
      <c r="R739" s="8"/>
      <c r="S739" s="8"/>
    </row>
    <row r="740" spans="16:19" ht="15.75" customHeight="1" x14ac:dyDescent="0.25">
      <c r="P740" s="21"/>
      <c r="R740" s="8"/>
      <c r="S740" s="8"/>
    </row>
    <row r="741" spans="16:19" ht="15.75" customHeight="1" x14ac:dyDescent="0.25">
      <c r="P741" s="21"/>
      <c r="R741" s="8"/>
      <c r="S741" s="8"/>
    </row>
    <row r="742" spans="16:19" ht="15.75" customHeight="1" x14ac:dyDescent="0.25">
      <c r="P742" s="21"/>
      <c r="R742" s="8"/>
      <c r="S742" s="8"/>
    </row>
    <row r="743" spans="16:19" ht="15.75" customHeight="1" x14ac:dyDescent="0.25">
      <c r="P743" s="21"/>
      <c r="R743" s="8"/>
      <c r="S743" s="8"/>
    </row>
    <row r="744" spans="16:19" ht="15.75" customHeight="1" x14ac:dyDescent="0.25">
      <c r="P744" s="21"/>
      <c r="R744" s="8"/>
      <c r="S744" s="8"/>
    </row>
    <row r="745" spans="16:19" ht="15.75" customHeight="1" x14ac:dyDescent="0.25">
      <c r="P745" s="21"/>
      <c r="R745" s="8"/>
      <c r="S745" s="8"/>
    </row>
    <row r="746" spans="16:19" ht="15.75" customHeight="1" x14ac:dyDescent="0.25">
      <c r="P746" s="21"/>
      <c r="R746" s="8"/>
      <c r="S746" s="8"/>
    </row>
    <row r="747" spans="16:19" ht="15.75" customHeight="1" x14ac:dyDescent="0.25">
      <c r="P747" s="21"/>
      <c r="R747" s="8"/>
      <c r="S747" s="8"/>
    </row>
    <row r="748" spans="16:19" ht="15.75" customHeight="1" x14ac:dyDescent="0.25">
      <c r="P748" s="21"/>
      <c r="R748" s="8"/>
      <c r="S748" s="8"/>
    </row>
    <row r="749" spans="16:19" ht="15.75" customHeight="1" x14ac:dyDescent="0.25">
      <c r="P749" s="21"/>
      <c r="R749" s="8"/>
      <c r="S749" s="8"/>
    </row>
    <row r="750" spans="16:19" ht="15.75" customHeight="1" x14ac:dyDescent="0.25">
      <c r="P750" s="21"/>
      <c r="R750" s="8"/>
      <c r="S750" s="8"/>
    </row>
    <row r="751" spans="16:19" ht="15.75" customHeight="1" x14ac:dyDescent="0.25">
      <c r="P751" s="21"/>
      <c r="R751" s="8"/>
      <c r="S751" s="8"/>
    </row>
    <row r="752" spans="16:19" ht="15.75" customHeight="1" x14ac:dyDescent="0.25">
      <c r="P752" s="21"/>
      <c r="R752" s="8"/>
      <c r="S752" s="8"/>
    </row>
    <row r="753" spans="16:19" ht="15.75" customHeight="1" x14ac:dyDescent="0.25">
      <c r="P753" s="21"/>
      <c r="R753" s="8"/>
      <c r="S753" s="8"/>
    </row>
    <row r="754" spans="16:19" ht="15.75" customHeight="1" x14ac:dyDescent="0.25">
      <c r="P754" s="21"/>
      <c r="R754" s="8"/>
      <c r="S754" s="8"/>
    </row>
    <row r="755" spans="16:19" ht="15.75" customHeight="1" x14ac:dyDescent="0.25">
      <c r="P755" s="21"/>
      <c r="R755" s="8"/>
      <c r="S755" s="8"/>
    </row>
    <row r="756" spans="16:19" ht="15.75" customHeight="1" x14ac:dyDescent="0.25">
      <c r="P756" s="21"/>
      <c r="R756" s="8"/>
      <c r="S756" s="8"/>
    </row>
    <row r="757" spans="16:19" ht="15.75" customHeight="1" x14ac:dyDescent="0.25">
      <c r="P757" s="21"/>
      <c r="R757" s="8"/>
      <c r="S757" s="8"/>
    </row>
    <row r="758" spans="16:19" ht="15.75" customHeight="1" x14ac:dyDescent="0.25">
      <c r="P758" s="21"/>
      <c r="R758" s="8"/>
      <c r="S758" s="8"/>
    </row>
    <row r="759" spans="16:19" ht="15.75" customHeight="1" x14ac:dyDescent="0.25">
      <c r="P759" s="21"/>
      <c r="R759" s="8"/>
      <c r="S759" s="8"/>
    </row>
    <row r="760" spans="16:19" ht="15.75" customHeight="1" x14ac:dyDescent="0.25">
      <c r="P760" s="21"/>
      <c r="R760" s="8"/>
      <c r="S760" s="8"/>
    </row>
    <row r="761" spans="16:19" ht="15.75" customHeight="1" x14ac:dyDescent="0.25">
      <c r="P761" s="21"/>
      <c r="R761" s="8"/>
      <c r="S761" s="8"/>
    </row>
    <row r="762" spans="16:19" ht="15.75" customHeight="1" x14ac:dyDescent="0.25">
      <c r="P762" s="21"/>
      <c r="R762" s="8"/>
      <c r="S762" s="8"/>
    </row>
    <row r="763" spans="16:19" ht="15.75" customHeight="1" x14ac:dyDescent="0.25">
      <c r="P763" s="21"/>
      <c r="R763" s="8"/>
      <c r="S763" s="8"/>
    </row>
    <row r="764" spans="16:19" ht="15.75" customHeight="1" x14ac:dyDescent="0.25">
      <c r="P764" s="21"/>
      <c r="R764" s="8"/>
      <c r="S764" s="8"/>
    </row>
    <row r="765" spans="16:19" ht="15.75" customHeight="1" x14ac:dyDescent="0.25">
      <c r="P765" s="21"/>
      <c r="R765" s="8"/>
      <c r="S765" s="8"/>
    </row>
    <row r="766" spans="16:19" ht="15.75" customHeight="1" x14ac:dyDescent="0.25">
      <c r="P766" s="21"/>
      <c r="R766" s="8"/>
      <c r="S766" s="8"/>
    </row>
    <row r="767" spans="16:19" ht="15.75" customHeight="1" x14ac:dyDescent="0.25">
      <c r="P767" s="21"/>
      <c r="R767" s="8"/>
      <c r="S767" s="8"/>
    </row>
    <row r="768" spans="16:19" ht="15.75" customHeight="1" x14ac:dyDescent="0.25">
      <c r="P768" s="21"/>
      <c r="R768" s="8"/>
      <c r="S768" s="8"/>
    </row>
    <row r="769" spans="16:19" ht="15.75" customHeight="1" x14ac:dyDescent="0.25">
      <c r="P769" s="21"/>
      <c r="R769" s="8"/>
      <c r="S769" s="8"/>
    </row>
    <row r="770" spans="16:19" ht="15.75" customHeight="1" x14ac:dyDescent="0.25">
      <c r="P770" s="21"/>
      <c r="R770" s="8"/>
      <c r="S770" s="8"/>
    </row>
    <row r="771" spans="16:19" ht="15.75" customHeight="1" x14ac:dyDescent="0.25">
      <c r="P771" s="21"/>
      <c r="R771" s="8"/>
      <c r="S771" s="8"/>
    </row>
    <row r="772" spans="16:19" ht="15.75" customHeight="1" x14ac:dyDescent="0.25">
      <c r="P772" s="21"/>
      <c r="R772" s="8"/>
      <c r="S772" s="8"/>
    </row>
    <row r="773" spans="16:19" ht="15.75" customHeight="1" x14ac:dyDescent="0.25">
      <c r="P773" s="21"/>
      <c r="R773" s="8"/>
      <c r="S773" s="8"/>
    </row>
    <row r="774" spans="16:19" ht="15.75" customHeight="1" x14ac:dyDescent="0.25">
      <c r="P774" s="21"/>
      <c r="R774" s="8"/>
      <c r="S774" s="8"/>
    </row>
    <row r="775" spans="16:19" ht="15.75" customHeight="1" x14ac:dyDescent="0.25">
      <c r="P775" s="21"/>
      <c r="R775" s="8"/>
      <c r="S775" s="8"/>
    </row>
    <row r="776" spans="16:19" ht="15.75" customHeight="1" x14ac:dyDescent="0.25">
      <c r="P776" s="21"/>
      <c r="R776" s="8"/>
      <c r="S776" s="8"/>
    </row>
    <row r="777" spans="16:19" ht="15.75" customHeight="1" x14ac:dyDescent="0.25">
      <c r="P777" s="21"/>
      <c r="R777" s="8"/>
      <c r="S777" s="8"/>
    </row>
    <row r="778" spans="16:19" ht="15.75" customHeight="1" x14ac:dyDescent="0.25">
      <c r="P778" s="21"/>
      <c r="R778" s="8"/>
      <c r="S778" s="8"/>
    </row>
    <row r="779" spans="16:19" ht="15.75" customHeight="1" x14ac:dyDescent="0.25">
      <c r="P779" s="21"/>
      <c r="R779" s="8"/>
      <c r="S779" s="8"/>
    </row>
    <row r="780" spans="16:19" ht="15.75" customHeight="1" x14ac:dyDescent="0.25">
      <c r="P780" s="21"/>
      <c r="R780" s="8"/>
      <c r="S780" s="8"/>
    </row>
    <row r="781" spans="16:19" ht="15.75" customHeight="1" x14ac:dyDescent="0.25">
      <c r="P781" s="21"/>
      <c r="R781" s="8"/>
      <c r="S781" s="8"/>
    </row>
    <row r="782" spans="16:19" ht="15.75" customHeight="1" x14ac:dyDescent="0.25">
      <c r="P782" s="21"/>
      <c r="R782" s="8"/>
      <c r="S782" s="8"/>
    </row>
    <row r="783" spans="16:19" ht="15.75" customHeight="1" x14ac:dyDescent="0.25">
      <c r="P783" s="21"/>
      <c r="R783" s="8"/>
      <c r="S783" s="8"/>
    </row>
    <row r="784" spans="16:19" ht="15.75" customHeight="1" x14ac:dyDescent="0.25">
      <c r="P784" s="21"/>
      <c r="R784" s="8"/>
      <c r="S784" s="8"/>
    </row>
    <row r="785" spans="16:19" ht="15.75" customHeight="1" x14ac:dyDescent="0.25">
      <c r="P785" s="21"/>
      <c r="R785" s="8"/>
      <c r="S785" s="8"/>
    </row>
    <row r="786" spans="16:19" ht="15.75" customHeight="1" x14ac:dyDescent="0.25">
      <c r="P786" s="21"/>
      <c r="R786" s="8"/>
      <c r="S786" s="8"/>
    </row>
    <row r="787" spans="16:19" ht="15.75" customHeight="1" x14ac:dyDescent="0.25">
      <c r="P787" s="21"/>
      <c r="R787" s="8"/>
      <c r="S787" s="8"/>
    </row>
    <row r="788" spans="16:19" ht="15.75" customHeight="1" x14ac:dyDescent="0.25">
      <c r="P788" s="21"/>
      <c r="R788" s="8"/>
      <c r="S788" s="8"/>
    </row>
    <row r="789" spans="16:19" ht="15.75" customHeight="1" x14ac:dyDescent="0.25">
      <c r="P789" s="21"/>
      <c r="R789" s="8"/>
      <c r="S789" s="8"/>
    </row>
    <row r="790" spans="16:19" ht="15.75" customHeight="1" x14ac:dyDescent="0.25">
      <c r="P790" s="21"/>
      <c r="R790" s="8"/>
      <c r="S790" s="8"/>
    </row>
    <row r="791" spans="16:19" ht="15.75" customHeight="1" x14ac:dyDescent="0.25">
      <c r="P791" s="21"/>
      <c r="R791" s="8"/>
      <c r="S791" s="8"/>
    </row>
    <row r="792" spans="16:19" ht="15.75" customHeight="1" x14ac:dyDescent="0.25">
      <c r="P792" s="21"/>
      <c r="R792" s="8"/>
      <c r="S792" s="8"/>
    </row>
    <row r="793" spans="16:19" ht="15.75" customHeight="1" x14ac:dyDescent="0.25">
      <c r="P793" s="21"/>
      <c r="R793" s="8"/>
      <c r="S793" s="8"/>
    </row>
    <row r="794" spans="16:19" ht="15.75" customHeight="1" x14ac:dyDescent="0.25">
      <c r="P794" s="21"/>
      <c r="R794" s="8"/>
      <c r="S794" s="8"/>
    </row>
    <row r="795" spans="16:19" ht="15.75" customHeight="1" x14ac:dyDescent="0.25">
      <c r="P795" s="21"/>
      <c r="R795" s="8"/>
      <c r="S795" s="8"/>
    </row>
    <row r="796" spans="16:19" ht="15.75" customHeight="1" x14ac:dyDescent="0.25">
      <c r="P796" s="21"/>
      <c r="R796" s="8"/>
      <c r="S796" s="8"/>
    </row>
    <row r="797" spans="16:19" ht="15.75" customHeight="1" x14ac:dyDescent="0.25">
      <c r="P797" s="21"/>
      <c r="R797" s="8"/>
      <c r="S797" s="8"/>
    </row>
    <row r="798" spans="16:19" ht="15.75" customHeight="1" x14ac:dyDescent="0.25">
      <c r="P798" s="21"/>
      <c r="R798" s="8"/>
      <c r="S798" s="8"/>
    </row>
    <row r="799" spans="16:19" ht="15.75" customHeight="1" x14ac:dyDescent="0.25">
      <c r="P799" s="21"/>
      <c r="R799" s="8"/>
      <c r="S799" s="8"/>
    </row>
    <row r="800" spans="16:19" ht="15.75" customHeight="1" x14ac:dyDescent="0.25">
      <c r="P800" s="21"/>
      <c r="R800" s="8"/>
      <c r="S800" s="8"/>
    </row>
    <row r="801" spans="16:19" ht="15.75" customHeight="1" x14ac:dyDescent="0.25">
      <c r="P801" s="21"/>
      <c r="R801" s="8"/>
      <c r="S801" s="8"/>
    </row>
    <row r="802" spans="16:19" ht="15.75" customHeight="1" x14ac:dyDescent="0.25">
      <c r="P802" s="21"/>
      <c r="R802" s="8"/>
      <c r="S802" s="8"/>
    </row>
    <row r="803" spans="16:19" ht="15.75" customHeight="1" x14ac:dyDescent="0.25">
      <c r="P803" s="21"/>
      <c r="R803" s="8"/>
      <c r="S803" s="8"/>
    </row>
    <row r="804" spans="16:19" ht="15.75" customHeight="1" x14ac:dyDescent="0.25">
      <c r="P804" s="21"/>
      <c r="R804" s="8"/>
      <c r="S804" s="8"/>
    </row>
    <row r="805" spans="16:19" ht="15.75" customHeight="1" x14ac:dyDescent="0.25">
      <c r="P805" s="21"/>
      <c r="R805" s="8"/>
      <c r="S805" s="8"/>
    </row>
    <row r="806" spans="16:19" ht="15.75" customHeight="1" x14ac:dyDescent="0.25">
      <c r="P806" s="21"/>
      <c r="R806" s="8"/>
      <c r="S806" s="8"/>
    </row>
    <row r="807" spans="16:19" ht="15.75" customHeight="1" x14ac:dyDescent="0.25">
      <c r="P807" s="21"/>
      <c r="R807" s="8"/>
      <c r="S807" s="8"/>
    </row>
    <row r="808" spans="16:19" ht="15.75" customHeight="1" x14ac:dyDescent="0.25">
      <c r="P808" s="21"/>
      <c r="R808" s="8"/>
      <c r="S808" s="8"/>
    </row>
    <row r="809" spans="16:19" ht="15.75" customHeight="1" x14ac:dyDescent="0.25">
      <c r="P809" s="21"/>
      <c r="R809" s="8"/>
      <c r="S809" s="8"/>
    </row>
    <row r="810" spans="16:19" ht="15.75" customHeight="1" x14ac:dyDescent="0.25">
      <c r="P810" s="21"/>
      <c r="R810" s="8"/>
      <c r="S810" s="8"/>
    </row>
    <row r="811" spans="16:19" ht="15.75" customHeight="1" x14ac:dyDescent="0.25">
      <c r="P811" s="21"/>
      <c r="R811" s="8"/>
      <c r="S811" s="8"/>
    </row>
    <row r="812" spans="16:19" ht="15.75" customHeight="1" x14ac:dyDescent="0.25">
      <c r="P812" s="21"/>
      <c r="R812" s="8"/>
      <c r="S812" s="8"/>
    </row>
    <row r="813" spans="16:19" ht="15.75" customHeight="1" x14ac:dyDescent="0.25">
      <c r="P813" s="21"/>
      <c r="R813" s="8"/>
      <c r="S813" s="8"/>
    </row>
    <row r="814" spans="16:19" ht="15.75" customHeight="1" x14ac:dyDescent="0.25">
      <c r="P814" s="21"/>
      <c r="R814" s="8"/>
      <c r="S814" s="8"/>
    </row>
    <row r="815" spans="16:19" ht="15.75" customHeight="1" x14ac:dyDescent="0.25">
      <c r="P815" s="21"/>
      <c r="R815" s="8"/>
      <c r="S815" s="8"/>
    </row>
    <row r="816" spans="16:19" ht="15.75" customHeight="1" x14ac:dyDescent="0.25">
      <c r="P816" s="21"/>
      <c r="R816" s="8"/>
      <c r="S816" s="8"/>
    </row>
    <row r="817" spans="16:19" ht="15.75" customHeight="1" x14ac:dyDescent="0.25">
      <c r="P817" s="21"/>
      <c r="R817" s="8"/>
      <c r="S817" s="8"/>
    </row>
    <row r="818" spans="16:19" ht="15.75" customHeight="1" x14ac:dyDescent="0.25">
      <c r="P818" s="21"/>
      <c r="R818" s="8"/>
      <c r="S818" s="8"/>
    </row>
    <row r="819" spans="16:19" ht="15.75" customHeight="1" x14ac:dyDescent="0.25">
      <c r="P819" s="21"/>
      <c r="R819" s="8"/>
      <c r="S819" s="8"/>
    </row>
    <row r="820" spans="16:19" ht="15.75" customHeight="1" x14ac:dyDescent="0.25">
      <c r="P820" s="21"/>
      <c r="R820" s="8"/>
      <c r="S820" s="8"/>
    </row>
    <row r="821" spans="16:19" ht="15.75" customHeight="1" x14ac:dyDescent="0.25">
      <c r="P821" s="21"/>
      <c r="R821" s="8"/>
      <c r="S821" s="8"/>
    </row>
    <row r="822" spans="16:19" ht="15.75" customHeight="1" x14ac:dyDescent="0.25">
      <c r="P822" s="21"/>
      <c r="R822" s="8"/>
      <c r="S822" s="8"/>
    </row>
    <row r="823" spans="16:19" ht="15.75" customHeight="1" x14ac:dyDescent="0.25">
      <c r="P823" s="21"/>
      <c r="R823" s="8"/>
      <c r="S823" s="8"/>
    </row>
    <row r="824" spans="16:19" ht="15.75" customHeight="1" x14ac:dyDescent="0.25">
      <c r="P824" s="21"/>
      <c r="R824" s="8"/>
      <c r="S824" s="8"/>
    </row>
    <row r="825" spans="16:19" ht="15.75" customHeight="1" x14ac:dyDescent="0.25">
      <c r="P825" s="21"/>
      <c r="R825" s="8"/>
      <c r="S825" s="8"/>
    </row>
    <row r="826" spans="16:19" ht="15.75" customHeight="1" x14ac:dyDescent="0.25">
      <c r="P826" s="21"/>
      <c r="R826" s="8"/>
      <c r="S826" s="8"/>
    </row>
    <row r="827" spans="16:19" ht="15.75" customHeight="1" x14ac:dyDescent="0.25">
      <c r="P827" s="21"/>
      <c r="R827" s="8"/>
      <c r="S827" s="8"/>
    </row>
    <row r="828" spans="16:19" ht="15.75" customHeight="1" x14ac:dyDescent="0.25">
      <c r="P828" s="21"/>
      <c r="R828" s="8"/>
      <c r="S828" s="8"/>
    </row>
    <row r="829" spans="16:19" ht="15.75" customHeight="1" x14ac:dyDescent="0.25">
      <c r="P829" s="21"/>
      <c r="R829" s="8"/>
      <c r="S829" s="8"/>
    </row>
    <row r="830" spans="16:19" ht="15.75" customHeight="1" x14ac:dyDescent="0.25">
      <c r="P830" s="21"/>
      <c r="R830" s="8"/>
      <c r="S830" s="8"/>
    </row>
    <row r="831" spans="16:19" ht="15.75" customHeight="1" x14ac:dyDescent="0.25">
      <c r="P831" s="21"/>
      <c r="R831" s="8"/>
      <c r="S831" s="8"/>
    </row>
    <row r="832" spans="16:19" ht="15.75" customHeight="1" x14ac:dyDescent="0.25">
      <c r="P832" s="21"/>
      <c r="R832" s="8"/>
      <c r="S832" s="8"/>
    </row>
    <row r="833" spans="16:19" ht="15.75" customHeight="1" x14ac:dyDescent="0.25">
      <c r="P833" s="21"/>
      <c r="R833" s="8"/>
      <c r="S833" s="8"/>
    </row>
    <row r="834" spans="16:19" ht="15.75" customHeight="1" x14ac:dyDescent="0.25">
      <c r="P834" s="21"/>
      <c r="R834" s="8"/>
      <c r="S834" s="8"/>
    </row>
    <row r="835" spans="16:19" ht="15.75" customHeight="1" x14ac:dyDescent="0.25">
      <c r="P835" s="21"/>
      <c r="R835" s="8"/>
      <c r="S835" s="8"/>
    </row>
    <row r="836" spans="16:19" ht="15.75" customHeight="1" x14ac:dyDescent="0.25">
      <c r="P836" s="21"/>
      <c r="R836" s="8"/>
      <c r="S836" s="8"/>
    </row>
    <row r="837" spans="16:19" ht="15.75" customHeight="1" x14ac:dyDescent="0.25">
      <c r="P837" s="21"/>
      <c r="R837" s="8"/>
      <c r="S837" s="8"/>
    </row>
    <row r="838" spans="16:19" ht="15.75" customHeight="1" x14ac:dyDescent="0.25">
      <c r="P838" s="21"/>
      <c r="R838" s="8"/>
      <c r="S838" s="8"/>
    </row>
    <row r="839" spans="16:19" ht="15.75" customHeight="1" x14ac:dyDescent="0.25">
      <c r="P839" s="21"/>
      <c r="R839" s="8"/>
      <c r="S839" s="8"/>
    </row>
    <row r="840" spans="16:19" ht="15.75" customHeight="1" x14ac:dyDescent="0.25">
      <c r="P840" s="21"/>
      <c r="R840" s="8"/>
      <c r="S840" s="8"/>
    </row>
    <row r="841" spans="16:19" ht="15.75" customHeight="1" x14ac:dyDescent="0.25">
      <c r="P841" s="21"/>
      <c r="R841" s="8"/>
      <c r="S841" s="8"/>
    </row>
    <row r="842" spans="16:19" ht="15.75" customHeight="1" x14ac:dyDescent="0.25">
      <c r="P842" s="21"/>
      <c r="R842" s="8"/>
      <c r="S842" s="8"/>
    </row>
    <row r="843" spans="16:19" ht="15.75" customHeight="1" x14ac:dyDescent="0.25">
      <c r="P843" s="21"/>
      <c r="R843" s="8"/>
      <c r="S843" s="8"/>
    </row>
    <row r="844" spans="16:19" ht="15.75" customHeight="1" x14ac:dyDescent="0.25">
      <c r="P844" s="21"/>
      <c r="R844" s="8"/>
      <c r="S844" s="8"/>
    </row>
    <row r="845" spans="16:19" ht="15.75" customHeight="1" x14ac:dyDescent="0.25">
      <c r="P845" s="21"/>
      <c r="R845" s="8"/>
      <c r="S845" s="8"/>
    </row>
    <row r="846" spans="16:19" ht="15.75" customHeight="1" x14ac:dyDescent="0.25">
      <c r="P846" s="21"/>
      <c r="R846" s="8"/>
      <c r="S846" s="8"/>
    </row>
    <row r="847" spans="16:19" ht="15.75" customHeight="1" x14ac:dyDescent="0.25">
      <c r="P847" s="21"/>
      <c r="R847" s="8"/>
      <c r="S847" s="8"/>
    </row>
    <row r="848" spans="16:19" ht="15.75" customHeight="1" x14ac:dyDescent="0.25">
      <c r="P848" s="21"/>
      <c r="R848" s="8"/>
      <c r="S848" s="8"/>
    </row>
    <row r="849" spans="16:19" ht="15.75" customHeight="1" x14ac:dyDescent="0.25">
      <c r="P849" s="21"/>
      <c r="R849" s="8"/>
      <c r="S849" s="8"/>
    </row>
    <row r="850" spans="16:19" ht="15.75" customHeight="1" x14ac:dyDescent="0.25">
      <c r="P850" s="21"/>
      <c r="R850" s="8"/>
      <c r="S850" s="8"/>
    </row>
    <row r="851" spans="16:19" ht="15.75" customHeight="1" x14ac:dyDescent="0.25">
      <c r="P851" s="21"/>
      <c r="R851" s="8"/>
      <c r="S851" s="8"/>
    </row>
    <row r="852" spans="16:19" ht="15.75" customHeight="1" x14ac:dyDescent="0.25">
      <c r="P852" s="21"/>
      <c r="R852" s="8"/>
      <c r="S852" s="8"/>
    </row>
    <row r="853" spans="16:19" ht="15.75" customHeight="1" x14ac:dyDescent="0.25">
      <c r="P853" s="21"/>
      <c r="R853" s="8"/>
      <c r="S853" s="8"/>
    </row>
    <row r="854" spans="16:19" ht="15.75" customHeight="1" x14ac:dyDescent="0.25">
      <c r="P854" s="21"/>
      <c r="R854" s="8"/>
      <c r="S854" s="8"/>
    </row>
    <row r="855" spans="16:19" ht="15.75" customHeight="1" x14ac:dyDescent="0.25">
      <c r="P855" s="21"/>
      <c r="R855" s="8"/>
      <c r="S855" s="8"/>
    </row>
    <row r="856" spans="16:19" ht="15.75" customHeight="1" x14ac:dyDescent="0.25">
      <c r="P856" s="21"/>
      <c r="R856" s="8"/>
      <c r="S856" s="8"/>
    </row>
    <row r="857" spans="16:19" ht="15.75" customHeight="1" x14ac:dyDescent="0.25">
      <c r="P857" s="21"/>
      <c r="R857" s="8"/>
      <c r="S857" s="8"/>
    </row>
    <row r="858" spans="16:19" ht="15.75" customHeight="1" x14ac:dyDescent="0.25">
      <c r="P858" s="21"/>
      <c r="R858" s="8"/>
      <c r="S858" s="8"/>
    </row>
    <row r="859" spans="16:19" ht="15.75" customHeight="1" x14ac:dyDescent="0.25">
      <c r="P859" s="21"/>
      <c r="R859" s="8"/>
      <c r="S859" s="8"/>
    </row>
    <row r="860" spans="16:19" ht="15.75" customHeight="1" x14ac:dyDescent="0.25">
      <c r="P860" s="21"/>
      <c r="R860" s="8"/>
      <c r="S860" s="8"/>
    </row>
    <row r="861" spans="16:19" ht="15.75" customHeight="1" x14ac:dyDescent="0.25">
      <c r="P861" s="21"/>
      <c r="R861" s="8"/>
      <c r="S861" s="8"/>
    </row>
    <row r="862" spans="16:19" ht="15.75" customHeight="1" x14ac:dyDescent="0.25">
      <c r="P862" s="21"/>
      <c r="R862" s="8"/>
      <c r="S862" s="8"/>
    </row>
    <row r="863" spans="16:19" ht="15.75" customHeight="1" x14ac:dyDescent="0.25">
      <c r="P863" s="21"/>
      <c r="R863" s="8"/>
      <c r="S863" s="8"/>
    </row>
    <row r="864" spans="16:19" ht="15.75" customHeight="1" x14ac:dyDescent="0.25">
      <c r="P864" s="21"/>
      <c r="R864" s="8"/>
      <c r="S864" s="8"/>
    </row>
    <row r="865" spans="16:19" ht="15.75" customHeight="1" x14ac:dyDescent="0.25">
      <c r="P865" s="21"/>
      <c r="R865" s="8"/>
      <c r="S865" s="8"/>
    </row>
    <row r="866" spans="16:19" ht="15.75" customHeight="1" x14ac:dyDescent="0.25">
      <c r="P866" s="21"/>
      <c r="R866" s="8"/>
      <c r="S866" s="8"/>
    </row>
    <row r="867" spans="16:19" ht="15.75" customHeight="1" x14ac:dyDescent="0.25">
      <c r="P867" s="21"/>
      <c r="R867" s="8"/>
      <c r="S867" s="8"/>
    </row>
    <row r="868" spans="16:19" ht="15.75" customHeight="1" x14ac:dyDescent="0.25">
      <c r="P868" s="21"/>
      <c r="R868" s="8"/>
      <c r="S868" s="8"/>
    </row>
    <row r="869" spans="16:19" ht="15.75" customHeight="1" x14ac:dyDescent="0.25">
      <c r="P869" s="21"/>
      <c r="R869" s="8"/>
      <c r="S869" s="8"/>
    </row>
    <row r="870" spans="16:19" ht="15.75" customHeight="1" x14ac:dyDescent="0.25">
      <c r="P870" s="21"/>
      <c r="R870" s="8"/>
      <c r="S870" s="8"/>
    </row>
    <row r="871" spans="16:19" ht="15.75" customHeight="1" x14ac:dyDescent="0.25">
      <c r="P871" s="21"/>
      <c r="R871" s="8"/>
      <c r="S871" s="8"/>
    </row>
    <row r="872" spans="16:19" ht="15.75" customHeight="1" x14ac:dyDescent="0.25">
      <c r="P872" s="21"/>
      <c r="R872" s="8"/>
      <c r="S872" s="8"/>
    </row>
    <row r="873" spans="16:19" ht="15.75" customHeight="1" x14ac:dyDescent="0.25">
      <c r="P873" s="21"/>
      <c r="R873" s="8"/>
      <c r="S873" s="8"/>
    </row>
    <row r="874" spans="16:19" ht="15.75" customHeight="1" x14ac:dyDescent="0.25">
      <c r="P874" s="21"/>
      <c r="R874" s="8"/>
      <c r="S874" s="8"/>
    </row>
    <row r="875" spans="16:19" ht="15.75" customHeight="1" x14ac:dyDescent="0.25">
      <c r="P875" s="21"/>
      <c r="R875" s="8"/>
      <c r="S875" s="8"/>
    </row>
    <row r="876" spans="16:19" ht="15.75" customHeight="1" x14ac:dyDescent="0.25">
      <c r="P876" s="21"/>
      <c r="R876" s="8"/>
      <c r="S876" s="8"/>
    </row>
    <row r="877" spans="16:19" ht="15.75" customHeight="1" x14ac:dyDescent="0.25">
      <c r="P877" s="21"/>
      <c r="R877" s="8"/>
      <c r="S877" s="8"/>
    </row>
    <row r="878" spans="16:19" ht="15.75" customHeight="1" x14ac:dyDescent="0.25">
      <c r="P878" s="21"/>
      <c r="R878" s="8"/>
      <c r="S878" s="8"/>
    </row>
    <row r="879" spans="16:19" ht="15.75" customHeight="1" x14ac:dyDescent="0.25">
      <c r="P879" s="21"/>
      <c r="R879" s="8"/>
      <c r="S879" s="8"/>
    </row>
    <row r="880" spans="16:19" ht="15.75" customHeight="1" x14ac:dyDescent="0.25">
      <c r="P880" s="21"/>
      <c r="R880" s="8"/>
      <c r="S880" s="8"/>
    </row>
    <row r="881" spans="16:19" ht="15.75" customHeight="1" x14ac:dyDescent="0.25">
      <c r="P881" s="21"/>
      <c r="R881" s="8"/>
      <c r="S881" s="8"/>
    </row>
    <row r="882" spans="16:19" ht="15.75" customHeight="1" x14ac:dyDescent="0.25">
      <c r="P882" s="21"/>
      <c r="R882" s="8"/>
      <c r="S882" s="8"/>
    </row>
    <row r="883" spans="16:19" ht="15.75" customHeight="1" x14ac:dyDescent="0.25">
      <c r="P883" s="21"/>
      <c r="R883" s="8"/>
      <c r="S883" s="8"/>
    </row>
    <row r="884" spans="16:19" ht="15.75" customHeight="1" x14ac:dyDescent="0.25">
      <c r="P884" s="21"/>
      <c r="R884" s="8"/>
      <c r="S884" s="8"/>
    </row>
    <row r="885" spans="16:19" ht="15.75" customHeight="1" x14ac:dyDescent="0.25">
      <c r="P885" s="21"/>
      <c r="R885" s="8"/>
      <c r="S885" s="8"/>
    </row>
    <row r="886" spans="16:19" ht="15.75" customHeight="1" x14ac:dyDescent="0.25">
      <c r="P886" s="21"/>
      <c r="R886" s="8"/>
      <c r="S886" s="8"/>
    </row>
    <row r="887" spans="16:19" ht="15.75" customHeight="1" x14ac:dyDescent="0.25">
      <c r="P887" s="21"/>
      <c r="R887" s="8"/>
      <c r="S887" s="8"/>
    </row>
    <row r="888" spans="16:19" ht="15.75" customHeight="1" x14ac:dyDescent="0.25">
      <c r="P888" s="21"/>
      <c r="R888" s="8"/>
      <c r="S888" s="8"/>
    </row>
    <row r="889" spans="16:19" ht="15.75" customHeight="1" x14ac:dyDescent="0.25">
      <c r="P889" s="21"/>
      <c r="R889" s="8"/>
      <c r="S889" s="8"/>
    </row>
    <row r="890" spans="16:19" ht="15.75" customHeight="1" x14ac:dyDescent="0.25">
      <c r="P890" s="21"/>
      <c r="R890" s="8"/>
      <c r="S890" s="8"/>
    </row>
    <row r="891" spans="16:19" ht="15.75" customHeight="1" x14ac:dyDescent="0.25">
      <c r="P891" s="21"/>
      <c r="R891" s="8"/>
      <c r="S891" s="8"/>
    </row>
    <row r="892" spans="16:19" ht="15.75" customHeight="1" x14ac:dyDescent="0.25">
      <c r="P892" s="21"/>
      <c r="R892" s="8"/>
      <c r="S892" s="8"/>
    </row>
    <row r="893" spans="16:19" ht="15.75" customHeight="1" x14ac:dyDescent="0.25">
      <c r="P893" s="21"/>
      <c r="R893" s="8"/>
      <c r="S893" s="8"/>
    </row>
    <row r="894" spans="16:19" ht="15.75" customHeight="1" x14ac:dyDescent="0.25">
      <c r="P894" s="21"/>
      <c r="R894" s="8"/>
      <c r="S894" s="8"/>
    </row>
    <row r="895" spans="16:19" ht="15.75" customHeight="1" x14ac:dyDescent="0.25">
      <c r="P895" s="21"/>
      <c r="R895" s="8"/>
      <c r="S895" s="8"/>
    </row>
    <row r="896" spans="16:19" ht="15.75" customHeight="1" x14ac:dyDescent="0.25">
      <c r="P896" s="21"/>
      <c r="R896" s="8"/>
      <c r="S896" s="8"/>
    </row>
    <row r="897" spans="16:19" ht="15.75" customHeight="1" x14ac:dyDescent="0.25">
      <c r="P897" s="21"/>
      <c r="R897" s="8"/>
      <c r="S897" s="8"/>
    </row>
    <row r="898" spans="16:19" ht="15.75" customHeight="1" x14ac:dyDescent="0.25">
      <c r="P898" s="21"/>
      <c r="R898" s="8"/>
      <c r="S898" s="8"/>
    </row>
    <row r="899" spans="16:19" ht="15.75" customHeight="1" x14ac:dyDescent="0.25">
      <c r="P899" s="21"/>
      <c r="R899" s="8"/>
      <c r="S899" s="8"/>
    </row>
    <row r="900" spans="16:19" ht="15.75" customHeight="1" x14ac:dyDescent="0.25">
      <c r="P900" s="21"/>
      <c r="R900" s="8"/>
      <c r="S900" s="8"/>
    </row>
    <row r="901" spans="16:19" ht="15.75" customHeight="1" x14ac:dyDescent="0.25">
      <c r="P901" s="21"/>
      <c r="R901" s="8"/>
      <c r="S901" s="8"/>
    </row>
    <row r="902" spans="16:19" ht="15.75" customHeight="1" x14ac:dyDescent="0.25">
      <c r="P902" s="21"/>
      <c r="R902" s="8"/>
      <c r="S902" s="8"/>
    </row>
    <row r="903" spans="16:19" ht="15.75" customHeight="1" x14ac:dyDescent="0.25">
      <c r="P903" s="21"/>
      <c r="R903" s="8"/>
      <c r="S903" s="8"/>
    </row>
    <row r="904" spans="16:19" ht="15.75" customHeight="1" x14ac:dyDescent="0.25">
      <c r="P904" s="21"/>
      <c r="R904" s="8"/>
      <c r="S904" s="8"/>
    </row>
    <row r="905" spans="16:19" ht="15.75" customHeight="1" x14ac:dyDescent="0.25">
      <c r="P905" s="21"/>
      <c r="R905" s="8"/>
      <c r="S905" s="8"/>
    </row>
    <row r="906" spans="16:19" ht="15.75" customHeight="1" x14ac:dyDescent="0.25">
      <c r="P906" s="21"/>
      <c r="R906" s="8"/>
      <c r="S906" s="8"/>
    </row>
    <row r="907" spans="16:19" ht="15.75" customHeight="1" x14ac:dyDescent="0.25">
      <c r="P907" s="21"/>
      <c r="R907" s="8"/>
      <c r="S907" s="8"/>
    </row>
    <row r="908" spans="16:19" ht="15.75" customHeight="1" x14ac:dyDescent="0.25">
      <c r="P908" s="21"/>
      <c r="R908" s="8"/>
      <c r="S908" s="8"/>
    </row>
    <row r="909" spans="16:19" ht="15.75" customHeight="1" x14ac:dyDescent="0.25">
      <c r="P909" s="21"/>
      <c r="R909" s="8"/>
      <c r="S909" s="8"/>
    </row>
    <row r="910" spans="16:19" ht="15.75" customHeight="1" x14ac:dyDescent="0.25">
      <c r="P910" s="21"/>
      <c r="R910" s="8"/>
      <c r="S910" s="8"/>
    </row>
    <row r="911" spans="16:19" ht="15.75" customHeight="1" x14ac:dyDescent="0.25">
      <c r="P911" s="21"/>
      <c r="R911" s="8"/>
      <c r="S911" s="8"/>
    </row>
    <row r="912" spans="16:19" ht="15.75" customHeight="1" x14ac:dyDescent="0.25">
      <c r="P912" s="21"/>
      <c r="R912" s="8"/>
      <c r="S912" s="8"/>
    </row>
    <row r="913" spans="16:19" ht="15.75" customHeight="1" x14ac:dyDescent="0.25">
      <c r="P913" s="21"/>
      <c r="R913" s="8"/>
      <c r="S913" s="8"/>
    </row>
    <row r="914" spans="16:19" ht="15.75" customHeight="1" x14ac:dyDescent="0.25">
      <c r="P914" s="21"/>
      <c r="R914" s="8"/>
      <c r="S914" s="8"/>
    </row>
    <row r="915" spans="16:19" ht="15.75" customHeight="1" x14ac:dyDescent="0.25">
      <c r="P915" s="21"/>
      <c r="R915" s="8"/>
      <c r="S915" s="8"/>
    </row>
    <row r="916" spans="16:19" ht="15.75" customHeight="1" x14ac:dyDescent="0.25">
      <c r="P916" s="21"/>
      <c r="R916" s="8"/>
      <c r="S916" s="8"/>
    </row>
    <row r="917" spans="16:19" ht="15.75" customHeight="1" x14ac:dyDescent="0.25">
      <c r="P917" s="21"/>
      <c r="R917" s="8"/>
      <c r="S917" s="8"/>
    </row>
    <row r="918" spans="16:19" ht="15.75" customHeight="1" x14ac:dyDescent="0.25">
      <c r="P918" s="21"/>
      <c r="R918" s="8"/>
      <c r="S918" s="8"/>
    </row>
    <row r="919" spans="16:19" ht="15.75" customHeight="1" x14ac:dyDescent="0.25">
      <c r="P919" s="21"/>
      <c r="R919" s="8"/>
      <c r="S919" s="8"/>
    </row>
    <row r="920" spans="16:19" ht="15.75" customHeight="1" x14ac:dyDescent="0.25">
      <c r="P920" s="21"/>
      <c r="R920" s="8"/>
      <c r="S920" s="8"/>
    </row>
    <row r="921" spans="16:19" ht="15.75" customHeight="1" x14ac:dyDescent="0.25">
      <c r="P921" s="21"/>
      <c r="R921" s="8"/>
      <c r="S921" s="8"/>
    </row>
    <row r="922" spans="16:19" ht="15.75" customHeight="1" x14ac:dyDescent="0.25">
      <c r="P922" s="21"/>
      <c r="R922" s="8"/>
      <c r="S922" s="8"/>
    </row>
    <row r="923" spans="16:19" ht="15.75" customHeight="1" x14ac:dyDescent="0.25">
      <c r="P923" s="21"/>
      <c r="R923" s="8"/>
      <c r="S923" s="8"/>
    </row>
    <row r="924" spans="16:19" ht="15.75" customHeight="1" x14ac:dyDescent="0.25">
      <c r="P924" s="21"/>
      <c r="R924" s="8"/>
      <c r="S924" s="8"/>
    </row>
    <row r="925" spans="16:19" ht="15.75" customHeight="1" x14ac:dyDescent="0.25">
      <c r="P925" s="21"/>
      <c r="R925" s="8"/>
      <c r="S925" s="8"/>
    </row>
    <row r="926" spans="16:19" ht="15.75" customHeight="1" x14ac:dyDescent="0.25">
      <c r="P926" s="21"/>
      <c r="R926" s="8"/>
      <c r="S926" s="8"/>
    </row>
    <row r="927" spans="16:19" ht="15.75" customHeight="1" x14ac:dyDescent="0.25">
      <c r="P927" s="21"/>
      <c r="R927" s="8"/>
      <c r="S927" s="8"/>
    </row>
    <row r="928" spans="16:19" ht="15.75" customHeight="1" x14ac:dyDescent="0.25">
      <c r="P928" s="21"/>
      <c r="R928" s="8"/>
      <c r="S928" s="8"/>
    </row>
    <row r="929" spans="16:19" ht="15.75" customHeight="1" x14ac:dyDescent="0.25">
      <c r="P929" s="21"/>
      <c r="R929" s="8"/>
      <c r="S929" s="8"/>
    </row>
    <row r="930" spans="16:19" ht="15.75" customHeight="1" x14ac:dyDescent="0.25">
      <c r="P930" s="21"/>
      <c r="R930" s="8"/>
      <c r="S930" s="8"/>
    </row>
    <row r="931" spans="16:19" ht="15.75" customHeight="1" x14ac:dyDescent="0.25">
      <c r="P931" s="21"/>
      <c r="R931" s="8"/>
      <c r="S931" s="8"/>
    </row>
    <row r="932" spans="16:19" ht="15.75" customHeight="1" x14ac:dyDescent="0.25">
      <c r="P932" s="21"/>
      <c r="R932" s="8"/>
      <c r="S932" s="8"/>
    </row>
    <row r="933" spans="16:19" ht="15.75" customHeight="1" x14ac:dyDescent="0.25">
      <c r="P933" s="21"/>
      <c r="R933" s="8"/>
      <c r="S933" s="8"/>
    </row>
    <row r="934" spans="16:19" ht="15.75" customHeight="1" x14ac:dyDescent="0.25">
      <c r="P934" s="21"/>
      <c r="R934" s="8"/>
      <c r="S934" s="8"/>
    </row>
    <row r="935" spans="16:19" ht="15.75" customHeight="1" x14ac:dyDescent="0.25">
      <c r="P935" s="21"/>
      <c r="R935" s="8"/>
      <c r="S935" s="8"/>
    </row>
    <row r="936" spans="16:19" ht="15.75" customHeight="1" x14ac:dyDescent="0.25">
      <c r="P936" s="21"/>
      <c r="R936" s="8"/>
      <c r="S936" s="8"/>
    </row>
    <row r="937" spans="16:19" ht="15.75" customHeight="1" x14ac:dyDescent="0.25">
      <c r="P937" s="21"/>
      <c r="R937" s="8"/>
      <c r="S937" s="8"/>
    </row>
    <row r="938" spans="16:19" ht="15.75" customHeight="1" x14ac:dyDescent="0.25">
      <c r="P938" s="21"/>
      <c r="R938" s="8"/>
      <c r="S938" s="8"/>
    </row>
    <row r="939" spans="16:19" ht="15.75" customHeight="1" x14ac:dyDescent="0.25">
      <c r="P939" s="21"/>
      <c r="R939" s="8"/>
      <c r="S939" s="8"/>
    </row>
    <row r="940" spans="16:19" ht="15.75" customHeight="1" x14ac:dyDescent="0.25">
      <c r="P940" s="21"/>
      <c r="R940" s="8"/>
      <c r="S940" s="8"/>
    </row>
    <row r="941" spans="16:19" ht="15.75" customHeight="1" x14ac:dyDescent="0.25">
      <c r="P941" s="21"/>
      <c r="R941" s="8"/>
      <c r="S941" s="8"/>
    </row>
    <row r="942" spans="16:19" ht="15.75" customHeight="1" x14ac:dyDescent="0.25">
      <c r="P942" s="21"/>
      <c r="R942" s="8"/>
      <c r="S942" s="8"/>
    </row>
    <row r="943" spans="16:19" ht="15.75" customHeight="1" x14ac:dyDescent="0.25">
      <c r="P943" s="21"/>
      <c r="R943" s="8"/>
      <c r="S943" s="8"/>
    </row>
    <row r="944" spans="16:19" ht="15.75" customHeight="1" x14ac:dyDescent="0.25">
      <c r="P944" s="21"/>
      <c r="R944" s="8"/>
      <c r="S944" s="8"/>
    </row>
    <row r="945" spans="16:19" ht="15.75" customHeight="1" x14ac:dyDescent="0.25">
      <c r="P945" s="21"/>
      <c r="R945" s="8"/>
      <c r="S945" s="8"/>
    </row>
    <row r="946" spans="16:19" ht="15.75" customHeight="1" x14ac:dyDescent="0.25">
      <c r="P946" s="21"/>
      <c r="R946" s="8"/>
      <c r="S946" s="8"/>
    </row>
    <row r="947" spans="16:19" ht="15.75" customHeight="1" x14ac:dyDescent="0.25">
      <c r="P947" s="21"/>
      <c r="R947" s="8"/>
      <c r="S947" s="8"/>
    </row>
    <row r="948" spans="16:19" ht="15.75" customHeight="1" x14ac:dyDescent="0.25">
      <c r="P948" s="21"/>
      <c r="R948" s="8"/>
      <c r="S948" s="8"/>
    </row>
    <row r="949" spans="16:19" ht="15.75" customHeight="1" x14ac:dyDescent="0.25">
      <c r="P949" s="21"/>
      <c r="R949" s="8"/>
      <c r="S949" s="8"/>
    </row>
    <row r="950" spans="16:19" ht="15.75" customHeight="1" x14ac:dyDescent="0.25">
      <c r="P950" s="21"/>
      <c r="R950" s="8"/>
      <c r="S950" s="8"/>
    </row>
    <row r="951" spans="16:19" ht="15.75" customHeight="1" x14ac:dyDescent="0.25">
      <c r="P951" s="21"/>
      <c r="R951" s="8"/>
      <c r="S951" s="8"/>
    </row>
    <row r="952" spans="16:19" ht="15.75" customHeight="1" x14ac:dyDescent="0.25">
      <c r="P952" s="21"/>
      <c r="R952" s="8"/>
      <c r="S952" s="8"/>
    </row>
    <row r="953" spans="16:19" ht="15.75" customHeight="1" x14ac:dyDescent="0.25">
      <c r="P953" s="21"/>
      <c r="R953" s="8"/>
      <c r="S953" s="8"/>
    </row>
    <row r="954" spans="16:19" ht="15.75" customHeight="1" x14ac:dyDescent="0.25">
      <c r="P954" s="21"/>
      <c r="R954" s="8"/>
      <c r="S954" s="8"/>
    </row>
    <row r="955" spans="16:19" ht="15.75" customHeight="1" x14ac:dyDescent="0.25">
      <c r="P955" s="21"/>
      <c r="R955" s="8"/>
      <c r="S955" s="8"/>
    </row>
    <row r="956" spans="16:19" ht="15.75" customHeight="1" x14ac:dyDescent="0.25">
      <c r="P956" s="21"/>
      <c r="R956" s="8"/>
      <c r="S956" s="8"/>
    </row>
    <row r="957" spans="16:19" ht="15.75" customHeight="1" x14ac:dyDescent="0.25">
      <c r="P957" s="21"/>
      <c r="R957" s="8"/>
      <c r="S957" s="8"/>
    </row>
    <row r="958" spans="16:19" ht="15.75" customHeight="1" x14ac:dyDescent="0.25">
      <c r="P958" s="21"/>
      <c r="R958" s="8"/>
      <c r="S958" s="8"/>
    </row>
    <row r="959" spans="16:19" ht="15.75" customHeight="1" x14ac:dyDescent="0.25">
      <c r="P959" s="21"/>
      <c r="R959" s="8"/>
      <c r="S959" s="8"/>
    </row>
    <row r="960" spans="16:19" ht="15.75" customHeight="1" x14ac:dyDescent="0.25">
      <c r="P960" s="21"/>
      <c r="R960" s="8"/>
      <c r="S960" s="8"/>
    </row>
    <row r="961" spans="16:19" ht="15.75" customHeight="1" x14ac:dyDescent="0.25">
      <c r="P961" s="21"/>
      <c r="R961" s="8"/>
      <c r="S961" s="8"/>
    </row>
    <row r="962" spans="16:19" ht="15.75" customHeight="1" x14ac:dyDescent="0.25">
      <c r="P962" s="21"/>
      <c r="R962" s="8"/>
      <c r="S962" s="8"/>
    </row>
    <row r="963" spans="16:19" ht="15.75" customHeight="1" x14ac:dyDescent="0.25">
      <c r="P963" s="21"/>
      <c r="R963" s="8"/>
      <c r="S963" s="8"/>
    </row>
    <row r="964" spans="16:19" ht="15.75" customHeight="1" x14ac:dyDescent="0.25">
      <c r="P964" s="21"/>
      <c r="R964" s="8"/>
      <c r="S964" s="8"/>
    </row>
    <row r="965" spans="16:19" ht="15.75" customHeight="1" x14ac:dyDescent="0.25">
      <c r="P965" s="21"/>
      <c r="R965" s="8"/>
      <c r="S965" s="8"/>
    </row>
    <row r="966" spans="16:19" ht="15.75" customHeight="1" x14ac:dyDescent="0.25">
      <c r="P966" s="21"/>
      <c r="R966" s="8"/>
      <c r="S966" s="8"/>
    </row>
    <row r="967" spans="16:19" ht="15.75" customHeight="1" x14ac:dyDescent="0.25">
      <c r="P967" s="21"/>
      <c r="R967" s="8"/>
      <c r="S967" s="8"/>
    </row>
    <row r="968" spans="16:19" ht="15.75" customHeight="1" x14ac:dyDescent="0.25">
      <c r="P968" s="21"/>
      <c r="R968" s="8"/>
      <c r="S968" s="8"/>
    </row>
    <row r="969" spans="16:19" ht="15.75" customHeight="1" x14ac:dyDescent="0.25">
      <c r="P969" s="21"/>
      <c r="R969" s="8"/>
      <c r="S969" s="8"/>
    </row>
    <row r="970" spans="16:19" ht="15.75" customHeight="1" x14ac:dyDescent="0.25">
      <c r="P970" s="21"/>
      <c r="R970" s="8"/>
      <c r="S970" s="8"/>
    </row>
    <row r="971" spans="16:19" ht="15.75" customHeight="1" x14ac:dyDescent="0.25">
      <c r="P971" s="21"/>
      <c r="R971" s="8"/>
      <c r="S971" s="8"/>
    </row>
    <row r="972" spans="16:19" ht="15.75" customHeight="1" x14ac:dyDescent="0.25">
      <c r="P972" s="21"/>
      <c r="R972" s="8"/>
      <c r="S972" s="8"/>
    </row>
    <row r="973" spans="16:19" ht="15.75" customHeight="1" x14ac:dyDescent="0.25">
      <c r="P973" s="21"/>
      <c r="R973" s="8"/>
      <c r="S973" s="8"/>
    </row>
    <row r="974" spans="16:19" ht="15.75" customHeight="1" x14ac:dyDescent="0.25">
      <c r="P974" s="21"/>
      <c r="R974" s="8"/>
      <c r="S974" s="8"/>
    </row>
    <row r="975" spans="16:19" ht="15.75" customHeight="1" x14ac:dyDescent="0.25">
      <c r="P975" s="21"/>
      <c r="R975" s="8"/>
      <c r="S975" s="8"/>
    </row>
    <row r="976" spans="16:19" ht="15.75" customHeight="1" x14ac:dyDescent="0.25">
      <c r="P976" s="21"/>
      <c r="R976" s="8"/>
      <c r="S976" s="8"/>
    </row>
    <row r="977" spans="16:19" ht="15.75" customHeight="1" x14ac:dyDescent="0.25">
      <c r="P977" s="21"/>
      <c r="R977" s="8"/>
      <c r="S977" s="8"/>
    </row>
    <row r="978" spans="16:19" ht="15.75" customHeight="1" x14ac:dyDescent="0.25">
      <c r="P978" s="21"/>
      <c r="R978" s="8"/>
      <c r="S978" s="8"/>
    </row>
    <row r="979" spans="16:19" ht="15.75" customHeight="1" x14ac:dyDescent="0.25">
      <c r="P979" s="21"/>
      <c r="R979" s="8"/>
      <c r="S979" s="8"/>
    </row>
    <row r="980" spans="16:19" ht="15.75" customHeight="1" x14ac:dyDescent="0.25">
      <c r="P980" s="21"/>
      <c r="R980" s="8"/>
      <c r="S980" s="8"/>
    </row>
    <row r="981" spans="16:19" ht="15.75" customHeight="1" x14ac:dyDescent="0.25">
      <c r="P981" s="21"/>
      <c r="R981" s="8"/>
      <c r="S981" s="8"/>
    </row>
    <row r="982" spans="16:19" ht="15.75" customHeight="1" x14ac:dyDescent="0.25">
      <c r="P982" s="21"/>
      <c r="R982" s="8"/>
      <c r="S982" s="8"/>
    </row>
    <row r="983" spans="16:19" ht="15.75" customHeight="1" x14ac:dyDescent="0.25">
      <c r="P983" s="21"/>
      <c r="R983" s="8"/>
      <c r="S983" s="8"/>
    </row>
    <row r="984" spans="16:19" ht="15.75" customHeight="1" x14ac:dyDescent="0.25">
      <c r="P984" s="21"/>
      <c r="R984" s="8"/>
      <c r="S984" s="8"/>
    </row>
    <row r="985" spans="16:19" ht="15.75" customHeight="1" x14ac:dyDescent="0.25">
      <c r="P985" s="21"/>
      <c r="R985" s="8"/>
      <c r="S985" s="8"/>
    </row>
    <row r="986" spans="16:19" ht="15.75" customHeight="1" x14ac:dyDescent="0.25">
      <c r="P986" s="21"/>
      <c r="R986" s="8"/>
      <c r="S986" s="8"/>
    </row>
    <row r="987" spans="16:19" ht="15.75" customHeight="1" x14ac:dyDescent="0.25">
      <c r="P987" s="21"/>
      <c r="R987" s="8"/>
      <c r="S987" s="8"/>
    </row>
    <row r="988" spans="16:19" ht="15.75" customHeight="1" x14ac:dyDescent="0.25">
      <c r="P988" s="21"/>
      <c r="R988" s="8"/>
      <c r="S988" s="8"/>
    </row>
    <row r="989" spans="16:19" ht="15.75" customHeight="1" x14ac:dyDescent="0.25">
      <c r="P989" s="21"/>
      <c r="R989" s="8"/>
      <c r="S989" s="8"/>
    </row>
    <row r="990" spans="16:19" ht="15.75" customHeight="1" x14ac:dyDescent="0.25">
      <c r="P990" s="21"/>
      <c r="R990" s="8"/>
      <c r="S990" s="8"/>
    </row>
    <row r="991" spans="16:19" ht="15.75" customHeight="1" x14ac:dyDescent="0.25">
      <c r="P991" s="21"/>
      <c r="R991" s="8"/>
      <c r="S991" s="8"/>
    </row>
    <row r="992" spans="16:19" ht="15.75" customHeight="1" x14ac:dyDescent="0.25">
      <c r="P992" s="21"/>
      <c r="R992" s="8"/>
      <c r="S992" s="8"/>
    </row>
    <row r="993" spans="16:19" ht="15.75" customHeight="1" x14ac:dyDescent="0.25">
      <c r="P993" s="21"/>
      <c r="R993" s="8"/>
      <c r="S993" s="8"/>
    </row>
    <row r="994" spans="16:19" ht="15.75" customHeight="1" x14ac:dyDescent="0.25">
      <c r="P994" s="21"/>
      <c r="R994" s="8"/>
      <c r="S994" s="8"/>
    </row>
    <row r="995" spans="16:19" ht="15.75" customHeight="1" x14ac:dyDescent="0.25">
      <c r="P995" s="21"/>
      <c r="R995" s="8"/>
      <c r="S995" s="8"/>
    </row>
    <row r="996" spans="16:19" ht="15.75" customHeight="1" x14ac:dyDescent="0.25">
      <c r="P996" s="21"/>
      <c r="R996" s="8"/>
      <c r="S996" s="8"/>
    </row>
    <row r="997" spans="16:19" ht="15.75" customHeight="1" x14ac:dyDescent="0.25">
      <c r="P997" s="21"/>
      <c r="R997" s="8"/>
      <c r="S997" s="8"/>
    </row>
    <row r="998" spans="16:19" ht="15.75" customHeight="1" x14ac:dyDescent="0.25">
      <c r="P998" s="21"/>
      <c r="R998" s="8"/>
      <c r="S998" s="8"/>
    </row>
    <row r="999" spans="16:19" ht="15.75" customHeight="1" x14ac:dyDescent="0.25">
      <c r="P999" s="21"/>
      <c r="R999" s="8"/>
      <c r="S999" s="8"/>
    </row>
    <row r="1000" spans="16:19" ht="15.75" customHeight="1" x14ac:dyDescent="0.25">
      <c r="P1000" s="21"/>
      <c r="R1000" s="8"/>
      <c r="S1000" s="8"/>
    </row>
  </sheetData>
  <conditionalFormatting sqref="P2:P22">
    <cfRule type="expression" dxfId="2" priority="1">
      <formula>AND(P2&lt;TODAY(), TODAY()-P2&gt;=WEEKDAY(TODAY()), TODAY()-P2&lt;WEEKDAY(TODAY())+7)</formula>
    </cfRule>
  </conditionalFormatting>
  <conditionalFormatting sqref="R2:R41 S2:S22">
    <cfRule type="expression" dxfId="1" priority="2">
      <formula>AND(R2&lt;TODAY(), TODAY()-R2&gt;=WEEKDAY(TODAY()), TODAY()-R2&lt;WEEKDAY(TODAY())+7)</formula>
    </cfRule>
  </conditionalFormatting>
  <conditionalFormatting sqref="S2:S22">
    <cfRule type="expression" dxfId="0" priority="3">
      <formula>AND(S2&lt;TODAY(), TODAY()-S2&gt;=WEEKDAY(TODAY()), TODAY()-S2&lt;WEEKDAY(TODAY())+7)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Z1010"/>
  <sheetViews>
    <sheetView topLeftCell="B31" zoomScaleNormal="100" workbookViewId="0">
      <selection activeCell="D48" sqref="D48"/>
    </sheetView>
  </sheetViews>
  <sheetFormatPr defaultColWidth="14.42578125" defaultRowHeight="15" customHeight="1" x14ac:dyDescent="0.25"/>
  <cols>
    <col min="1" max="1" width="19.85546875" customWidth="1"/>
  </cols>
  <sheetData>
    <row r="1" spans="1:26" ht="23.25" x14ac:dyDescent="0.35">
      <c r="A1" s="40" t="s">
        <v>218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9"/>
    </row>
    <row r="2" spans="1:26" ht="42" customHeight="1" x14ac:dyDescent="0.25">
      <c r="A2" s="42" t="s">
        <v>219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9"/>
    </row>
    <row r="4" spans="1:26" ht="15.75" x14ac:dyDescent="0.25">
      <c r="A4" s="44"/>
      <c r="B4" s="45" t="s">
        <v>209</v>
      </c>
      <c r="C4" s="45" t="s">
        <v>210</v>
      </c>
      <c r="D4" s="45" t="s">
        <v>211</v>
      </c>
      <c r="E4" s="45" t="s">
        <v>220</v>
      </c>
      <c r="F4" s="45" t="s">
        <v>221</v>
      </c>
      <c r="G4" s="45" t="s">
        <v>222</v>
      </c>
      <c r="H4" s="45" t="s">
        <v>223</v>
      </c>
      <c r="I4" s="45" t="s">
        <v>224</v>
      </c>
      <c r="J4" s="45" t="s">
        <v>225</v>
      </c>
      <c r="K4" s="45" t="s">
        <v>226</v>
      </c>
      <c r="L4" s="45" t="s">
        <v>227</v>
      </c>
      <c r="M4" s="45" t="s">
        <v>228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9"/>
    </row>
    <row r="5" spans="1:26" x14ac:dyDescent="0.25">
      <c r="A5" s="47" t="s">
        <v>229</v>
      </c>
      <c r="B5" s="48">
        <v>3000</v>
      </c>
      <c r="C5" s="46">
        <f t="shared" ref="C5:G5" si="0">B5*$B$16</f>
        <v>3150</v>
      </c>
      <c r="D5" s="46">
        <f t="shared" si="0"/>
        <v>3307.5</v>
      </c>
      <c r="E5" s="46">
        <f t="shared" si="0"/>
        <v>3472.875</v>
      </c>
      <c r="F5" s="46">
        <f t="shared" si="0"/>
        <v>3646.5187500000002</v>
      </c>
      <c r="G5" s="46">
        <f t="shared" si="0"/>
        <v>3828.8446875000004</v>
      </c>
      <c r="H5" s="48">
        <f t="shared" ref="H5:M5" si="1">G5*$B$16</f>
        <v>4020.2869218750006</v>
      </c>
      <c r="I5" s="48">
        <f t="shared" si="1"/>
        <v>4221.3012679687508</v>
      </c>
      <c r="J5" s="48">
        <f t="shared" si="1"/>
        <v>4432.3663313671886</v>
      </c>
      <c r="K5" s="48">
        <f t="shared" si="1"/>
        <v>4653.9846479355483</v>
      </c>
      <c r="L5" s="48">
        <f t="shared" si="1"/>
        <v>4886.6838803323262</v>
      </c>
      <c r="M5" s="48">
        <f t="shared" si="1"/>
        <v>5131.0180743489427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9"/>
    </row>
    <row r="6" spans="1:26" x14ac:dyDescent="0.25">
      <c r="A6" s="47" t="s">
        <v>230</v>
      </c>
      <c r="B6" s="48">
        <v>500</v>
      </c>
      <c r="C6" s="46">
        <f t="shared" ref="C6:M6" si="2">B6*$B$16</f>
        <v>525</v>
      </c>
      <c r="D6" s="46">
        <f t="shared" si="2"/>
        <v>551.25</v>
      </c>
      <c r="E6" s="46">
        <f t="shared" si="2"/>
        <v>578.8125</v>
      </c>
      <c r="F6" s="46">
        <f t="shared" si="2"/>
        <v>607.75312500000007</v>
      </c>
      <c r="G6" s="46">
        <f t="shared" si="2"/>
        <v>638.14078125000015</v>
      </c>
      <c r="H6" s="48">
        <f t="shared" si="2"/>
        <v>670.04782031250022</v>
      </c>
      <c r="I6" s="48">
        <f t="shared" si="2"/>
        <v>703.55021132812522</v>
      </c>
      <c r="J6" s="48">
        <f t="shared" si="2"/>
        <v>738.72772189453156</v>
      </c>
      <c r="K6" s="48">
        <f t="shared" si="2"/>
        <v>775.66410798925813</v>
      </c>
      <c r="L6" s="48">
        <f t="shared" si="2"/>
        <v>814.44731338872111</v>
      </c>
      <c r="M6" s="48">
        <f t="shared" si="2"/>
        <v>855.16967905815716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9"/>
    </row>
    <row r="7" spans="1:26" x14ac:dyDescent="0.25">
      <c r="A7" s="47" t="s">
        <v>231</v>
      </c>
      <c r="B7" s="48">
        <v>3000</v>
      </c>
      <c r="C7" s="46">
        <f t="shared" ref="C7:M7" si="3">B7*$B$16</f>
        <v>3150</v>
      </c>
      <c r="D7" s="46">
        <f t="shared" si="3"/>
        <v>3307.5</v>
      </c>
      <c r="E7" s="46">
        <f t="shared" si="3"/>
        <v>3472.875</v>
      </c>
      <c r="F7" s="46">
        <f t="shared" si="3"/>
        <v>3646.5187500000002</v>
      </c>
      <c r="G7" s="46">
        <f t="shared" si="3"/>
        <v>3828.8446875000004</v>
      </c>
      <c r="H7" s="48">
        <f t="shared" si="3"/>
        <v>4020.2869218750006</v>
      </c>
      <c r="I7" s="48">
        <f t="shared" si="3"/>
        <v>4221.3012679687508</v>
      </c>
      <c r="J7" s="48">
        <f t="shared" si="3"/>
        <v>4432.3663313671886</v>
      </c>
      <c r="K7" s="48">
        <f t="shared" si="3"/>
        <v>4653.9846479355483</v>
      </c>
      <c r="L7" s="48">
        <f t="shared" si="3"/>
        <v>4886.6838803323262</v>
      </c>
      <c r="M7" s="48">
        <f t="shared" si="3"/>
        <v>5131.0180743489427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9"/>
    </row>
    <row r="8" spans="1:26" x14ac:dyDescent="0.25">
      <c r="A8" s="47" t="s">
        <v>232</v>
      </c>
      <c r="B8" s="48">
        <v>1000</v>
      </c>
      <c r="C8" s="46">
        <f t="shared" ref="C8:M8" si="4">B8*$B$16</f>
        <v>1050</v>
      </c>
      <c r="D8" s="46">
        <f t="shared" si="4"/>
        <v>1102.5</v>
      </c>
      <c r="E8" s="46">
        <f t="shared" si="4"/>
        <v>1157.625</v>
      </c>
      <c r="F8" s="46">
        <f t="shared" si="4"/>
        <v>1215.5062500000001</v>
      </c>
      <c r="G8" s="46">
        <f t="shared" si="4"/>
        <v>1276.2815625000003</v>
      </c>
      <c r="H8" s="48">
        <f t="shared" si="4"/>
        <v>1340.0956406250004</v>
      </c>
      <c r="I8" s="48">
        <f t="shared" si="4"/>
        <v>1407.1004226562504</v>
      </c>
      <c r="J8" s="48">
        <f t="shared" si="4"/>
        <v>1477.4554437890631</v>
      </c>
      <c r="K8" s="48">
        <f t="shared" si="4"/>
        <v>1551.3282159785163</v>
      </c>
      <c r="L8" s="48">
        <f t="shared" si="4"/>
        <v>1628.8946267774422</v>
      </c>
      <c r="M8" s="48">
        <f t="shared" si="4"/>
        <v>1710.3393581163143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9"/>
    </row>
    <row r="9" spans="1:26" x14ac:dyDescent="0.25">
      <c r="A9" s="47" t="s">
        <v>233</v>
      </c>
      <c r="B9" s="48">
        <v>300</v>
      </c>
      <c r="C9" s="46">
        <f t="shared" ref="C9:M9" si="5">B9*$B$16</f>
        <v>315</v>
      </c>
      <c r="D9" s="46">
        <f t="shared" si="5"/>
        <v>330.75</v>
      </c>
      <c r="E9" s="46">
        <f t="shared" si="5"/>
        <v>347.28750000000002</v>
      </c>
      <c r="F9" s="46">
        <f t="shared" si="5"/>
        <v>364.65187500000002</v>
      </c>
      <c r="G9" s="46">
        <f t="shared" si="5"/>
        <v>382.88446875000005</v>
      </c>
      <c r="H9" s="48">
        <f t="shared" si="5"/>
        <v>402.0286921875001</v>
      </c>
      <c r="I9" s="48">
        <f t="shared" si="5"/>
        <v>422.13012679687512</v>
      </c>
      <c r="J9" s="48">
        <f t="shared" si="5"/>
        <v>443.23663313671886</v>
      </c>
      <c r="K9" s="48">
        <f t="shared" si="5"/>
        <v>465.39846479355481</v>
      </c>
      <c r="L9" s="48">
        <f t="shared" si="5"/>
        <v>488.66838803323259</v>
      </c>
      <c r="M9" s="48">
        <f t="shared" si="5"/>
        <v>513.10180743489423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9"/>
    </row>
    <row r="10" spans="1:26" x14ac:dyDescent="0.25">
      <c r="A10" s="44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9"/>
    </row>
    <row r="11" spans="1:26" x14ac:dyDescent="0.25">
      <c r="A11" s="49" t="s">
        <v>234</v>
      </c>
      <c r="B11" s="50">
        <f t="shared" ref="B11:M11" si="6">SUM(B5:B9)</f>
        <v>7800</v>
      </c>
      <c r="C11" s="50">
        <f t="shared" si="6"/>
        <v>8190</v>
      </c>
      <c r="D11" s="50">
        <f t="shared" si="6"/>
        <v>8599.5</v>
      </c>
      <c r="E11" s="50">
        <f t="shared" si="6"/>
        <v>9029.4750000000004</v>
      </c>
      <c r="F11" s="50">
        <f t="shared" si="6"/>
        <v>9480.9487499999996</v>
      </c>
      <c r="G11" s="50">
        <f t="shared" si="6"/>
        <v>9954.9961875000026</v>
      </c>
      <c r="H11" s="50">
        <f t="shared" si="6"/>
        <v>10452.745996875001</v>
      </c>
      <c r="I11" s="50">
        <f t="shared" si="6"/>
        <v>10975.383296718754</v>
      </c>
      <c r="J11" s="50">
        <f t="shared" si="6"/>
        <v>11524.152461554693</v>
      </c>
      <c r="K11" s="50">
        <f t="shared" si="6"/>
        <v>12100.360084632424</v>
      </c>
      <c r="L11" s="50">
        <f t="shared" si="6"/>
        <v>12705.37808886405</v>
      </c>
      <c r="M11" s="50">
        <f t="shared" si="6"/>
        <v>13340.646993307251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9"/>
    </row>
    <row r="12" spans="1:26" x14ac:dyDescent="0.25">
      <c r="A12" s="51" t="s">
        <v>235</v>
      </c>
      <c r="B12" s="52">
        <v>10000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9"/>
    </row>
    <row r="13" spans="1:26" x14ac:dyDescent="0.25">
      <c r="A13" s="49" t="s">
        <v>236</v>
      </c>
      <c r="B13" s="50">
        <f>$B$12-B11</f>
        <v>2200</v>
      </c>
      <c r="C13" s="50">
        <f t="shared" ref="C13:M13" si="7">$B$12-C11</f>
        <v>1810</v>
      </c>
      <c r="D13" s="50">
        <f t="shared" si="7"/>
        <v>1400.5</v>
      </c>
      <c r="E13" s="50">
        <f t="shared" si="7"/>
        <v>970.52499999999964</v>
      </c>
      <c r="F13" s="50">
        <f t="shared" si="7"/>
        <v>519.05125000000044</v>
      </c>
      <c r="G13" s="50">
        <f t="shared" si="7"/>
        <v>45.003812499997366</v>
      </c>
      <c r="H13" s="50">
        <f t="shared" si="7"/>
        <v>-452.74599687500086</v>
      </c>
      <c r="I13" s="50">
        <f t="shared" si="7"/>
        <v>-975.38329671875363</v>
      </c>
      <c r="J13" s="50">
        <f t="shared" si="7"/>
        <v>-1524.1524615546932</v>
      </c>
      <c r="K13" s="50">
        <f t="shared" si="7"/>
        <v>-2100.3600846324243</v>
      </c>
      <c r="L13" s="50">
        <f t="shared" si="7"/>
        <v>-2705.3780888640504</v>
      </c>
      <c r="M13" s="50">
        <f t="shared" si="7"/>
        <v>-3340.6469933072513</v>
      </c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9"/>
    </row>
    <row r="14" spans="1:26" x14ac:dyDescent="0.25">
      <c r="A14" s="44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9"/>
    </row>
    <row r="15" spans="1:26" x14ac:dyDescent="0.25">
      <c r="A15" s="51" t="s">
        <v>237</v>
      </c>
      <c r="B15" s="53">
        <v>0.05</v>
      </c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9"/>
    </row>
    <row r="16" spans="1:26" x14ac:dyDescent="0.25">
      <c r="A16" s="44"/>
      <c r="B16" s="54">
        <f>1+$B$15</f>
        <v>1.05</v>
      </c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9"/>
    </row>
    <row r="17" spans="1:26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25">
      <c r="A18" s="42" t="s">
        <v>238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25">
      <c r="A19" s="42" t="s">
        <v>239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25">
      <c r="A20" s="42" t="s">
        <v>240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25">
      <c r="A21" s="42" t="s">
        <v>241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25">
      <c r="A22" s="42" t="s">
        <v>242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25">
      <c r="A25" s="55" t="s">
        <v>243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</row>
    <row r="26" spans="1:26" x14ac:dyDescent="0.25">
      <c r="A26" s="30" t="s">
        <v>244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25">
      <c r="A27" s="30" t="s">
        <v>245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25">
      <c r="A28" s="30" t="s">
        <v>246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25">
      <c r="A29" s="3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25">
      <c r="A30" s="55" t="s">
        <v>247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</row>
    <row r="31" spans="1:26" x14ac:dyDescent="0.25">
      <c r="A31" s="30" t="s">
        <v>244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25">
      <c r="A32" s="30" t="s">
        <v>245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25">
      <c r="A33" s="30" t="s">
        <v>248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25">
      <c r="A35" s="57" t="s">
        <v>249</v>
      </c>
      <c r="B35" s="57" t="s">
        <v>250</v>
      </c>
      <c r="C35" s="57" t="s">
        <v>251</v>
      </c>
      <c r="D35" s="57" t="s">
        <v>252</v>
      </c>
      <c r="E35" s="57" t="s">
        <v>253</v>
      </c>
      <c r="F35" s="57" t="s">
        <v>254</v>
      </c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</row>
    <row r="36" spans="1:26" x14ac:dyDescent="0.25">
      <c r="A36" s="59" t="s">
        <v>255</v>
      </c>
      <c r="B36" s="59">
        <v>10</v>
      </c>
      <c r="C36" s="59">
        <v>5</v>
      </c>
      <c r="D36" s="59">
        <f>B36*$C$36</f>
        <v>50</v>
      </c>
      <c r="E36" s="59">
        <f>D36*$E$42</f>
        <v>4</v>
      </c>
      <c r="F36" s="59">
        <f>D36+E36</f>
        <v>54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25">
      <c r="A37" s="59" t="s">
        <v>256</v>
      </c>
      <c r="B37" s="59">
        <v>20</v>
      </c>
      <c r="C37" s="59">
        <v>3</v>
      </c>
      <c r="D37" s="59">
        <f>B37*$C$37</f>
        <v>60</v>
      </c>
      <c r="E37" s="59">
        <f t="shared" ref="E37:E40" si="8">D37*$E$42</f>
        <v>4.8</v>
      </c>
      <c r="F37" s="59">
        <f t="shared" ref="F37:F40" si="9">D37+E37</f>
        <v>64.8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x14ac:dyDescent="0.25">
      <c r="A38" s="59" t="s">
        <v>257</v>
      </c>
      <c r="B38" s="59">
        <v>15</v>
      </c>
      <c r="C38" s="59">
        <v>7</v>
      </c>
      <c r="D38" s="59">
        <f>B38*$C$38</f>
        <v>105</v>
      </c>
      <c r="E38" s="59">
        <f t="shared" si="8"/>
        <v>8.4</v>
      </c>
      <c r="F38" s="59">
        <f t="shared" si="9"/>
        <v>113.4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x14ac:dyDescent="0.25">
      <c r="A39" s="59" t="s">
        <v>258</v>
      </c>
      <c r="B39" s="59">
        <v>25</v>
      </c>
      <c r="C39" s="59">
        <v>2</v>
      </c>
      <c r="D39" s="59">
        <f>B39*$C$39</f>
        <v>50</v>
      </c>
      <c r="E39" s="59">
        <f t="shared" si="8"/>
        <v>4</v>
      </c>
      <c r="F39" s="59">
        <f t="shared" si="9"/>
        <v>54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x14ac:dyDescent="0.25">
      <c r="A40" s="59" t="s">
        <v>259</v>
      </c>
      <c r="B40" s="59">
        <v>30</v>
      </c>
      <c r="C40" s="59">
        <v>4</v>
      </c>
      <c r="D40" s="59">
        <f>B40*$C$40</f>
        <v>120</v>
      </c>
      <c r="E40" s="59">
        <f t="shared" si="8"/>
        <v>9.6</v>
      </c>
      <c r="F40" s="59">
        <f t="shared" si="9"/>
        <v>129.6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x14ac:dyDescent="0.25">
      <c r="A41" s="59"/>
      <c r="B41" s="59"/>
      <c r="C41" s="59"/>
      <c r="D41" s="59"/>
      <c r="E41" s="59"/>
      <c r="F41" s="5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x14ac:dyDescent="0.25">
      <c r="A42" s="59" t="s">
        <v>260</v>
      </c>
      <c r="B42" s="59"/>
      <c r="C42" s="59"/>
      <c r="D42" s="59"/>
      <c r="E42" s="60">
        <v>0.08</v>
      </c>
      <c r="F42" s="5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x14ac:dyDescent="0.2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x14ac:dyDescent="0.2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x14ac:dyDescent="0.2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x14ac:dyDescent="0.2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x14ac:dyDescent="0.2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x14ac:dyDescent="0.2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x14ac:dyDescent="0.2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x14ac:dyDescent="0.2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x14ac:dyDescent="0.2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x14ac:dyDescent="0.2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x14ac:dyDescent="0.2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x14ac:dyDescent="0.2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x14ac:dyDescent="0.2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x14ac:dyDescent="0.2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x14ac:dyDescent="0.2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x14ac:dyDescent="0.2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x14ac:dyDescent="0.2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x14ac:dyDescent="0.2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x14ac:dyDescent="0.2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x14ac:dyDescent="0.2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x14ac:dyDescent="0.2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x14ac:dyDescent="0.2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x14ac:dyDescent="0.2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x14ac:dyDescent="0.2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x14ac:dyDescent="0.2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x14ac:dyDescent="0.2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x14ac:dyDescent="0.2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x14ac:dyDescent="0.2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x14ac:dyDescent="0.2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x14ac:dyDescent="0.2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x14ac:dyDescent="0.2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x14ac:dyDescent="0.2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x14ac:dyDescent="0.2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x14ac:dyDescent="0.2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x14ac:dyDescent="0.2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x14ac:dyDescent="0.2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x14ac:dyDescent="0.2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x14ac:dyDescent="0.2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x14ac:dyDescent="0.2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x14ac:dyDescent="0.2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x14ac:dyDescent="0.2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x14ac:dyDescent="0.2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x14ac:dyDescent="0.2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x14ac:dyDescent="0.2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x14ac:dyDescent="0.2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x14ac:dyDescent="0.2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x14ac:dyDescent="0.2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x14ac:dyDescent="0.2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x14ac:dyDescent="0.2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x14ac:dyDescent="0.2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x14ac:dyDescent="0.2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x14ac:dyDescent="0.2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x14ac:dyDescent="0.2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x14ac:dyDescent="0.2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x14ac:dyDescent="0.2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x14ac:dyDescent="0.2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x14ac:dyDescent="0.2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x14ac:dyDescent="0.2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x14ac:dyDescent="0.2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x14ac:dyDescent="0.2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x14ac:dyDescent="0.2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x14ac:dyDescent="0.2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x14ac:dyDescent="0.2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x14ac:dyDescent="0.2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x14ac:dyDescent="0.2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x14ac:dyDescent="0.2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x14ac:dyDescent="0.2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x14ac:dyDescent="0.2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x14ac:dyDescent="0.2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x14ac:dyDescent="0.2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x14ac:dyDescent="0.2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x14ac:dyDescent="0.2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x14ac:dyDescent="0.2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x14ac:dyDescent="0.2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x14ac:dyDescent="0.2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x14ac:dyDescent="0.2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x14ac:dyDescent="0.2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x14ac:dyDescent="0.2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x14ac:dyDescent="0.2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x14ac:dyDescent="0.2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x14ac:dyDescent="0.2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x14ac:dyDescent="0.2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x14ac:dyDescent="0.2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x14ac:dyDescent="0.2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x14ac:dyDescent="0.2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x14ac:dyDescent="0.2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x14ac:dyDescent="0.2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x14ac:dyDescent="0.2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x14ac:dyDescent="0.2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x14ac:dyDescent="0.2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x14ac:dyDescent="0.2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x14ac:dyDescent="0.2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x14ac:dyDescent="0.2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x14ac:dyDescent="0.2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x14ac:dyDescent="0.2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x14ac:dyDescent="0.2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x14ac:dyDescent="0.2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x14ac:dyDescent="0.2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x14ac:dyDescent="0.2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x14ac:dyDescent="0.2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x14ac:dyDescent="0.2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x14ac:dyDescent="0.2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x14ac:dyDescent="0.2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x14ac:dyDescent="0.2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x14ac:dyDescent="0.2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x14ac:dyDescent="0.2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x14ac:dyDescent="0.2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x14ac:dyDescent="0.2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x14ac:dyDescent="0.2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x14ac:dyDescent="0.2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x14ac:dyDescent="0.2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x14ac:dyDescent="0.2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x14ac:dyDescent="0.2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x14ac:dyDescent="0.2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x14ac:dyDescent="0.2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x14ac:dyDescent="0.2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x14ac:dyDescent="0.2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x14ac:dyDescent="0.2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x14ac:dyDescent="0.2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x14ac:dyDescent="0.2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x14ac:dyDescent="0.2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x14ac:dyDescent="0.2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x14ac:dyDescent="0.2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x14ac:dyDescent="0.2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x14ac:dyDescent="0.2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x14ac:dyDescent="0.2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x14ac:dyDescent="0.2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x14ac:dyDescent="0.2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x14ac:dyDescent="0.2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x14ac:dyDescent="0.2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x14ac:dyDescent="0.2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x14ac:dyDescent="0.2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x14ac:dyDescent="0.2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x14ac:dyDescent="0.2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x14ac:dyDescent="0.2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x14ac:dyDescent="0.2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x14ac:dyDescent="0.2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x14ac:dyDescent="0.2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x14ac:dyDescent="0.2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x14ac:dyDescent="0.2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x14ac:dyDescent="0.2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x14ac:dyDescent="0.2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x14ac:dyDescent="0.2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x14ac:dyDescent="0.2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x14ac:dyDescent="0.2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x14ac:dyDescent="0.2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x14ac:dyDescent="0.2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x14ac:dyDescent="0.2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x14ac:dyDescent="0.2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x14ac:dyDescent="0.2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x14ac:dyDescent="0.2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x14ac:dyDescent="0.2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x14ac:dyDescent="0.2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x14ac:dyDescent="0.2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x14ac:dyDescent="0.2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x14ac:dyDescent="0.2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x14ac:dyDescent="0.2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x14ac:dyDescent="0.2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x14ac:dyDescent="0.2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x14ac:dyDescent="0.2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x14ac:dyDescent="0.2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x14ac:dyDescent="0.2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x14ac:dyDescent="0.2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x14ac:dyDescent="0.2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x14ac:dyDescent="0.2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x14ac:dyDescent="0.2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x14ac:dyDescent="0.2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x14ac:dyDescent="0.2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x14ac:dyDescent="0.2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x14ac:dyDescent="0.2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x14ac:dyDescent="0.2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x14ac:dyDescent="0.2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x14ac:dyDescent="0.2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x14ac:dyDescent="0.2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x14ac:dyDescent="0.2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x14ac:dyDescent="0.2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x14ac:dyDescent="0.2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x14ac:dyDescent="0.2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x14ac:dyDescent="0.2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x14ac:dyDescent="0.2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x14ac:dyDescent="0.2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x14ac:dyDescent="0.2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x14ac:dyDescent="0.2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x14ac:dyDescent="0.2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x14ac:dyDescent="0.2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x14ac:dyDescent="0.2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x14ac:dyDescent="0.2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x14ac:dyDescent="0.2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x14ac:dyDescent="0.2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x14ac:dyDescent="0.2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x14ac:dyDescent="0.2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x14ac:dyDescent="0.2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x14ac:dyDescent="0.2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x14ac:dyDescent="0.2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x14ac:dyDescent="0.2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x14ac:dyDescent="0.2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x14ac:dyDescent="0.2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x14ac:dyDescent="0.2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x14ac:dyDescent="0.2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x14ac:dyDescent="0.2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x14ac:dyDescent="0.2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x14ac:dyDescent="0.2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x14ac:dyDescent="0.2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x14ac:dyDescent="0.2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x14ac:dyDescent="0.2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x14ac:dyDescent="0.2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x14ac:dyDescent="0.2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x14ac:dyDescent="0.2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x14ac:dyDescent="0.2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x14ac:dyDescent="0.2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x14ac:dyDescent="0.2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x14ac:dyDescent="0.2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x14ac:dyDescent="0.2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x14ac:dyDescent="0.2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x14ac:dyDescent="0.2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x14ac:dyDescent="0.2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x14ac:dyDescent="0.2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x14ac:dyDescent="0.2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x14ac:dyDescent="0.2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x14ac:dyDescent="0.2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x14ac:dyDescent="0.2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x14ac:dyDescent="0.2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x14ac:dyDescent="0.2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x14ac:dyDescent="0.2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x14ac:dyDescent="0.2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x14ac:dyDescent="0.2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x14ac:dyDescent="0.2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x14ac:dyDescent="0.2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x14ac:dyDescent="0.2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x14ac:dyDescent="0.2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x14ac:dyDescent="0.2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x14ac:dyDescent="0.2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x14ac:dyDescent="0.2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x14ac:dyDescent="0.2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x14ac:dyDescent="0.2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x14ac:dyDescent="0.2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x14ac:dyDescent="0.2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x14ac:dyDescent="0.2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x14ac:dyDescent="0.2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x14ac:dyDescent="0.2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x14ac:dyDescent="0.2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x14ac:dyDescent="0.2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x14ac:dyDescent="0.2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x14ac:dyDescent="0.2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x14ac:dyDescent="0.2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x14ac:dyDescent="0.2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x14ac:dyDescent="0.2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x14ac:dyDescent="0.2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x14ac:dyDescent="0.2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x14ac:dyDescent="0.2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x14ac:dyDescent="0.2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x14ac:dyDescent="0.2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x14ac:dyDescent="0.2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x14ac:dyDescent="0.2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x14ac:dyDescent="0.2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x14ac:dyDescent="0.2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x14ac:dyDescent="0.2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x14ac:dyDescent="0.2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x14ac:dyDescent="0.2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x14ac:dyDescent="0.2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x14ac:dyDescent="0.2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x14ac:dyDescent="0.2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x14ac:dyDescent="0.2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x14ac:dyDescent="0.2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x14ac:dyDescent="0.2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x14ac:dyDescent="0.2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x14ac:dyDescent="0.2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x14ac:dyDescent="0.2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x14ac:dyDescent="0.2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x14ac:dyDescent="0.2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x14ac:dyDescent="0.2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x14ac:dyDescent="0.2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x14ac:dyDescent="0.2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x14ac:dyDescent="0.2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x14ac:dyDescent="0.2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x14ac:dyDescent="0.2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x14ac:dyDescent="0.2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x14ac:dyDescent="0.2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x14ac:dyDescent="0.2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x14ac:dyDescent="0.2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x14ac:dyDescent="0.2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x14ac:dyDescent="0.2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x14ac:dyDescent="0.2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x14ac:dyDescent="0.2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x14ac:dyDescent="0.2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x14ac:dyDescent="0.2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x14ac:dyDescent="0.2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x14ac:dyDescent="0.2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x14ac:dyDescent="0.2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x14ac:dyDescent="0.2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x14ac:dyDescent="0.2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x14ac:dyDescent="0.2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x14ac:dyDescent="0.2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x14ac:dyDescent="0.2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x14ac:dyDescent="0.2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x14ac:dyDescent="0.2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x14ac:dyDescent="0.2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x14ac:dyDescent="0.2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x14ac:dyDescent="0.2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x14ac:dyDescent="0.2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x14ac:dyDescent="0.2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x14ac:dyDescent="0.2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x14ac:dyDescent="0.2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x14ac:dyDescent="0.2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x14ac:dyDescent="0.2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x14ac:dyDescent="0.2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x14ac:dyDescent="0.2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x14ac:dyDescent="0.2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x14ac:dyDescent="0.2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x14ac:dyDescent="0.2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x14ac:dyDescent="0.2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x14ac:dyDescent="0.2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x14ac:dyDescent="0.2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x14ac:dyDescent="0.2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x14ac:dyDescent="0.2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x14ac:dyDescent="0.2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x14ac:dyDescent="0.2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x14ac:dyDescent="0.2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x14ac:dyDescent="0.2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x14ac:dyDescent="0.2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x14ac:dyDescent="0.2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x14ac:dyDescent="0.2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x14ac:dyDescent="0.2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x14ac:dyDescent="0.2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x14ac:dyDescent="0.2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x14ac:dyDescent="0.2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x14ac:dyDescent="0.2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x14ac:dyDescent="0.2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x14ac:dyDescent="0.2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x14ac:dyDescent="0.2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x14ac:dyDescent="0.2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x14ac:dyDescent="0.2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x14ac:dyDescent="0.2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x14ac:dyDescent="0.2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x14ac:dyDescent="0.2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x14ac:dyDescent="0.2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x14ac:dyDescent="0.2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x14ac:dyDescent="0.2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x14ac:dyDescent="0.2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x14ac:dyDescent="0.2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x14ac:dyDescent="0.2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x14ac:dyDescent="0.2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x14ac:dyDescent="0.2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x14ac:dyDescent="0.2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x14ac:dyDescent="0.2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x14ac:dyDescent="0.2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x14ac:dyDescent="0.2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x14ac:dyDescent="0.2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x14ac:dyDescent="0.2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x14ac:dyDescent="0.2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x14ac:dyDescent="0.2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x14ac:dyDescent="0.2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x14ac:dyDescent="0.2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x14ac:dyDescent="0.2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x14ac:dyDescent="0.2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x14ac:dyDescent="0.2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x14ac:dyDescent="0.2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x14ac:dyDescent="0.2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x14ac:dyDescent="0.2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x14ac:dyDescent="0.2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x14ac:dyDescent="0.2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x14ac:dyDescent="0.2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x14ac:dyDescent="0.2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x14ac:dyDescent="0.2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x14ac:dyDescent="0.2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x14ac:dyDescent="0.2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x14ac:dyDescent="0.2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x14ac:dyDescent="0.2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x14ac:dyDescent="0.2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x14ac:dyDescent="0.2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x14ac:dyDescent="0.2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x14ac:dyDescent="0.2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x14ac:dyDescent="0.2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x14ac:dyDescent="0.2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x14ac:dyDescent="0.2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x14ac:dyDescent="0.2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x14ac:dyDescent="0.2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x14ac:dyDescent="0.2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x14ac:dyDescent="0.2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x14ac:dyDescent="0.2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x14ac:dyDescent="0.2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x14ac:dyDescent="0.2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x14ac:dyDescent="0.2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x14ac:dyDescent="0.2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x14ac:dyDescent="0.2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x14ac:dyDescent="0.2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x14ac:dyDescent="0.2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x14ac:dyDescent="0.2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x14ac:dyDescent="0.2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x14ac:dyDescent="0.2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x14ac:dyDescent="0.2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x14ac:dyDescent="0.2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x14ac:dyDescent="0.2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x14ac:dyDescent="0.2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x14ac:dyDescent="0.2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x14ac:dyDescent="0.2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x14ac:dyDescent="0.2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x14ac:dyDescent="0.2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x14ac:dyDescent="0.2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x14ac:dyDescent="0.2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x14ac:dyDescent="0.2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x14ac:dyDescent="0.2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x14ac:dyDescent="0.2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x14ac:dyDescent="0.2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x14ac:dyDescent="0.2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x14ac:dyDescent="0.2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x14ac:dyDescent="0.2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x14ac:dyDescent="0.2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x14ac:dyDescent="0.2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x14ac:dyDescent="0.2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x14ac:dyDescent="0.2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x14ac:dyDescent="0.2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x14ac:dyDescent="0.2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x14ac:dyDescent="0.2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x14ac:dyDescent="0.2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x14ac:dyDescent="0.2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x14ac:dyDescent="0.2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x14ac:dyDescent="0.2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x14ac:dyDescent="0.2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x14ac:dyDescent="0.2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x14ac:dyDescent="0.2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x14ac:dyDescent="0.2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x14ac:dyDescent="0.2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x14ac:dyDescent="0.2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x14ac:dyDescent="0.2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x14ac:dyDescent="0.25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x14ac:dyDescent="0.25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x14ac:dyDescent="0.25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x14ac:dyDescent="0.25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x14ac:dyDescent="0.25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x14ac:dyDescent="0.25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x14ac:dyDescent="0.25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x14ac:dyDescent="0.25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x14ac:dyDescent="0.25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x14ac:dyDescent="0.25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x14ac:dyDescent="0.25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x14ac:dyDescent="0.25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x14ac:dyDescent="0.25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x14ac:dyDescent="0.25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x14ac:dyDescent="0.25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x14ac:dyDescent="0.25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x14ac:dyDescent="0.25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x14ac:dyDescent="0.25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x14ac:dyDescent="0.25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x14ac:dyDescent="0.25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x14ac:dyDescent="0.25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x14ac:dyDescent="0.25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x14ac:dyDescent="0.25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x14ac:dyDescent="0.25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x14ac:dyDescent="0.25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x14ac:dyDescent="0.25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x14ac:dyDescent="0.25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x14ac:dyDescent="0.25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x14ac:dyDescent="0.25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x14ac:dyDescent="0.25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x14ac:dyDescent="0.25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x14ac:dyDescent="0.25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x14ac:dyDescent="0.25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x14ac:dyDescent="0.25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x14ac:dyDescent="0.25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x14ac:dyDescent="0.25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x14ac:dyDescent="0.25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x14ac:dyDescent="0.25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x14ac:dyDescent="0.25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x14ac:dyDescent="0.25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x14ac:dyDescent="0.25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x14ac:dyDescent="0.25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x14ac:dyDescent="0.25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x14ac:dyDescent="0.25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x14ac:dyDescent="0.25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x14ac:dyDescent="0.25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x14ac:dyDescent="0.25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x14ac:dyDescent="0.25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x14ac:dyDescent="0.25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x14ac:dyDescent="0.25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x14ac:dyDescent="0.25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x14ac:dyDescent="0.25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x14ac:dyDescent="0.25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x14ac:dyDescent="0.25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x14ac:dyDescent="0.25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x14ac:dyDescent="0.25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x14ac:dyDescent="0.25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x14ac:dyDescent="0.25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x14ac:dyDescent="0.25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x14ac:dyDescent="0.25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x14ac:dyDescent="0.25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x14ac:dyDescent="0.25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x14ac:dyDescent="0.25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x14ac:dyDescent="0.25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x14ac:dyDescent="0.25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x14ac:dyDescent="0.25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x14ac:dyDescent="0.25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x14ac:dyDescent="0.25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x14ac:dyDescent="0.25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x14ac:dyDescent="0.25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x14ac:dyDescent="0.25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x14ac:dyDescent="0.25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x14ac:dyDescent="0.25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x14ac:dyDescent="0.25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x14ac:dyDescent="0.25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x14ac:dyDescent="0.25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x14ac:dyDescent="0.25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x14ac:dyDescent="0.25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x14ac:dyDescent="0.25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x14ac:dyDescent="0.25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x14ac:dyDescent="0.25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x14ac:dyDescent="0.25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x14ac:dyDescent="0.25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x14ac:dyDescent="0.25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x14ac:dyDescent="0.25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x14ac:dyDescent="0.25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x14ac:dyDescent="0.25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x14ac:dyDescent="0.25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x14ac:dyDescent="0.25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x14ac:dyDescent="0.25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x14ac:dyDescent="0.25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x14ac:dyDescent="0.25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x14ac:dyDescent="0.25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x14ac:dyDescent="0.25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x14ac:dyDescent="0.25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x14ac:dyDescent="0.25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x14ac:dyDescent="0.25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x14ac:dyDescent="0.25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x14ac:dyDescent="0.25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x14ac:dyDescent="0.25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x14ac:dyDescent="0.25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x14ac:dyDescent="0.25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x14ac:dyDescent="0.25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x14ac:dyDescent="0.25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x14ac:dyDescent="0.25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x14ac:dyDescent="0.25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x14ac:dyDescent="0.25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x14ac:dyDescent="0.25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x14ac:dyDescent="0.25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x14ac:dyDescent="0.25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x14ac:dyDescent="0.25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x14ac:dyDescent="0.25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x14ac:dyDescent="0.25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x14ac:dyDescent="0.25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x14ac:dyDescent="0.25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x14ac:dyDescent="0.25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x14ac:dyDescent="0.25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x14ac:dyDescent="0.25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x14ac:dyDescent="0.25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x14ac:dyDescent="0.25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x14ac:dyDescent="0.25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x14ac:dyDescent="0.25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x14ac:dyDescent="0.25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x14ac:dyDescent="0.25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x14ac:dyDescent="0.25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x14ac:dyDescent="0.25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x14ac:dyDescent="0.25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x14ac:dyDescent="0.25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x14ac:dyDescent="0.25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x14ac:dyDescent="0.25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x14ac:dyDescent="0.25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x14ac:dyDescent="0.25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x14ac:dyDescent="0.25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x14ac:dyDescent="0.25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x14ac:dyDescent="0.25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x14ac:dyDescent="0.25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x14ac:dyDescent="0.25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x14ac:dyDescent="0.25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x14ac:dyDescent="0.25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x14ac:dyDescent="0.25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x14ac:dyDescent="0.25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x14ac:dyDescent="0.25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x14ac:dyDescent="0.25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x14ac:dyDescent="0.25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x14ac:dyDescent="0.25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x14ac:dyDescent="0.25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x14ac:dyDescent="0.25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x14ac:dyDescent="0.25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x14ac:dyDescent="0.25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x14ac:dyDescent="0.25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x14ac:dyDescent="0.25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  <row r="1001" spans="1:26" x14ac:dyDescent="0.25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  <c r="Y1001" s="9"/>
      <c r="Z1001" s="9"/>
    </row>
    <row r="1002" spans="1:26" x14ac:dyDescent="0.25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  <c r="Y1002" s="9"/>
      <c r="Z1002" s="9"/>
    </row>
    <row r="1003" spans="1:26" x14ac:dyDescent="0.25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  <c r="Y1003" s="9"/>
      <c r="Z1003" s="9"/>
    </row>
    <row r="1004" spans="1:26" x14ac:dyDescent="0.25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  <c r="Y1004" s="9"/>
      <c r="Z1004" s="9"/>
    </row>
    <row r="1005" spans="1:26" x14ac:dyDescent="0.25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  <c r="Y1005" s="9"/>
      <c r="Z1005" s="9"/>
    </row>
    <row r="1006" spans="1:26" x14ac:dyDescent="0.25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  <c r="Y1006" s="9"/>
      <c r="Z1006" s="9"/>
    </row>
    <row r="1007" spans="1:26" x14ac:dyDescent="0.25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</row>
    <row r="1008" spans="1:26" x14ac:dyDescent="0.25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  <c r="Y1008" s="9"/>
      <c r="Z1008" s="9"/>
    </row>
    <row r="1009" spans="1:26" x14ac:dyDescent="0.25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  <c r="Y1009" s="9"/>
      <c r="Z1009" s="9"/>
    </row>
    <row r="1010" spans="1:26" x14ac:dyDescent="0.25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  <c r="Y1010" s="9"/>
      <c r="Z101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B1000"/>
  <sheetViews>
    <sheetView workbookViewId="0">
      <selection activeCell="F24" sqref="F24"/>
    </sheetView>
  </sheetViews>
  <sheetFormatPr defaultColWidth="14.42578125" defaultRowHeight="15" customHeight="1" x14ac:dyDescent="0.25"/>
  <cols>
    <col min="1" max="1" width="30.42578125" customWidth="1"/>
  </cols>
  <sheetData>
    <row r="1" spans="1:2" x14ac:dyDescent="0.25">
      <c r="A1" s="61" t="s">
        <v>261</v>
      </c>
      <c r="B1" s="62">
        <f>'Cell Reference  Case Study'!D36</f>
        <v>50</v>
      </c>
    </row>
    <row r="2" spans="1:2" x14ac:dyDescent="0.25">
      <c r="A2" s="61" t="s">
        <v>262</v>
      </c>
      <c r="B2" s="62">
        <f>'Cell Reference  Case Study'!F36</f>
        <v>54</v>
      </c>
    </row>
    <row r="3" spans="1:2" x14ac:dyDescent="0.25">
      <c r="A3" s="61" t="s">
        <v>263</v>
      </c>
      <c r="B3" s="62">
        <f>'Cell Reference  Case Study'!D37</f>
        <v>60</v>
      </c>
    </row>
    <row r="4" spans="1:2" x14ac:dyDescent="0.25">
      <c r="A4" s="61" t="s">
        <v>264</v>
      </c>
      <c r="B4" s="62">
        <f>'Cell Reference  Case Study'!F37</f>
        <v>64.8</v>
      </c>
    </row>
    <row r="5" spans="1:2" x14ac:dyDescent="0.25">
      <c r="A5" s="61" t="s">
        <v>260</v>
      </c>
      <c r="B5" s="138">
        <f>'Cell Reference  Case Study'!E42</f>
        <v>0.08</v>
      </c>
    </row>
    <row r="6" spans="1:2" x14ac:dyDescent="0.25">
      <c r="A6" s="63"/>
    </row>
    <row r="7" spans="1:2" x14ac:dyDescent="0.25">
      <c r="A7" s="63" t="s">
        <v>265</v>
      </c>
    </row>
    <row r="8" spans="1:2" x14ac:dyDescent="0.25">
      <c r="A8" s="30" t="s">
        <v>266</v>
      </c>
    </row>
    <row r="9" spans="1:2" x14ac:dyDescent="0.25">
      <c r="A9" s="63"/>
    </row>
    <row r="10" spans="1:2" x14ac:dyDescent="0.25">
      <c r="A10" s="63"/>
    </row>
    <row r="11" spans="1:2" x14ac:dyDescent="0.25">
      <c r="A11" s="63"/>
    </row>
    <row r="12" spans="1:2" x14ac:dyDescent="0.25">
      <c r="A12" s="63"/>
    </row>
    <row r="13" spans="1:2" x14ac:dyDescent="0.25">
      <c r="A13" s="63"/>
    </row>
    <row r="14" spans="1:2" x14ac:dyDescent="0.25">
      <c r="A14" s="63"/>
    </row>
    <row r="15" spans="1:2" x14ac:dyDescent="0.25">
      <c r="A15" s="63"/>
    </row>
    <row r="16" spans="1:2" x14ac:dyDescent="0.25">
      <c r="A16" s="63"/>
    </row>
    <row r="17" spans="1:1" x14ac:dyDescent="0.25">
      <c r="A17" s="63"/>
    </row>
    <row r="18" spans="1:1" x14ac:dyDescent="0.25">
      <c r="A18" s="63"/>
    </row>
    <row r="19" spans="1:1" x14ac:dyDescent="0.25">
      <c r="A19" s="63"/>
    </row>
    <row r="20" spans="1:1" x14ac:dyDescent="0.25">
      <c r="A20" s="63"/>
    </row>
    <row r="21" spans="1:1" x14ac:dyDescent="0.25">
      <c r="A21" s="63"/>
    </row>
    <row r="22" spans="1:1" x14ac:dyDescent="0.25">
      <c r="A22" s="63"/>
    </row>
    <row r="23" spans="1:1" x14ac:dyDescent="0.25">
      <c r="A23" s="63"/>
    </row>
    <row r="24" spans="1:1" x14ac:dyDescent="0.25">
      <c r="A24" s="63"/>
    </row>
    <row r="25" spans="1:1" x14ac:dyDescent="0.25">
      <c r="A25" s="63"/>
    </row>
    <row r="26" spans="1:1" x14ac:dyDescent="0.25">
      <c r="A26" s="63"/>
    </row>
    <row r="27" spans="1:1" x14ac:dyDescent="0.25">
      <c r="A27" s="63"/>
    </row>
    <row r="28" spans="1:1" x14ac:dyDescent="0.25">
      <c r="A28" s="63"/>
    </row>
    <row r="29" spans="1:1" x14ac:dyDescent="0.25">
      <c r="A29" s="63"/>
    </row>
    <row r="30" spans="1:1" x14ac:dyDescent="0.25">
      <c r="A30" s="63"/>
    </row>
    <row r="31" spans="1:1" x14ac:dyDescent="0.25">
      <c r="A31" s="63"/>
    </row>
    <row r="32" spans="1:1" x14ac:dyDescent="0.25">
      <c r="A32" s="63"/>
    </row>
    <row r="33" spans="1:1" x14ac:dyDescent="0.25">
      <c r="A33" s="63"/>
    </row>
    <row r="34" spans="1:1" x14ac:dyDescent="0.25">
      <c r="A34" s="63"/>
    </row>
    <row r="35" spans="1:1" x14ac:dyDescent="0.25">
      <c r="A35" s="63"/>
    </row>
    <row r="36" spans="1:1" x14ac:dyDescent="0.25">
      <c r="A36" s="63"/>
    </row>
    <row r="37" spans="1:1" x14ac:dyDescent="0.25">
      <c r="A37" s="63"/>
    </row>
    <row r="38" spans="1:1" x14ac:dyDescent="0.25">
      <c r="A38" s="63"/>
    </row>
    <row r="39" spans="1:1" x14ac:dyDescent="0.25">
      <c r="A39" s="63"/>
    </row>
    <row r="40" spans="1:1" x14ac:dyDescent="0.25">
      <c r="A40" s="63"/>
    </row>
    <row r="41" spans="1:1" x14ac:dyDescent="0.25">
      <c r="A41" s="63"/>
    </row>
    <row r="42" spans="1:1" x14ac:dyDescent="0.25">
      <c r="A42" s="63"/>
    </row>
    <row r="43" spans="1:1" x14ac:dyDescent="0.25">
      <c r="A43" s="63"/>
    </row>
    <row r="44" spans="1:1" x14ac:dyDescent="0.25">
      <c r="A44" s="63"/>
    </row>
    <row r="45" spans="1:1" x14ac:dyDescent="0.25">
      <c r="A45" s="63"/>
    </row>
    <row r="46" spans="1:1" x14ac:dyDescent="0.25">
      <c r="A46" s="63"/>
    </row>
    <row r="47" spans="1:1" x14ac:dyDescent="0.25">
      <c r="A47" s="63"/>
    </row>
    <row r="48" spans="1:1" x14ac:dyDescent="0.25">
      <c r="A48" s="63"/>
    </row>
    <row r="49" spans="1:1" x14ac:dyDescent="0.25">
      <c r="A49" s="63"/>
    </row>
    <row r="50" spans="1:1" x14ac:dyDescent="0.25">
      <c r="A50" s="63"/>
    </row>
    <row r="51" spans="1:1" x14ac:dyDescent="0.25">
      <c r="A51" s="63"/>
    </row>
    <row r="52" spans="1:1" x14ac:dyDescent="0.25">
      <c r="A52" s="63"/>
    </row>
    <row r="53" spans="1:1" x14ac:dyDescent="0.25">
      <c r="A53" s="63"/>
    </row>
    <row r="54" spans="1:1" x14ac:dyDescent="0.25">
      <c r="A54" s="63"/>
    </row>
    <row r="55" spans="1:1" x14ac:dyDescent="0.25">
      <c r="A55" s="63"/>
    </row>
    <row r="56" spans="1:1" x14ac:dyDescent="0.25">
      <c r="A56" s="63"/>
    </row>
    <row r="57" spans="1:1" x14ac:dyDescent="0.25">
      <c r="A57" s="63"/>
    </row>
    <row r="58" spans="1:1" x14ac:dyDescent="0.25">
      <c r="A58" s="63"/>
    </row>
    <row r="59" spans="1:1" x14ac:dyDescent="0.25">
      <c r="A59" s="63"/>
    </row>
    <row r="60" spans="1:1" x14ac:dyDescent="0.25">
      <c r="A60" s="63"/>
    </row>
    <row r="61" spans="1:1" x14ac:dyDescent="0.25">
      <c r="A61" s="63"/>
    </row>
    <row r="62" spans="1:1" x14ac:dyDescent="0.25">
      <c r="A62" s="63"/>
    </row>
    <row r="63" spans="1:1" x14ac:dyDescent="0.25">
      <c r="A63" s="63"/>
    </row>
    <row r="64" spans="1:1" x14ac:dyDescent="0.25">
      <c r="A64" s="63"/>
    </row>
    <row r="65" spans="1:1" x14ac:dyDescent="0.25">
      <c r="A65" s="63"/>
    </row>
    <row r="66" spans="1:1" x14ac:dyDescent="0.25">
      <c r="A66" s="63"/>
    </row>
    <row r="67" spans="1:1" x14ac:dyDescent="0.25">
      <c r="A67" s="63"/>
    </row>
    <row r="68" spans="1:1" x14ac:dyDescent="0.25">
      <c r="A68" s="63"/>
    </row>
    <row r="69" spans="1:1" x14ac:dyDescent="0.25">
      <c r="A69" s="63"/>
    </row>
    <row r="70" spans="1:1" x14ac:dyDescent="0.25">
      <c r="A70" s="63"/>
    </row>
    <row r="71" spans="1:1" x14ac:dyDescent="0.25">
      <c r="A71" s="63"/>
    </row>
    <row r="72" spans="1:1" x14ac:dyDescent="0.25">
      <c r="A72" s="63"/>
    </row>
    <row r="73" spans="1:1" x14ac:dyDescent="0.25">
      <c r="A73" s="63"/>
    </row>
    <row r="74" spans="1:1" x14ac:dyDescent="0.25">
      <c r="A74" s="63"/>
    </row>
    <row r="75" spans="1:1" x14ac:dyDescent="0.25">
      <c r="A75" s="63"/>
    </row>
    <row r="76" spans="1:1" x14ac:dyDescent="0.25">
      <c r="A76" s="63"/>
    </row>
    <row r="77" spans="1:1" x14ac:dyDescent="0.25">
      <c r="A77" s="63"/>
    </row>
    <row r="78" spans="1:1" x14ac:dyDescent="0.25">
      <c r="A78" s="63"/>
    </row>
    <row r="79" spans="1:1" x14ac:dyDescent="0.25">
      <c r="A79" s="63"/>
    </row>
    <row r="80" spans="1:1" x14ac:dyDescent="0.25">
      <c r="A80" s="63"/>
    </row>
    <row r="81" spans="1:1" x14ac:dyDescent="0.25">
      <c r="A81" s="63"/>
    </row>
    <row r="82" spans="1:1" x14ac:dyDescent="0.25">
      <c r="A82" s="63"/>
    </row>
    <row r="83" spans="1:1" x14ac:dyDescent="0.25">
      <c r="A83" s="63"/>
    </row>
    <row r="84" spans="1:1" x14ac:dyDescent="0.25">
      <c r="A84" s="63"/>
    </row>
    <row r="85" spans="1:1" x14ac:dyDescent="0.25">
      <c r="A85" s="63"/>
    </row>
    <row r="86" spans="1:1" x14ac:dyDescent="0.25">
      <c r="A86" s="63"/>
    </row>
    <row r="87" spans="1:1" x14ac:dyDescent="0.25">
      <c r="A87" s="63"/>
    </row>
    <row r="88" spans="1:1" x14ac:dyDescent="0.25">
      <c r="A88" s="63"/>
    </row>
    <row r="89" spans="1:1" x14ac:dyDescent="0.25">
      <c r="A89" s="63"/>
    </row>
    <row r="90" spans="1:1" x14ac:dyDescent="0.25">
      <c r="A90" s="63"/>
    </row>
    <row r="91" spans="1:1" x14ac:dyDescent="0.25">
      <c r="A91" s="63"/>
    </row>
    <row r="92" spans="1:1" x14ac:dyDescent="0.25">
      <c r="A92" s="63"/>
    </row>
    <row r="93" spans="1:1" x14ac:dyDescent="0.25">
      <c r="A93" s="63"/>
    </row>
    <row r="94" spans="1:1" x14ac:dyDescent="0.25">
      <c r="A94" s="63"/>
    </row>
    <row r="95" spans="1:1" x14ac:dyDescent="0.25">
      <c r="A95" s="63"/>
    </row>
    <row r="96" spans="1:1" x14ac:dyDescent="0.25">
      <c r="A96" s="63"/>
    </row>
    <row r="97" spans="1:1" x14ac:dyDescent="0.25">
      <c r="A97" s="63"/>
    </row>
    <row r="98" spans="1:1" x14ac:dyDescent="0.25">
      <c r="A98" s="63"/>
    </row>
    <row r="99" spans="1:1" x14ac:dyDescent="0.25">
      <c r="A99" s="63"/>
    </row>
    <row r="100" spans="1:1" x14ac:dyDescent="0.25">
      <c r="A100" s="63"/>
    </row>
    <row r="101" spans="1:1" x14ac:dyDescent="0.25">
      <c r="A101" s="63"/>
    </row>
    <row r="102" spans="1:1" x14ac:dyDescent="0.25">
      <c r="A102" s="63"/>
    </row>
    <row r="103" spans="1:1" x14ac:dyDescent="0.25">
      <c r="A103" s="63"/>
    </row>
    <row r="104" spans="1:1" x14ac:dyDescent="0.25">
      <c r="A104" s="63"/>
    </row>
    <row r="105" spans="1:1" x14ac:dyDescent="0.25">
      <c r="A105" s="63"/>
    </row>
    <row r="106" spans="1:1" x14ac:dyDescent="0.25">
      <c r="A106" s="63"/>
    </row>
    <row r="107" spans="1:1" x14ac:dyDescent="0.25">
      <c r="A107" s="63"/>
    </row>
    <row r="108" spans="1:1" x14ac:dyDescent="0.25">
      <c r="A108" s="63"/>
    </row>
    <row r="109" spans="1:1" x14ac:dyDescent="0.25">
      <c r="A109" s="63"/>
    </row>
    <row r="110" spans="1:1" x14ac:dyDescent="0.25">
      <c r="A110" s="63"/>
    </row>
    <row r="111" spans="1:1" x14ac:dyDescent="0.25">
      <c r="A111" s="63"/>
    </row>
    <row r="112" spans="1:1" x14ac:dyDescent="0.25">
      <c r="A112" s="63"/>
    </row>
    <row r="113" spans="1:1" x14ac:dyDescent="0.25">
      <c r="A113" s="63"/>
    </row>
    <row r="114" spans="1:1" x14ac:dyDescent="0.25">
      <c r="A114" s="63"/>
    </row>
    <row r="115" spans="1:1" x14ac:dyDescent="0.25">
      <c r="A115" s="63"/>
    </row>
    <row r="116" spans="1:1" x14ac:dyDescent="0.25">
      <c r="A116" s="63"/>
    </row>
    <row r="117" spans="1:1" x14ac:dyDescent="0.25">
      <c r="A117" s="63"/>
    </row>
    <row r="118" spans="1:1" x14ac:dyDescent="0.25">
      <c r="A118" s="63"/>
    </row>
    <row r="119" spans="1:1" x14ac:dyDescent="0.25">
      <c r="A119" s="63"/>
    </row>
    <row r="120" spans="1:1" x14ac:dyDescent="0.25">
      <c r="A120" s="63"/>
    </row>
    <row r="121" spans="1:1" x14ac:dyDescent="0.25">
      <c r="A121" s="63"/>
    </row>
    <row r="122" spans="1:1" x14ac:dyDescent="0.25">
      <c r="A122" s="63"/>
    </row>
    <row r="123" spans="1:1" x14ac:dyDescent="0.25">
      <c r="A123" s="63"/>
    </row>
    <row r="124" spans="1:1" x14ac:dyDescent="0.25">
      <c r="A124" s="63"/>
    </row>
    <row r="125" spans="1:1" x14ac:dyDescent="0.25">
      <c r="A125" s="63"/>
    </row>
    <row r="126" spans="1:1" x14ac:dyDescent="0.25">
      <c r="A126" s="63"/>
    </row>
    <row r="127" spans="1:1" x14ac:dyDescent="0.25">
      <c r="A127" s="63"/>
    </row>
    <row r="128" spans="1:1" x14ac:dyDescent="0.25">
      <c r="A128" s="63"/>
    </row>
    <row r="129" spans="1:1" x14ac:dyDescent="0.25">
      <c r="A129" s="63"/>
    </row>
    <row r="130" spans="1:1" x14ac:dyDescent="0.25">
      <c r="A130" s="63"/>
    </row>
    <row r="131" spans="1:1" x14ac:dyDescent="0.25">
      <c r="A131" s="63"/>
    </row>
    <row r="132" spans="1:1" x14ac:dyDescent="0.25">
      <c r="A132" s="63"/>
    </row>
    <row r="133" spans="1:1" x14ac:dyDescent="0.25">
      <c r="A133" s="63"/>
    </row>
    <row r="134" spans="1:1" x14ac:dyDescent="0.25">
      <c r="A134" s="63"/>
    </row>
    <row r="135" spans="1:1" x14ac:dyDescent="0.25">
      <c r="A135" s="63"/>
    </row>
    <row r="136" spans="1:1" x14ac:dyDescent="0.25">
      <c r="A136" s="63"/>
    </row>
    <row r="137" spans="1:1" x14ac:dyDescent="0.25">
      <c r="A137" s="63"/>
    </row>
    <row r="138" spans="1:1" x14ac:dyDescent="0.25">
      <c r="A138" s="63"/>
    </row>
    <row r="139" spans="1:1" x14ac:dyDescent="0.25">
      <c r="A139" s="63"/>
    </row>
    <row r="140" spans="1:1" x14ac:dyDescent="0.25">
      <c r="A140" s="63"/>
    </row>
    <row r="141" spans="1:1" x14ac:dyDescent="0.25">
      <c r="A141" s="63"/>
    </row>
    <row r="142" spans="1:1" x14ac:dyDescent="0.25">
      <c r="A142" s="63"/>
    </row>
    <row r="143" spans="1:1" x14ac:dyDescent="0.25">
      <c r="A143" s="63"/>
    </row>
    <row r="144" spans="1:1" x14ac:dyDescent="0.25">
      <c r="A144" s="63"/>
    </row>
    <row r="145" spans="1:1" x14ac:dyDescent="0.25">
      <c r="A145" s="63"/>
    </row>
    <row r="146" spans="1:1" x14ac:dyDescent="0.25">
      <c r="A146" s="63"/>
    </row>
    <row r="147" spans="1:1" x14ac:dyDescent="0.25">
      <c r="A147" s="63"/>
    </row>
    <row r="148" spans="1:1" x14ac:dyDescent="0.25">
      <c r="A148" s="63"/>
    </row>
    <row r="149" spans="1:1" x14ac:dyDescent="0.25">
      <c r="A149" s="63"/>
    </row>
    <row r="150" spans="1:1" x14ac:dyDescent="0.25">
      <c r="A150" s="63"/>
    </row>
    <row r="151" spans="1:1" x14ac:dyDescent="0.25">
      <c r="A151" s="63"/>
    </row>
    <row r="152" spans="1:1" x14ac:dyDescent="0.25">
      <c r="A152" s="63"/>
    </row>
    <row r="153" spans="1:1" x14ac:dyDescent="0.25">
      <c r="A153" s="63"/>
    </row>
    <row r="154" spans="1:1" x14ac:dyDescent="0.25">
      <c r="A154" s="63"/>
    </row>
    <row r="155" spans="1:1" x14ac:dyDescent="0.25">
      <c r="A155" s="63"/>
    </row>
    <row r="156" spans="1:1" x14ac:dyDescent="0.25">
      <c r="A156" s="63"/>
    </row>
    <row r="157" spans="1:1" x14ac:dyDescent="0.25">
      <c r="A157" s="63"/>
    </row>
    <row r="158" spans="1:1" x14ac:dyDescent="0.25">
      <c r="A158" s="63"/>
    </row>
    <row r="159" spans="1:1" x14ac:dyDescent="0.25">
      <c r="A159" s="63"/>
    </row>
    <row r="160" spans="1:1" x14ac:dyDescent="0.25">
      <c r="A160" s="63"/>
    </row>
    <row r="161" spans="1:1" x14ac:dyDescent="0.25">
      <c r="A161" s="63"/>
    </row>
    <row r="162" spans="1:1" x14ac:dyDescent="0.25">
      <c r="A162" s="63"/>
    </row>
    <row r="163" spans="1:1" x14ac:dyDescent="0.25">
      <c r="A163" s="63"/>
    </row>
    <row r="164" spans="1:1" x14ac:dyDescent="0.25">
      <c r="A164" s="63"/>
    </row>
    <row r="165" spans="1:1" x14ac:dyDescent="0.25">
      <c r="A165" s="63"/>
    </row>
    <row r="166" spans="1:1" x14ac:dyDescent="0.25">
      <c r="A166" s="63"/>
    </row>
    <row r="167" spans="1:1" x14ac:dyDescent="0.25">
      <c r="A167" s="63"/>
    </row>
    <row r="168" spans="1:1" x14ac:dyDescent="0.25">
      <c r="A168" s="63"/>
    </row>
    <row r="169" spans="1:1" x14ac:dyDescent="0.25">
      <c r="A169" s="63"/>
    </row>
    <row r="170" spans="1:1" x14ac:dyDescent="0.25">
      <c r="A170" s="63"/>
    </row>
    <row r="171" spans="1:1" x14ac:dyDescent="0.25">
      <c r="A171" s="63"/>
    </row>
    <row r="172" spans="1:1" x14ac:dyDescent="0.25">
      <c r="A172" s="63"/>
    </row>
    <row r="173" spans="1:1" x14ac:dyDescent="0.25">
      <c r="A173" s="63"/>
    </row>
    <row r="174" spans="1:1" x14ac:dyDescent="0.25">
      <c r="A174" s="63"/>
    </row>
    <row r="175" spans="1:1" x14ac:dyDescent="0.25">
      <c r="A175" s="63"/>
    </row>
    <row r="176" spans="1:1" x14ac:dyDescent="0.25">
      <c r="A176" s="63"/>
    </row>
    <row r="177" spans="1:1" x14ac:dyDescent="0.25">
      <c r="A177" s="63"/>
    </row>
    <row r="178" spans="1:1" x14ac:dyDescent="0.25">
      <c r="A178" s="63"/>
    </row>
    <row r="179" spans="1:1" x14ac:dyDescent="0.25">
      <c r="A179" s="63"/>
    </row>
    <row r="180" spans="1:1" x14ac:dyDescent="0.25">
      <c r="A180" s="63"/>
    </row>
    <row r="181" spans="1:1" x14ac:dyDescent="0.25">
      <c r="A181" s="63"/>
    </row>
    <row r="182" spans="1:1" x14ac:dyDescent="0.25">
      <c r="A182" s="63"/>
    </row>
    <row r="183" spans="1:1" x14ac:dyDescent="0.25">
      <c r="A183" s="63"/>
    </row>
    <row r="184" spans="1:1" x14ac:dyDescent="0.25">
      <c r="A184" s="63"/>
    </row>
    <row r="185" spans="1:1" x14ac:dyDescent="0.25">
      <c r="A185" s="63"/>
    </row>
    <row r="186" spans="1:1" x14ac:dyDescent="0.25">
      <c r="A186" s="63"/>
    </row>
    <row r="187" spans="1:1" x14ac:dyDescent="0.25">
      <c r="A187" s="63"/>
    </row>
    <row r="188" spans="1:1" x14ac:dyDescent="0.25">
      <c r="A188" s="63"/>
    </row>
    <row r="189" spans="1:1" x14ac:dyDescent="0.25">
      <c r="A189" s="63"/>
    </row>
    <row r="190" spans="1:1" x14ac:dyDescent="0.25">
      <c r="A190" s="63"/>
    </row>
    <row r="191" spans="1:1" x14ac:dyDescent="0.25">
      <c r="A191" s="63"/>
    </row>
    <row r="192" spans="1:1" x14ac:dyDescent="0.25">
      <c r="A192" s="63"/>
    </row>
    <row r="193" spans="1:1" x14ac:dyDescent="0.25">
      <c r="A193" s="63"/>
    </row>
    <row r="194" spans="1:1" x14ac:dyDescent="0.25">
      <c r="A194" s="63"/>
    </row>
    <row r="195" spans="1:1" x14ac:dyDescent="0.25">
      <c r="A195" s="63"/>
    </row>
    <row r="196" spans="1:1" x14ac:dyDescent="0.25">
      <c r="A196" s="63"/>
    </row>
    <row r="197" spans="1:1" x14ac:dyDescent="0.25">
      <c r="A197" s="63"/>
    </row>
    <row r="198" spans="1:1" x14ac:dyDescent="0.25">
      <c r="A198" s="63"/>
    </row>
    <row r="199" spans="1:1" x14ac:dyDescent="0.25">
      <c r="A199" s="63"/>
    </row>
    <row r="200" spans="1:1" x14ac:dyDescent="0.25">
      <c r="A200" s="63"/>
    </row>
    <row r="201" spans="1:1" x14ac:dyDescent="0.25">
      <c r="A201" s="63"/>
    </row>
    <row r="202" spans="1:1" x14ac:dyDescent="0.25">
      <c r="A202" s="63"/>
    </row>
    <row r="203" spans="1:1" x14ac:dyDescent="0.25">
      <c r="A203" s="63"/>
    </row>
    <row r="204" spans="1:1" x14ac:dyDescent="0.25">
      <c r="A204" s="63"/>
    </row>
    <row r="205" spans="1:1" x14ac:dyDescent="0.25">
      <c r="A205" s="63"/>
    </row>
    <row r="206" spans="1:1" x14ac:dyDescent="0.25">
      <c r="A206" s="63"/>
    </row>
    <row r="207" spans="1:1" x14ac:dyDescent="0.25">
      <c r="A207" s="63"/>
    </row>
    <row r="208" spans="1:1" x14ac:dyDescent="0.25">
      <c r="A208" s="63"/>
    </row>
    <row r="209" spans="1:1" x14ac:dyDescent="0.25">
      <c r="A209" s="63"/>
    </row>
    <row r="210" spans="1:1" x14ac:dyDescent="0.25">
      <c r="A210" s="63"/>
    </row>
    <row r="211" spans="1:1" x14ac:dyDescent="0.25">
      <c r="A211" s="63"/>
    </row>
    <row r="212" spans="1:1" x14ac:dyDescent="0.25">
      <c r="A212" s="63"/>
    </row>
    <row r="213" spans="1:1" x14ac:dyDescent="0.25">
      <c r="A213" s="63"/>
    </row>
    <row r="214" spans="1:1" x14ac:dyDescent="0.25">
      <c r="A214" s="63"/>
    </row>
    <row r="215" spans="1:1" x14ac:dyDescent="0.25">
      <c r="A215" s="63"/>
    </row>
    <row r="216" spans="1:1" x14ac:dyDescent="0.25">
      <c r="A216" s="63"/>
    </row>
    <row r="217" spans="1:1" x14ac:dyDescent="0.25">
      <c r="A217" s="63"/>
    </row>
    <row r="218" spans="1:1" x14ac:dyDescent="0.25">
      <c r="A218" s="63"/>
    </row>
    <row r="219" spans="1:1" x14ac:dyDescent="0.25">
      <c r="A219" s="63"/>
    </row>
    <row r="220" spans="1:1" x14ac:dyDescent="0.25">
      <c r="A220" s="63"/>
    </row>
    <row r="221" spans="1:1" x14ac:dyDescent="0.25">
      <c r="A221" s="63"/>
    </row>
    <row r="222" spans="1:1" x14ac:dyDescent="0.25">
      <c r="A222" s="63"/>
    </row>
    <row r="223" spans="1:1" x14ac:dyDescent="0.25">
      <c r="A223" s="63"/>
    </row>
    <row r="224" spans="1:1" x14ac:dyDescent="0.25">
      <c r="A224" s="63"/>
    </row>
    <row r="225" spans="1:1" x14ac:dyDescent="0.25">
      <c r="A225" s="63"/>
    </row>
    <row r="226" spans="1:1" x14ac:dyDescent="0.25">
      <c r="A226" s="63"/>
    </row>
    <row r="227" spans="1:1" x14ac:dyDescent="0.25">
      <c r="A227" s="63"/>
    </row>
    <row r="228" spans="1:1" x14ac:dyDescent="0.25">
      <c r="A228" s="63"/>
    </row>
    <row r="229" spans="1:1" x14ac:dyDescent="0.25">
      <c r="A229" s="63"/>
    </row>
    <row r="230" spans="1:1" x14ac:dyDescent="0.25">
      <c r="A230" s="63"/>
    </row>
    <row r="231" spans="1:1" x14ac:dyDescent="0.25">
      <c r="A231" s="63"/>
    </row>
    <row r="232" spans="1:1" x14ac:dyDescent="0.25">
      <c r="A232" s="63"/>
    </row>
    <row r="233" spans="1:1" x14ac:dyDescent="0.25">
      <c r="A233" s="63"/>
    </row>
    <row r="234" spans="1:1" x14ac:dyDescent="0.25">
      <c r="A234" s="63"/>
    </row>
    <row r="235" spans="1:1" x14ac:dyDescent="0.25">
      <c r="A235" s="63"/>
    </row>
    <row r="236" spans="1:1" x14ac:dyDescent="0.25">
      <c r="A236" s="63"/>
    </row>
    <row r="237" spans="1:1" x14ac:dyDescent="0.25">
      <c r="A237" s="63"/>
    </row>
    <row r="238" spans="1:1" x14ac:dyDescent="0.25">
      <c r="A238" s="63"/>
    </row>
    <row r="239" spans="1:1" x14ac:dyDescent="0.25">
      <c r="A239" s="63"/>
    </row>
    <row r="240" spans="1:1" x14ac:dyDescent="0.25">
      <c r="A240" s="63"/>
    </row>
    <row r="241" spans="1:1" x14ac:dyDescent="0.25">
      <c r="A241" s="63"/>
    </row>
    <row r="242" spans="1:1" x14ac:dyDescent="0.25">
      <c r="A242" s="63"/>
    </row>
    <row r="243" spans="1:1" x14ac:dyDescent="0.25">
      <c r="A243" s="63"/>
    </row>
    <row r="244" spans="1:1" x14ac:dyDescent="0.25">
      <c r="A244" s="63"/>
    </row>
    <row r="245" spans="1:1" x14ac:dyDescent="0.25">
      <c r="A245" s="63"/>
    </row>
    <row r="246" spans="1:1" x14ac:dyDescent="0.25">
      <c r="A246" s="63"/>
    </row>
    <row r="247" spans="1:1" x14ac:dyDescent="0.25">
      <c r="A247" s="63"/>
    </row>
    <row r="248" spans="1:1" x14ac:dyDescent="0.25">
      <c r="A248" s="63"/>
    </row>
    <row r="249" spans="1:1" x14ac:dyDescent="0.25">
      <c r="A249" s="63"/>
    </row>
    <row r="250" spans="1:1" x14ac:dyDescent="0.25">
      <c r="A250" s="63"/>
    </row>
    <row r="251" spans="1:1" x14ac:dyDescent="0.25">
      <c r="A251" s="63"/>
    </row>
    <row r="252" spans="1:1" x14ac:dyDescent="0.25">
      <c r="A252" s="63"/>
    </row>
    <row r="253" spans="1:1" x14ac:dyDescent="0.25">
      <c r="A253" s="63"/>
    </row>
    <row r="254" spans="1:1" x14ac:dyDescent="0.25">
      <c r="A254" s="63"/>
    </row>
    <row r="255" spans="1:1" x14ac:dyDescent="0.25">
      <c r="A255" s="63"/>
    </row>
    <row r="256" spans="1:1" x14ac:dyDescent="0.25">
      <c r="A256" s="63"/>
    </row>
    <row r="257" spans="1:1" x14ac:dyDescent="0.25">
      <c r="A257" s="63"/>
    </row>
    <row r="258" spans="1:1" x14ac:dyDescent="0.25">
      <c r="A258" s="63"/>
    </row>
    <row r="259" spans="1:1" x14ac:dyDescent="0.25">
      <c r="A259" s="63"/>
    </row>
    <row r="260" spans="1:1" x14ac:dyDescent="0.25">
      <c r="A260" s="63"/>
    </row>
    <row r="261" spans="1:1" x14ac:dyDescent="0.25">
      <c r="A261" s="63"/>
    </row>
    <row r="262" spans="1:1" x14ac:dyDescent="0.25">
      <c r="A262" s="63"/>
    </row>
    <row r="263" spans="1:1" x14ac:dyDescent="0.25">
      <c r="A263" s="63"/>
    </row>
    <row r="264" spans="1:1" x14ac:dyDescent="0.25">
      <c r="A264" s="63"/>
    </row>
    <row r="265" spans="1:1" x14ac:dyDescent="0.25">
      <c r="A265" s="63"/>
    </row>
    <row r="266" spans="1:1" x14ac:dyDescent="0.25">
      <c r="A266" s="63"/>
    </row>
    <row r="267" spans="1:1" x14ac:dyDescent="0.25">
      <c r="A267" s="63"/>
    </row>
    <row r="268" spans="1:1" x14ac:dyDescent="0.25">
      <c r="A268" s="63"/>
    </row>
    <row r="269" spans="1:1" x14ac:dyDescent="0.25">
      <c r="A269" s="63"/>
    </row>
    <row r="270" spans="1:1" x14ac:dyDescent="0.25">
      <c r="A270" s="63"/>
    </row>
    <row r="271" spans="1:1" x14ac:dyDescent="0.25">
      <c r="A271" s="63"/>
    </row>
    <row r="272" spans="1:1" x14ac:dyDescent="0.25">
      <c r="A272" s="63"/>
    </row>
    <row r="273" spans="1:1" x14ac:dyDescent="0.25">
      <c r="A273" s="63"/>
    </row>
    <row r="274" spans="1:1" x14ac:dyDescent="0.25">
      <c r="A274" s="63"/>
    </row>
    <row r="275" spans="1:1" x14ac:dyDescent="0.25">
      <c r="A275" s="63"/>
    </row>
    <row r="276" spans="1:1" x14ac:dyDescent="0.25">
      <c r="A276" s="63"/>
    </row>
    <row r="277" spans="1:1" x14ac:dyDescent="0.25">
      <c r="A277" s="63"/>
    </row>
    <row r="278" spans="1:1" x14ac:dyDescent="0.25">
      <c r="A278" s="63"/>
    </row>
    <row r="279" spans="1:1" x14ac:dyDescent="0.25">
      <c r="A279" s="63"/>
    </row>
    <row r="280" spans="1:1" x14ac:dyDescent="0.25">
      <c r="A280" s="63"/>
    </row>
    <row r="281" spans="1:1" x14ac:dyDescent="0.25">
      <c r="A281" s="63"/>
    </row>
    <row r="282" spans="1:1" x14ac:dyDescent="0.25">
      <c r="A282" s="63"/>
    </row>
    <row r="283" spans="1:1" x14ac:dyDescent="0.25">
      <c r="A283" s="63"/>
    </row>
    <row r="284" spans="1:1" x14ac:dyDescent="0.25">
      <c r="A284" s="63"/>
    </row>
    <row r="285" spans="1:1" x14ac:dyDescent="0.25">
      <c r="A285" s="63"/>
    </row>
    <row r="286" spans="1:1" x14ac:dyDescent="0.25">
      <c r="A286" s="63"/>
    </row>
    <row r="287" spans="1:1" x14ac:dyDescent="0.25">
      <c r="A287" s="63"/>
    </row>
    <row r="288" spans="1:1" x14ac:dyDescent="0.25">
      <c r="A288" s="63"/>
    </row>
    <row r="289" spans="1:1" x14ac:dyDescent="0.25">
      <c r="A289" s="63"/>
    </row>
    <row r="290" spans="1:1" x14ac:dyDescent="0.25">
      <c r="A290" s="63"/>
    </row>
    <row r="291" spans="1:1" x14ac:dyDescent="0.25">
      <c r="A291" s="63"/>
    </row>
    <row r="292" spans="1:1" x14ac:dyDescent="0.25">
      <c r="A292" s="63"/>
    </row>
    <row r="293" spans="1:1" x14ac:dyDescent="0.25">
      <c r="A293" s="63"/>
    </row>
    <row r="294" spans="1:1" x14ac:dyDescent="0.25">
      <c r="A294" s="63"/>
    </row>
    <row r="295" spans="1:1" x14ac:dyDescent="0.25">
      <c r="A295" s="63"/>
    </row>
    <row r="296" spans="1:1" x14ac:dyDescent="0.25">
      <c r="A296" s="63"/>
    </row>
    <row r="297" spans="1:1" x14ac:dyDescent="0.25">
      <c r="A297" s="63"/>
    </row>
    <row r="298" spans="1:1" x14ac:dyDescent="0.25">
      <c r="A298" s="63"/>
    </row>
    <row r="299" spans="1:1" x14ac:dyDescent="0.25">
      <c r="A299" s="63"/>
    </row>
    <row r="300" spans="1:1" x14ac:dyDescent="0.25">
      <c r="A300" s="63"/>
    </row>
    <row r="301" spans="1:1" x14ac:dyDescent="0.25">
      <c r="A301" s="63"/>
    </row>
    <row r="302" spans="1:1" x14ac:dyDescent="0.25">
      <c r="A302" s="63"/>
    </row>
    <row r="303" spans="1:1" x14ac:dyDescent="0.25">
      <c r="A303" s="63"/>
    </row>
    <row r="304" spans="1:1" x14ac:dyDescent="0.25">
      <c r="A304" s="63"/>
    </row>
    <row r="305" spans="1:1" x14ac:dyDescent="0.25">
      <c r="A305" s="63"/>
    </row>
    <row r="306" spans="1:1" x14ac:dyDescent="0.25">
      <c r="A306" s="63"/>
    </row>
    <row r="307" spans="1:1" x14ac:dyDescent="0.25">
      <c r="A307" s="63"/>
    </row>
    <row r="308" spans="1:1" x14ac:dyDescent="0.25">
      <c r="A308" s="63"/>
    </row>
    <row r="309" spans="1:1" x14ac:dyDescent="0.25">
      <c r="A309" s="63"/>
    </row>
    <row r="310" spans="1:1" x14ac:dyDescent="0.25">
      <c r="A310" s="63"/>
    </row>
    <row r="311" spans="1:1" x14ac:dyDescent="0.25">
      <c r="A311" s="63"/>
    </row>
    <row r="312" spans="1:1" x14ac:dyDescent="0.25">
      <c r="A312" s="63"/>
    </row>
    <row r="313" spans="1:1" x14ac:dyDescent="0.25">
      <c r="A313" s="63"/>
    </row>
    <row r="314" spans="1:1" x14ac:dyDescent="0.25">
      <c r="A314" s="63"/>
    </row>
    <row r="315" spans="1:1" x14ac:dyDescent="0.25">
      <c r="A315" s="63"/>
    </row>
    <row r="316" spans="1:1" x14ac:dyDescent="0.25">
      <c r="A316" s="63"/>
    </row>
    <row r="317" spans="1:1" x14ac:dyDescent="0.25">
      <c r="A317" s="63"/>
    </row>
    <row r="318" spans="1:1" x14ac:dyDescent="0.25">
      <c r="A318" s="63"/>
    </row>
    <row r="319" spans="1:1" x14ac:dyDescent="0.25">
      <c r="A319" s="63"/>
    </row>
    <row r="320" spans="1:1" x14ac:dyDescent="0.25">
      <c r="A320" s="63"/>
    </row>
    <row r="321" spans="1:1" x14ac:dyDescent="0.25">
      <c r="A321" s="63"/>
    </row>
    <row r="322" spans="1:1" x14ac:dyDescent="0.25">
      <c r="A322" s="63"/>
    </row>
    <row r="323" spans="1:1" x14ac:dyDescent="0.25">
      <c r="A323" s="63"/>
    </row>
    <row r="324" spans="1:1" x14ac:dyDescent="0.25">
      <c r="A324" s="63"/>
    </row>
    <row r="325" spans="1:1" x14ac:dyDescent="0.25">
      <c r="A325" s="63"/>
    </row>
    <row r="326" spans="1:1" x14ac:dyDescent="0.25">
      <c r="A326" s="63"/>
    </row>
    <row r="327" spans="1:1" x14ac:dyDescent="0.25">
      <c r="A327" s="63"/>
    </row>
    <row r="328" spans="1:1" x14ac:dyDescent="0.25">
      <c r="A328" s="63"/>
    </row>
    <row r="329" spans="1:1" x14ac:dyDescent="0.25">
      <c r="A329" s="63"/>
    </row>
    <row r="330" spans="1:1" x14ac:dyDescent="0.25">
      <c r="A330" s="63"/>
    </row>
    <row r="331" spans="1:1" x14ac:dyDescent="0.25">
      <c r="A331" s="63"/>
    </row>
    <row r="332" spans="1:1" x14ac:dyDescent="0.25">
      <c r="A332" s="63"/>
    </row>
    <row r="333" spans="1:1" x14ac:dyDescent="0.25">
      <c r="A333" s="63"/>
    </row>
    <row r="334" spans="1:1" x14ac:dyDescent="0.25">
      <c r="A334" s="63"/>
    </row>
    <row r="335" spans="1:1" x14ac:dyDescent="0.25">
      <c r="A335" s="63"/>
    </row>
    <row r="336" spans="1:1" x14ac:dyDescent="0.25">
      <c r="A336" s="63"/>
    </row>
    <row r="337" spans="1:1" x14ac:dyDescent="0.25">
      <c r="A337" s="63"/>
    </row>
    <row r="338" spans="1:1" x14ac:dyDescent="0.25">
      <c r="A338" s="63"/>
    </row>
    <row r="339" spans="1:1" x14ac:dyDescent="0.25">
      <c r="A339" s="63"/>
    </row>
    <row r="340" spans="1:1" x14ac:dyDescent="0.25">
      <c r="A340" s="63"/>
    </row>
    <row r="341" spans="1:1" x14ac:dyDescent="0.25">
      <c r="A341" s="63"/>
    </row>
    <row r="342" spans="1:1" x14ac:dyDescent="0.25">
      <c r="A342" s="63"/>
    </row>
    <row r="343" spans="1:1" x14ac:dyDescent="0.25">
      <c r="A343" s="63"/>
    </row>
    <row r="344" spans="1:1" x14ac:dyDescent="0.25">
      <c r="A344" s="63"/>
    </row>
    <row r="345" spans="1:1" x14ac:dyDescent="0.25">
      <c r="A345" s="63"/>
    </row>
    <row r="346" spans="1:1" x14ac:dyDescent="0.25">
      <c r="A346" s="63"/>
    </row>
    <row r="347" spans="1:1" x14ac:dyDescent="0.25">
      <c r="A347" s="63"/>
    </row>
    <row r="348" spans="1:1" x14ac:dyDescent="0.25">
      <c r="A348" s="63"/>
    </row>
    <row r="349" spans="1:1" x14ac:dyDescent="0.25">
      <c r="A349" s="63"/>
    </row>
    <row r="350" spans="1:1" x14ac:dyDescent="0.25">
      <c r="A350" s="63"/>
    </row>
    <row r="351" spans="1:1" x14ac:dyDescent="0.25">
      <c r="A351" s="63"/>
    </row>
    <row r="352" spans="1:1" x14ac:dyDescent="0.25">
      <c r="A352" s="63"/>
    </row>
    <row r="353" spans="1:1" x14ac:dyDescent="0.25">
      <c r="A353" s="63"/>
    </row>
    <row r="354" spans="1:1" x14ac:dyDescent="0.25">
      <c r="A354" s="63"/>
    </row>
    <row r="355" spans="1:1" x14ac:dyDescent="0.25">
      <c r="A355" s="63"/>
    </row>
    <row r="356" spans="1:1" x14ac:dyDescent="0.25">
      <c r="A356" s="63"/>
    </row>
    <row r="357" spans="1:1" x14ac:dyDescent="0.25">
      <c r="A357" s="63"/>
    </row>
    <row r="358" spans="1:1" x14ac:dyDescent="0.25">
      <c r="A358" s="63"/>
    </row>
    <row r="359" spans="1:1" x14ac:dyDescent="0.25">
      <c r="A359" s="63"/>
    </row>
    <row r="360" spans="1:1" x14ac:dyDescent="0.25">
      <c r="A360" s="63"/>
    </row>
    <row r="361" spans="1:1" x14ac:dyDescent="0.25">
      <c r="A361" s="63"/>
    </row>
    <row r="362" spans="1:1" x14ac:dyDescent="0.25">
      <c r="A362" s="63"/>
    </row>
    <row r="363" spans="1:1" x14ac:dyDescent="0.25">
      <c r="A363" s="63"/>
    </row>
    <row r="364" spans="1:1" x14ac:dyDescent="0.25">
      <c r="A364" s="63"/>
    </row>
    <row r="365" spans="1:1" x14ac:dyDescent="0.25">
      <c r="A365" s="63"/>
    </row>
    <row r="366" spans="1:1" x14ac:dyDescent="0.25">
      <c r="A366" s="63"/>
    </row>
    <row r="367" spans="1:1" x14ac:dyDescent="0.25">
      <c r="A367" s="63"/>
    </row>
    <row r="368" spans="1:1" x14ac:dyDescent="0.25">
      <c r="A368" s="63"/>
    </row>
    <row r="369" spans="1:1" x14ac:dyDescent="0.25">
      <c r="A369" s="63"/>
    </row>
    <row r="370" spans="1:1" x14ac:dyDescent="0.25">
      <c r="A370" s="63"/>
    </row>
    <row r="371" spans="1:1" x14ac:dyDescent="0.25">
      <c r="A371" s="63"/>
    </row>
    <row r="372" spans="1:1" x14ac:dyDescent="0.25">
      <c r="A372" s="63"/>
    </row>
    <row r="373" spans="1:1" x14ac:dyDescent="0.25">
      <c r="A373" s="63"/>
    </row>
    <row r="374" spans="1:1" x14ac:dyDescent="0.25">
      <c r="A374" s="63"/>
    </row>
    <row r="375" spans="1:1" x14ac:dyDescent="0.25">
      <c r="A375" s="63"/>
    </row>
    <row r="376" spans="1:1" x14ac:dyDescent="0.25">
      <c r="A376" s="63"/>
    </row>
    <row r="377" spans="1:1" x14ac:dyDescent="0.25">
      <c r="A377" s="63"/>
    </row>
    <row r="378" spans="1:1" x14ac:dyDescent="0.25">
      <c r="A378" s="63"/>
    </row>
    <row r="379" spans="1:1" x14ac:dyDescent="0.25">
      <c r="A379" s="63"/>
    </row>
    <row r="380" spans="1:1" x14ac:dyDescent="0.25">
      <c r="A380" s="63"/>
    </row>
    <row r="381" spans="1:1" x14ac:dyDescent="0.25">
      <c r="A381" s="63"/>
    </row>
    <row r="382" spans="1:1" x14ac:dyDescent="0.25">
      <c r="A382" s="63"/>
    </row>
    <row r="383" spans="1:1" x14ac:dyDescent="0.25">
      <c r="A383" s="63"/>
    </row>
    <row r="384" spans="1:1" x14ac:dyDescent="0.25">
      <c r="A384" s="63"/>
    </row>
    <row r="385" spans="1:1" x14ac:dyDescent="0.25">
      <c r="A385" s="63"/>
    </row>
    <row r="386" spans="1:1" x14ac:dyDescent="0.25">
      <c r="A386" s="63"/>
    </row>
    <row r="387" spans="1:1" x14ac:dyDescent="0.25">
      <c r="A387" s="63"/>
    </row>
    <row r="388" spans="1:1" x14ac:dyDescent="0.25">
      <c r="A388" s="63"/>
    </row>
    <row r="389" spans="1:1" x14ac:dyDescent="0.25">
      <c r="A389" s="63"/>
    </row>
    <row r="390" spans="1:1" x14ac:dyDescent="0.25">
      <c r="A390" s="63"/>
    </row>
    <row r="391" spans="1:1" x14ac:dyDescent="0.25">
      <c r="A391" s="63"/>
    </row>
    <row r="392" spans="1:1" x14ac:dyDescent="0.25">
      <c r="A392" s="63"/>
    </row>
    <row r="393" spans="1:1" x14ac:dyDescent="0.25">
      <c r="A393" s="63"/>
    </row>
    <row r="394" spans="1:1" x14ac:dyDescent="0.25">
      <c r="A394" s="63"/>
    </row>
    <row r="395" spans="1:1" x14ac:dyDescent="0.25">
      <c r="A395" s="63"/>
    </row>
    <row r="396" spans="1:1" x14ac:dyDescent="0.25">
      <c r="A396" s="63"/>
    </row>
    <row r="397" spans="1:1" x14ac:dyDescent="0.25">
      <c r="A397" s="63"/>
    </row>
    <row r="398" spans="1:1" x14ac:dyDescent="0.25">
      <c r="A398" s="63"/>
    </row>
    <row r="399" spans="1:1" x14ac:dyDescent="0.25">
      <c r="A399" s="63"/>
    </row>
    <row r="400" spans="1:1" x14ac:dyDescent="0.25">
      <c r="A400" s="63"/>
    </row>
    <row r="401" spans="1:1" x14ac:dyDescent="0.25">
      <c r="A401" s="63"/>
    </row>
    <row r="402" spans="1:1" x14ac:dyDescent="0.25">
      <c r="A402" s="63"/>
    </row>
    <row r="403" spans="1:1" x14ac:dyDescent="0.25">
      <c r="A403" s="63"/>
    </row>
    <row r="404" spans="1:1" x14ac:dyDescent="0.25">
      <c r="A404" s="63"/>
    </row>
    <row r="405" spans="1:1" x14ac:dyDescent="0.25">
      <c r="A405" s="63"/>
    </row>
    <row r="406" spans="1:1" x14ac:dyDescent="0.25">
      <c r="A406" s="63"/>
    </row>
    <row r="407" spans="1:1" x14ac:dyDescent="0.25">
      <c r="A407" s="63"/>
    </row>
    <row r="408" spans="1:1" x14ac:dyDescent="0.25">
      <c r="A408" s="63"/>
    </row>
    <row r="409" spans="1:1" x14ac:dyDescent="0.25">
      <c r="A409" s="63"/>
    </row>
    <row r="410" spans="1:1" x14ac:dyDescent="0.25">
      <c r="A410" s="63"/>
    </row>
    <row r="411" spans="1:1" x14ac:dyDescent="0.25">
      <c r="A411" s="63"/>
    </row>
    <row r="412" spans="1:1" x14ac:dyDescent="0.25">
      <c r="A412" s="63"/>
    </row>
    <row r="413" spans="1:1" x14ac:dyDescent="0.25">
      <c r="A413" s="63"/>
    </row>
    <row r="414" spans="1:1" x14ac:dyDescent="0.25">
      <c r="A414" s="63"/>
    </row>
    <row r="415" spans="1:1" x14ac:dyDescent="0.25">
      <c r="A415" s="63"/>
    </row>
    <row r="416" spans="1:1" x14ac:dyDescent="0.25">
      <c r="A416" s="63"/>
    </row>
    <row r="417" spans="1:1" x14ac:dyDescent="0.25">
      <c r="A417" s="63"/>
    </row>
    <row r="418" spans="1:1" x14ac:dyDescent="0.25">
      <c r="A418" s="63"/>
    </row>
    <row r="419" spans="1:1" x14ac:dyDescent="0.25">
      <c r="A419" s="63"/>
    </row>
    <row r="420" spans="1:1" x14ac:dyDescent="0.25">
      <c r="A420" s="63"/>
    </row>
    <row r="421" spans="1:1" x14ac:dyDescent="0.25">
      <c r="A421" s="63"/>
    </row>
    <row r="422" spans="1:1" x14ac:dyDescent="0.25">
      <c r="A422" s="63"/>
    </row>
    <row r="423" spans="1:1" x14ac:dyDescent="0.25">
      <c r="A423" s="63"/>
    </row>
    <row r="424" spans="1:1" x14ac:dyDescent="0.25">
      <c r="A424" s="63"/>
    </row>
    <row r="425" spans="1:1" x14ac:dyDescent="0.25">
      <c r="A425" s="63"/>
    </row>
    <row r="426" spans="1:1" x14ac:dyDescent="0.25">
      <c r="A426" s="63"/>
    </row>
    <row r="427" spans="1:1" x14ac:dyDescent="0.25">
      <c r="A427" s="63"/>
    </row>
    <row r="428" spans="1:1" x14ac:dyDescent="0.25">
      <c r="A428" s="63"/>
    </row>
    <row r="429" spans="1:1" x14ac:dyDescent="0.25">
      <c r="A429" s="63"/>
    </row>
    <row r="430" spans="1:1" x14ac:dyDescent="0.25">
      <c r="A430" s="63"/>
    </row>
    <row r="431" spans="1:1" x14ac:dyDescent="0.25">
      <c r="A431" s="63"/>
    </row>
    <row r="432" spans="1:1" x14ac:dyDescent="0.25">
      <c r="A432" s="63"/>
    </row>
    <row r="433" spans="1:1" x14ac:dyDescent="0.25">
      <c r="A433" s="63"/>
    </row>
    <row r="434" spans="1:1" x14ac:dyDescent="0.25">
      <c r="A434" s="63"/>
    </row>
    <row r="435" spans="1:1" x14ac:dyDescent="0.25">
      <c r="A435" s="63"/>
    </row>
    <row r="436" spans="1:1" x14ac:dyDescent="0.25">
      <c r="A436" s="63"/>
    </row>
    <row r="437" spans="1:1" x14ac:dyDescent="0.25">
      <c r="A437" s="63"/>
    </row>
    <row r="438" spans="1:1" x14ac:dyDescent="0.25">
      <c r="A438" s="63"/>
    </row>
    <row r="439" spans="1:1" x14ac:dyDescent="0.25">
      <c r="A439" s="63"/>
    </row>
    <row r="440" spans="1:1" x14ac:dyDescent="0.25">
      <c r="A440" s="63"/>
    </row>
    <row r="441" spans="1:1" x14ac:dyDescent="0.25">
      <c r="A441" s="63"/>
    </row>
    <row r="442" spans="1:1" x14ac:dyDescent="0.25">
      <c r="A442" s="63"/>
    </row>
    <row r="443" spans="1:1" x14ac:dyDescent="0.25">
      <c r="A443" s="63"/>
    </row>
    <row r="444" spans="1:1" x14ac:dyDescent="0.25">
      <c r="A444" s="63"/>
    </row>
    <row r="445" spans="1:1" x14ac:dyDescent="0.25">
      <c r="A445" s="63"/>
    </row>
    <row r="446" spans="1:1" x14ac:dyDescent="0.25">
      <c r="A446" s="63"/>
    </row>
    <row r="447" spans="1:1" x14ac:dyDescent="0.25">
      <c r="A447" s="63"/>
    </row>
    <row r="448" spans="1:1" x14ac:dyDescent="0.25">
      <c r="A448" s="63"/>
    </row>
    <row r="449" spans="1:1" x14ac:dyDescent="0.25">
      <c r="A449" s="63"/>
    </row>
    <row r="450" spans="1:1" x14ac:dyDescent="0.25">
      <c r="A450" s="63"/>
    </row>
    <row r="451" spans="1:1" x14ac:dyDescent="0.25">
      <c r="A451" s="63"/>
    </row>
    <row r="452" spans="1:1" x14ac:dyDescent="0.25">
      <c r="A452" s="63"/>
    </row>
    <row r="453" spans="1:1" x14ac:dyDescent="0.25">
      <c r="A453" s="63"/>
    </row>
    <row r="454" spans="1:1" x14ac:dyDescent="0.25">
      <c r="A454" s="63"/>
    </row>
    <row r="455" spans="1:1" x14ac:dyDescent="0.25">
      <c r="A455" s="63"/>
    </row>
    <row r="456" spans="1:1" x14ac:dyDescent="0.25">
      <c r="A456" s="63"/>
    </row>
    <row r="457" spans="1:1" x14ac:dyDescent="0.25">
      <c r="A457" s="63"/>
    </row>
    <row r="458" spans="1:1" x14ac:dyDescent="0.25">
      <c r="A458" s="63"/>
    </row>
    <row r="459" spans="1:1" x14ac:dyDescent="0.25">
      <c r="A459" s="63"/>
    </row>
    <row r="460" spans="1:1" x14ac:dyDescent="0.25">
      <c r="A460" s="63"/>
    </row>
    <row r="461" spans="1:1" x14ac:dyDescent="0.25">
      <c r="A461" s="63"/>
    </row>
    <row r="462" spans="1:1" x14ac:dyDescent="0.25">
      <c r="A462" s="63"/>
    </row>
    <row r="463" spans="1:1" x14ac:dyDescent="0.25">
      <c r="A463" s="63"/>
    </row>
    <row r="464" spans="1:1" x14ac:dyDescent="0.25">
      <c r="A464" s="63"/>
    </row>
    <row r="465" spans="1:1" x14ac:dyDescent="0.25">
      <c r="A465" s="63"/>
    </row>
    <row r="466" spans="1:1" x14ac:dyDescent="0.25">
      <c r="A466" s="63"/>
    </row>
    <row r="467" spans="1:1" x14ac:dyDescent="0.25">
      <c r="A467" s="63"/>
    </row>
    <row r="468" spans="1:1" x14ac:dyDescent="0.25">
      <c r="A468" s="63"/>
    </row>
    <row r="469" spans="1:1" x14ac:dyDescent="0.25">
      <c r="A469" s="63"/>
    </row>
    <row r="470" spans="1:1" x14ac:dyDescent="0.25">
      <c r="A470" s="63"/>
    </row>
    <row r="471" spans="1:1" x14ac:dyDescent="0.25">
      <c r="A471" s="63"/>
    </row>
    <row r="472" spans="1:1" x14ac:dyDescent="0.25">
      <c r="A472" s="63"/>
    </row>
    <row r="473" spans="1:1" x14ac:dyDescent="0.25">
      <c r="A473" s="63"/>
    </row>
    <row r="474" spans="1:1" x14ac:dyDescent="0.25">
      <c r="A474" s="63"/>
    </row>
    <row r="475" spans="1:1" x14ac:dyDescent="0.25">
      <c r="A475" s="63"/>
    </row>
    <row r="476" spans="1:1" x14ac:dyDescent="0.25">
      <c r="A476" s="63"/>
    </row>
    <row r="477" spans="1:1" x14ac:dyDescent="0.25">
      <c r="A477" s="63"/>
    </row>
    <row r="478" spans="1:1" x14ac:dyDescent="0.25">
      <c r="A478" s="63"/>
    </row>
    <row r="479" spans="1:1" x14ac:dyDescent="0.25">
      <c r="A479" s="63"/>
    </row>
    <row r="480" spans="1:1" x14ac:dyDescent="0.25">
      <c r="A480" s="63"/>
    </row>
    <row r="481" spans="1:1" x14ac:dyDescent="0.25">
      <c r="A481" s="63"/>
    </row>
    <row r="482" spans="1:1" x14ac:dyDescent="0.25">
      <c r="A482" s="63"/>
    </row>
    <row r="483" spans="1:1" x14ac:dyDescent="0.25">
      <c r="A483" s="63"/>
    </row>
    <row r="484" spans="1:1" x14ac:dyDescent="0.25">
      <c r="A484" s="63"/>
    </row>
    <row r="485" spans="1:1" x14ac:dyDescent="0.25">
      <c r="A485" s="63"/>
    </row>
    <row r="486" spans="1:1" x14ac:dyDescent="0.25">
      <c r="A486" s="63"/>
    </row>
    <row r="487" spans="1:1" x14ac:dyDescent="0.25">
      <c r="A487" s="63"/>
    </row>
    <row r="488" spans="1:1" x14ac:dyDescent="0.25">
      <c r="A488" s="63"/>
    </row>
    <row r="489" spans="1:1" x14ac:dyDescent="0.25">
      <c r="A489" s="63"/>
    </row>
    <row r="490" spans="1:1" x14ac:dyDescent="0.25">
      <c r="A490" s="63"/>
    </row>
    <row r="491" spans="1:1" x14ac:dyDescent="0.25">
      <c r="A491" s="63"/>
    </row>
    <row r="492" spans="1:1" x14ac:dyDescent="0.25">
      <c r="A492" s="63"/>
    </row>
    <row r="493" spans="1:1" x14ac:dyDescent="0.25">
      <c r="A493" s="63"/>
    </row>
    <row r="494" spans="1:1" x14ac:dyDescent="0.25">
      <c r="A494" s="63"/>
    </row>
    <row r="495" spans="1:1" x14ac:dyDescent="0.25">
      <c r="A495" s="63"/>
    </row>
    <row r="496" spans="1:1" x14ac:dyDescent="0.25">
      <c r="A496" s="63"/>
    </row>
    <row r="497" spans="1:1" x14ac:dyDescent="0.25">
      <c r="A497" s="63"/>
    </row>
    <row r="498" spans="1:1" x14ac:dyDescent="0.25">
      <c r="A498" s="63"/>
    </row>
    <row r="499" spans="1:1" x14ac:dyDescent="0.25">
      <c r="A499" s="63"/>
    </row>
    <row r="500" spans="1:1" x14ac:dyDescent="0.25">
      <c r="A500" s="63"/>
    </row>
    <row r="501" spans="1:1" x14ac:dyDescent="0.25">
      <c r="A501" s="63"/>
    </row>
    <row r="502" spans="1:1" x14ac:dyDescent="0.25">
      <c r="A502" s="63"/>
    </row>
    <row r="503" spans="1:1" x14ac:dyDescent="0.25">
      <c r="A503" s="63"/>
    </row>
    <row r="504" spans="1:1" x14ac:dyDescent="0.25">
      <c r="A504" s="63"/>
    </row>
    <row r="505" spans="1:1" x14ac:dyDescent="0.25">
      <c r="A505" s="63"/>
    </row>
    <row r="506" spans="1:1" x14ac:dyDescent="0.25">
      <c r="A506" s="63"/>
    </row>
    <row r="507" spans="1:1" x14ac:dyDescent="0.25">
      <c r="A507" s="63"/>
    </row>
    <row r="508" spans="1:1" x14ac:dyDescent="0.25">
      <c r="A508" s="63"/>
    </row>
    <row r="509" spans="1:1" x14ac:dyDescent="0.25">
      <c r="A509" s="63"/>
    </row>
    <row r="510" spans="1:1" x14ac:dyDescent="0.25">
      <c r="A510" s="63"/>
    </row>
    <row r="511" spans="1:1" x14ac:dyDescent="0.25">
      <c r="A511" s="63"/>
    </row>
    <row r="512" spans="1:1" x14ac:dyDescent="0.25">
      <c r="A512" s="63"/>
    </row>
    <row r="513" spans="1:1" x14ac:dyDescent="0.25">
      <c r="A513" s="63"/>
    </row>
    <row r="514" spans="1:1" x14ac:dyDescent="0.25">
      <c r="A514" s="63"/>
    </row>
    <row r="515" spans="1:1" x14ac:dyDescent="0.25">
      <c r="A515" s="63"/>
    </row>
    <row r="516" spans="1:1" x14ac:dyDescent="0.25">
      <c r="A516" s="63"/>
    </row>
    <row r="517" spans="1:1" x14ac:dyDescent="0.25">
      <c r="A517" s="63"/>
    </row>
    <row r="518" spans="1:1" x14ac:dyDescent="0.25">
      <c r="A518" s="63"/>
    </row>
    <row r="519" spans="1:1" x14ac:dyDescent="0.25">
      <c r="A519" s="63"/>
    </row>
    <row r="520" spans="1:1" x14ac:dyDescent="0.25">
      <c r="A520" s="63"/>
    </row>
    <row r="521" spans="1:1" x14ac:dyDescent="0.25">
      <c r="A521" s="63"/>
    </row>
    <row r="522" spans="1:1" x14ac:dyDescent="0.25">
      <c r="A522" s="63"/>
    </row>
    <row r="523" spans="1:1" x14ac:dyDescent="0.25">
      <c r="A523" s="63"/>
    </row>
    <row r="524" spans="1:1" x14ac:dyDescent="0.25">
      <c r="A524" s="63"/>
    </row>
    <row r="525" spans="1:1" x14ac:dyDescent="0.25">
      <c r="A525" s="63"/>
    </row>
    <row r="526" spans="1:1" x14ac:dyDescent="0.25">
      <c r="A526" s="63"/>
    </row>
    <row r="527" spans="1:1" x14ac:dyDescent="0.25">
      <c r="A527" s="63"/>
    </row>
    <row r="528" spans="1:1" x14ac:dyDescent="0.25">
      <c r="A528" s="63"/>
    </row>
    <row r="529" spans="1:1" x14ac:dyDescent="0.25">
      <c r="A529" s="63"/>
    </row>
    <row r="530" spans="1:1" x14ac:dyDescent="0.25">
      <c r="A530" s="63"/>
    </row>
    <row r="531" spans="1:1" x14ac:dyDescent="0.25">
      <c r="A531" s="63"/>
    </row>
    <row r="532" spans="1:1" x14ac:dyDescent="0.25">
      <c r="A532" s="63"/>
    </row>
    <row r="533" spans="1:1" x14ac:dyDescent="0.25">
      <c r="A533" s="63"/>
    </row>
    <row r="534" spans="1:1" x14ac:dyDescent="0.25">
      <c r="A534" s="63"/>
    </row>
    <row r="535" spans="1:1" x14ac:dyDescent="0.25">
      <c r="A535" s="63"/>
    </row>
    <row r="536" spans="1:1" x14ac:dyDescent="0.25">
      <c r="A536" s="63"/>
    </row>
    <row r="537" spans="1:1" x14ac:dyDescent="0.25">
      <c r="A537" s="63"/>
    </row>
    <row r="538" spans="1:1" x14ac:dyDescent="0.25">
      <c r="A538" s="63"/>
    </row>
    <row r="539" spans="1:1" x14ac:dyDescent="0.25">
      <c r="A539" s="63"/>
    </row>
    <row r="540" spans="1:1" x14ac:dyDescent="0.25">
      <c r="A540" s="63"/>
    </row>
    <row r="541" spans="1:1" x14ac:dyDescent="0.25">
      <c r="A541" s="63"/>
    </row>
    <row r="542" spans="1:1" x14ac:dyDescent="0.25">
      <c r="A542" s="63"/>
    </row>
    <row r="543" spans="1:1" x14ac:dyDescent="0.25">
      <c r="A543" s="63"/>
    </row>
    <row r="544" spans="1:1" x14ac:dyDescent="0.25">
      <c r="A544" s="63"/>
    </row>
    <row r="545" spans="1:1" x14ac:dyDescent="0.25">
      <c r="A545" s="63"/>
    </row>
    <row r="546" spans="1:1" x14ac:dyDescent="0.25">
      <c r="A546" s="63"/>
    </row>
    <row r="547" spans="1:1" x14ac:dyDescent="0.25">
      <c r="A547" s="63"/>
    </row>
    <row r="548" spans="1:1" x14ac:dyDescent="0.25">
      <c r="A548" s="63"/>
    </row>
    <row r="549" spans="1:1" x14ac:dyDescent="0.25">
      <c r="A549" s="63"/>
    </row>
    <row r="550" spans="1:1" x14ac:dyDescent="0.25">
      <c r="A550" s="63"/>
    </row>
    <row r="551" spans="1:1" x14ac:dyDescent="0.25">
      <c r="A551" s="63"/>
    </row>
    <row r="552" spans="1:1" x14ac:dyDescent="0.25">
      <c r="A552" s="63"/>
    </row>
    <row r="553" spans="1:1" x14ac:dyDescent="0.25">
      <c r="A553" s="63"/>
    </row>
    <row r="554" spans="1:1" x14ac:dyDescent="0.25">
      <c r="A554" s="63"/>
    </row>
    <row r="555" spans="1:1" x14ac:dyDescent="0.25">
      <c r="A555" s="63"/>
    </row>
    <row r="556" spans="1:1" x14ac:dyDescent="0.25">
      <c r="A556" s="63"/>
    </row>
    <row r="557" spans="1:1" x14ac:dyDescent="0.25">
      <c r="A557" s="63"/>
    </row>
    <row r="558" spans="1:1" x14ac:dyDescent="0.25">
      <c r="A558" s="63"/>
    </row>
    <row r="559" spans="1:1" x14ac:dyDescent="0.25">
      <c r="A559" s="63"/>
    </row>
    <row r="560" spans="1:1" x14ac:dyDescent="0.25">
      <c r="A560" s="63"/>
    </row>
    <row r="561" spans="1:1" x14ac:dyDescent="0.25">
      <c r="A561" s="63"/>
    </row>
    <row r="562" spans="1:1" x14ac:dyDescent="0.25">
      <c r="A562" s="63"/>
    </row>
    <row r="563" spans="1:1" x14ac:dyDescent="0.25">
      <c r="A563" s="63"/>
    </row>
    <row r="564" spans="1:1" x14ac:dyDescent="0.25">
      <c r="A564" s="63"/>
    </row>
    <row r="565" spans="1:1" x14ac:dyDescent="0.25">
      <c r="A565" s="63"/>
    </row>
    <row r="566" spans="1:1" x14ac:dyDescent="0.25">
      <c r="A566" s="63"/>
    </row>
    <row r="567" spans="1:1" x14ac:dyDescent="0.25">
      <c r="A567" s="63"/>
    </row>
    <row r="568" spans="1:1" x14ac:dyDescent="0.25">
      <c r="A568" s="63"/>
    </row>
    <row r="569" spans="1:1" x14ac:dyDescent="0.25">
      <c r="A569" s="63"/>
    </row>
    <row r="570" spans="1:1" x14ac:dyDescent="0.25">
      <c r="A570" s="63"/>
    </row>
    <row r="571" spans="1:1" x14ac:dyDescent="0.25">
      <c r="A571" s="63"/>
    </row>
    <row r="572" spans="1:1" x14ac:dyDescent="0.25">
      <c r="A572" s="63"/>
    </row>
    <row r="573" spans="1:1" x14ac:dyDescent="0.25">
      <c r="A573" s="63"/>
    </row>
    <row r="574" spans="1:1" x14ac:dyDescent="0.25">
      <c r="A574" s="63"/>
    </row>
    <row r="575" spans="1:1" x14ac:dyDescent="0.25">
      <c r="A575" s="63"/>
    </row>
    <row r="576" spans="1:1" x14ac:dyDescent="0.25">
      <c r="A576" s="63"/>
    </row>
    <row r="577" spans="1:1" x14ac:dyDescent="0.25">
      <c r="A577" s="63"/>
    </row>
    <row r="578" spans="1:1" x14ac:dyDescent="0.25">
      <c r="A578" s="63"/>
    </row>
    <row r="579" spans="1:1" x14ac:dyDescent="0.25">
      <c r="A579" s="63"/>
    </row>
    <row r="580" spans="1:1" x14ac:dyDescent="0.25">
      <c r="A580" s="63"/>
    </row>
    <row r="581" spans="1:1" x14ac:dyDescent="0.25">
      <c r="A581" s="63"/>
    </row>
    <row r="582" spans="1:1" x14ac:dyDescent="0.25">
      <c r="A582" s="63"/>
    </row>
    <row r="583" spans="1:1" x14ac:dyDescent="0.25">
      <c r="A583" s="63"/>
    </row>
    <row r="584" spans="1:1" x14ac:dyDescent="0.25">
      <c r="A584" s="63"/>
    </row>
    <row r="585" spans="1:1" x14ac:dyDescent="0.25">
      <c r="A585" s="63"/>
    </row>
    <row r="586" spans="1:1" x14ac:dyDescent="0.25">
      <c r="A586" s="63"/>
    </row>
    <row r="587" spans="1:1" x14ac:dyDescent="0.25">
      <c r="A587" s="63"/>
    </row>
    <row r="588" spans="1:1" x14ac:dyDescent="0.25">
      <c r="A588" s="63"/>
    </row>
    <row r="589" spans="1:1" x14ac:dyDescent="0.25">
      <c r="A589" s="63"/>
    </row>
    <row r="590" spans="1:1" x14ac:dyDescent="0.25">
      <c r="A590" s="63"/>
    </row>
    <row r="591" spans="1:1" x14ac:dyDescent="0.25">
      <c r="A591" s="63"/>
    </row>
    <row r="592" spans="1:1" x14ac:dyDescent="0.25">
      <c r="A592" s="63"/>
    </row>
    <row r="593" spans="1:1" x14ac:dyDescent="0.25">
      <c r="A593" s="63"/>
    </row>
    <row r="594" spans="1:1" x14ac:dyDescent="0.25">
      <c r="A594" s="63"/>
    </row>
    <row r="595" spans="1:1" x14ac:dyDescent="0.25">
      <c r="A595" s="63"/>
    </row>
    <row r="596" spans="1:1" x14ac:dyDescent="0.25">
      <c r="A596" s="63"/>
    </row>
    <row r="597" spans="1:1" x14ac:dyDescent="0.25">
      <c r="A597" s="63"/>
    </row>
    <row r="598" spans="1:1" x14ac:dyDescent="0.25">
      <c r="A598" s="63"/>
    </row>
    <row r="599" spans="1:1" x14ac:dyDescent="0.25">
      <c r="A599" s="63"/>
    </row>
    <row r="600" spans="1:1" x14ac:dyDescent="0.25">
      <c r="A600" s="63"/>
    </row>
    <row r="601" spans="1:1" x14ac:dyDescent="0.25">
      <c r="A601" s="63"/>
    </row>
    <row r="602" spans="1:1" x14ac:dyDescent="0.25">
      <c r="A602" s="63"/>
    </row>
    <row r="603" spans="1:1" x14ac:dyDescent="0.25">
      <c r="A603" s="63"/>
    </row>
    <row r="604" spans="1:1" x14ac:dyDescent="0.25">
      <c r="A604" s="63"/>
    </row>
    <row r="605" spans="1:1" x14ac:dyDescent="0.25">
      <c r="A605" s="63"/>
    </row>
    <row r="606" spans="1:1" x14ac:dyDescent="0.25">
      <c r="A606" s="63"/>
    </row>
    <row r="607" spans="1:1" x14ac:dyDescent="0.25">
      <c r="A607" s="63"/>
    </row>
    <row r="608" spans="1:1" x14ac:dyDescent="0.25">
      <c r="A608" s="63"/>
    </row>
    <row r="609" spans="1:1" x14ac:dyDescent="0.25">
      <c r="A609" s="63"/>
    </row>
    <row r="610" spans="1:1" x14ac:dyDescent="0.25">
      <c r="A610" s="63"/>
    </row>
    <row r="611" spans="1:1" x14ac:dyDescent="0.25">
      <c r="A611" s="63"/>
    </row>
    <row r="612" spans="1:1" x14ac:dyDescent="0.25">
      <c r="A612" s="63"/>
    </row>
    <row r="613" spans="1:1" x14ac:dyDescent="0.25">
      <c r="A613" s="63"/>
    </row>
    <row r="614" spans="1:1" x14ac:dyDescent="0.25">
      <c r="A614" s="63"/>
    </row>
    <row r="615" spans="1:1" x14ac:dyDescent="0.25">
      <c r="A615" s="63"/>
    </row>
    <row r="616" spans="1:1" x14ac:dyDescent="0.25">
      <c r="A616" s="63"/>
    </row>
    <row r="617" spans="1:1" x14ac:dyDescent="0.25">
      <c r="A617" s="63"/>
    </row>
    <row r="618" spans="1:1" x14ac:dyDescent="0.25">
      <c r="A618" s="63"/>
    </row>
    <row r="619" spans="1:1" x14ac:dyDescent="0.25">
      <c r="A619" s="63"/>
    </row>
    <row r="620" spans="1:1" x14ac:dyDescent="0.25">
      <c r="A620" s="63"/>
    </row>
    <row r="621" spans="1:1" x14ac:dyDescent="0.25">
      <c r="A621" s="63"/>
    </row>
    <row r="622" spans="1:1" x14ac:dyDescent="0.25">
      <c r="A622" s="63"/>
    </row>
    <row r="623" spans="1:1" x14ac:dyDescent="0.25">
      <c r="A623" s="63"/>
    </row>
    <row r="624" spans="1:1" x14ac:dyDescent="0.25">
      <c r="A624" s="63"/>
    </row>
    <row r="625" spans="1:1" x14ac:dyDescent="0.25">
      <c r="A625" s="63"/>
    </row>
    <row r="626" spans="1:1" x14ac:dyDescent="0.25">
      <c r="A626" s="63"/>
    </row>
    <row r="627" spans="1:1" x14ac:dyDescent="0.25">
      <c r="A627" s="63"/>
    </row>
    <row r="628" spans="1:1" x14ac:dyDescent="0.25">
      <c r="A628" s="63"/>
    </row>
    <row r="629" spans="1:1" x14ac:dyDescent="0.25">
      <c r="A629" s="63"/>
    </row>
    <row r="630" spans="1:1" x14ac:dyDescent="0.25">
      <c r="A630" s="63"/>
    </row>
    <row r="631" spans="1:1" x14ac:dyDescent="0.25">
      <c r="A631" s="63"/>
    </row>
    <row r="632" spans="1:1" x14ac:dyDescent="0.25">
      <c r="A632" s="63"/>
    </row>
    <row r="633" spans="1:1" x14ac:dyDescent="0.25">
      <c r="A633" s="63"/>
    </row>
    <row r="634" spans="1:1" x14ac:dyDescent="0.25">
      <c r="A634" s="63"/>
    </row>
    <row r="635" spans="1:1" x14ac:dyDescent="0.25">
      <c r="A635" s="63"/>
    </row>
    <row r="636" spans="1:1" x14ac:dyDescent="0.25">
      <c r="A636" s="63"/>
    </row>
    <row r="637" spans="1:1" x14ac:dyDescent="0.25">
      <c r="A637" s="63"/>
    </row>
    <row r="638" spans="1:1" x14ac:dyDescent="0.25">
      <c r="A638" s="63"/>
    </row>
    <row r="639" spans="1:1" x14ac:dyDescent="0.25">
      <c r="A639" s="63"/>
    </row>
    <row r="640" spans="1:1" x14ac:dyDescent="0.25">
      <c r="A640" s="63"/>
    </row>
    <row r="641" spans="1:1" x14ac:dyDescent="0.25">
      <c r="A641" s="63"/>
    </row>
    <row r="642" spans="1:1" x14ac:dyDescent="0.25">
      <c r="A642" s="63"/>
    </row>
    <row r="643" spans="1:1" x14ac:dyDescent="0.25">
      <c r="A643" s="63"/>
    </row>
    <row r="644" spans="1:1" x14ac:dyDescent="0.25">
      <c r="A644" s="63"/>
    </row>
    <row r="645" spans="1:1" x14ac:dyDescent="0.25">
      <c r="A645" s="63"/>
    </row>
    <row r="646" spans="1:1" x14ac:dyDescent="0.25">
      <c r="A646" s="63"/>
    </row>
    <row r="647" spans="1:1" x14ac:dyDescent="0.25">
      <c r="A647" s="63"/>
    </row>
    <row r="648" spans="1:1" x14ac:dyDescent="0.25">
      <c r="A648" s="63"/>
    </row>
    <row r="649" spans="1:1" x14ac:dyDescent="0.25">
      <c r="A649" s="63"/>
    </row>
    <row r="650" spans="1:1" x14ac:dyDescent="0.25">
      <c r="A650" s="63"/>
    </row>
    <row r="651" spans="1:1" x14ac:dyDescent="0.25">
      <c r="A651" s="63"/>
    </row>
    <row r="652" spans="1:1" x14ac:dyDescent="0.25">
      <c r="A652" s="63"/>
    </row>
    <row r="653" spans="1:1" x14ac:dyDescent="0.25">
      <c r="A653" s="63"/>
    </row>
    <row r="654" spans="1:1" x14ac:dyDescent="0.25">
      <c r="A654" s="63"/>
    </row>
    <row r="655" spans="1:1" x14ac:dyDescent="0.25">
      <c r="A655" s="63"/>
    </row>
    <row r="656" spans="1:1" x14ac:dyDescent="0.25">
      <c r="A656" s="63"/>
    </row>
    <row r="657" spans="1:1" x14ac:dyDescent="0.25">
      <c r="A657" s="63"/>
    </row>
    <row r="658" spans="1:1" x14ac:dyDescent="0.25">
      <c r="A658" s="63"/>
    </row>
    <row r="659" spans="1:1" x14ac:dyDescent="0.25">
      <c r="A659" s="63"/>
    </row>
    <row r="660" spans="1:1" x14ac:dyDescent="0.25">
      <c r="A660" s="63"/>
    </row>
    <row r="661" spans="1:1" x14ac:dyDescent="0.25">
      <c r="A661" s="63"/>
    </row>
    <row r="662" spans="1:1" x14ac:dyDescent="0.25">
      <c r="A662" s="63"/>
    </row>
    <row r="663" spans="1:1" x14ac:dyDescent="0.25">
      <c r="A663" s="63"/>
    </row>
    <row r="664" spans="1:1" x14ac:dyDescent="0.25">
      <c r="A664" s="63"/>
    </row>
    <row r="665" spans="1:1" x14ac:dyDescent="0.25">
      <c r="A665" s="63"/>
    </row>
    <row r="666" spans="1:1" x14ac:dyDescent="0.25">
      <c r="A666" s="63"/>
    </row>
    <row r="667" spans="1:1" x14ac:dyDescent="0.25">
      <c r="A667" s="63"/>
    </row>
    <row r="668" spans="1:1" x14ac:dyDescent="0.25">
      <c r="A668" s="63"/>
    </row>
    <row r="669" spans="1:1" x14ac:dyDescent="0.25">
      <c r="A669" s="63"/>
    </row>
    <row r="670" spans="1:1" x14ac:dyDescent="0.25">
      <c r="A670" s="63"/>
    </row>
    <row r="671" spans="1:1" x14ac:dyDescent="0.25">
      <c r="A671" s="63"/>
    </row>
    <row r="672" spans="1:1" x14ac:dyDescent="0.25">
      <c r="A672" s="63"/>
    </row>
    <row r="673" spans="1:1" x14ac:dyDescent="0.25">
      <c r="A673" s="63"/>
    </row>
    <row r="674" spans="1:1" x14ac:dyDescent="0.25">
      <c r="A674" s="63"/>
    </row>
    <row r="675" spans="1:1" x14ac:dyDescent="0.25">
      <c r="A675" s="63"/>
    </row>
    <row r="676" spans="1:1" x14ac:dyDescent="0.25">
      <c r="A676" s="63"/>
    </row>
    <row r="677" spans="1:1" x14ac:dyDescent="0.25">
      <c r="A677" s="63"/>
    </row>
    <row r="678" spans="1:1" x14ac:dyDescent="0.25">
      <c r="A678" s="63"/>
    </row>
    <row r="679" spans="1:1" x14ac:dyDescent="0.25">
      <c r="A679" s="63"/>
    </row>
    <row r="680" spans="1:1" x14ac:dyDescent="0.25">
      <c r="A680" s="63"/>
    </row>
    <row r="681" spans="1:1" x14ac:dyDescent="0.25">
      <c r="A681" s="63"/>
    </row>
    <row r="682" spans="1:1" x14ac:dyDescent="0.25">
      <c r="A682" s="63"/>
    </row>
    <row r="683" spans="1:1" x14ac:dyDescent="0.25">
      <c r="A683" s="63"/>
    </row>
    <row r="684" spans="1:1" x14ac:dyDescent="0.25">
      <c r="A684" s="63"/>
    </row>
    <row r="685" spans="1:1" x14ac:dyDescent="0.25">
      <c r="A685" s="63"/>
    </row>
    <row r="686" spans="1:1" x14ac:dyDescent="0.25">
      <c r="A686" s="63"/>
    </row>
    <row r="687" spans="1:1" x14ac:dyDescent="0.25">
      <c r="A687" s="63"/>
    </row>
    <row r="688" spans="1:1" x14ac:dyDescent="0.25">
      <c r="A688" s="63"/>
    </row>
    <row r="689" spans="1:1" x14ac:dyDescent="0.25">
      <c r="A689" s="63"/>
    </row>
    <row r="690" spans="1:1" x14ac:dyDescent="0.25">
      <c r="A690" s="63"/>
    </row>
    <row r="691" spans="1:1" x14ac:dyDescent="0.25">
      <c r="A691" s="63"/>
    </row>
    <row r="692" spans="1:1" x14ac:dyDescent="0.25">
      <c r="A692" s="63"/>
    </row>
    <row r="693" spans="1:1" x14ac:dyDescent="0.25">
      <c r="A693" s="63"/>
    </row>
    <row r="694" spans="1:1" x14ac:dyDescent="0.25">
      <c r="A694" s="63"/>
    </row>
    <row r="695" spans="1:1" x14ac:dyDescent="0.25">
      <c r="A695" s="63"/>
    </row>
    <row r="696" spans="1:1" x14ac:dyDescent="0.25">
      <c r="A696" s="63"/>
    </row>
    <row r="697" spans="1:1" x14ac:dyDescent="0.25">
      <c r="A697" s="63"/>
    </row>
    <row r="698" spans="1:1" x14ac:dyDescent="0.25">
      <c r="A698" s="63"/>
    </row>
    <row r="699" spans="1:1" x14ac:dyDescent="0.25">
      <c r="A699" s="63"/>
    </row>
    <row r="700" spans="1:1" x14ac:dyDescent="0.25">
      <c r="A700" s="63"/>
    </row>
    <row r="701" spans="1:1" x14ac:dyDescent="0.25">
      <c r="A701" s="63"/>
    </row>
    <row r="702" spans="1:1" x14ac:dyDescent="0.25">
      <c r="A702" s="63"/>
    </row>
    <row r="703" spans="1:1" x14ac:dyDescent="0.25">
      <c r="A703" s="63"/>
    </row>
    <row r="704" spans="1:1" x14ac:dyDescent="0.25">
      <c r="A704" s="63"/>
    </row>
    <row r="705" spans="1:1" x14ac:dyDescent="0.25">
      <c r="A705" s="63"/>
    </row>
    <row r="706" spans="1:1" x14ac:dyDescent="0.25">
      <c r="A706" s="63"/>
    </row>
    <row r="707" spans="1:1" x14ac:dyDescent="0.25">
      <c r="A707" s="63"/>
    </row>
    <row r="708" spans="1:1" x14ac:dyDescent="0.25">
      <c r="A708" s="63"/>
    </row>
    <row r="709" spans="1:1" x14ac:dyDescent="0.25">
      <c r="A709" s="63"/>
    </row>
    <row r="710" spans="1:1" x14ac:dyDescent="0.25">
      <c r="A710" s="63"/>
    </row>
    <row r="711" spans="1:1" x14ac:dyDescent="0.25">
      <c r="A711" s="63"/>
    </row>
    <row r="712" spans="1:1" x14ac:dyDescent="0.25">
      <c r="A712" s="63"/>
    </row>
    <row r="713" spans="1:1" x14ac:dyDescent="0.25">
      <c r="A713" s="63"/>
    </row>
    <row r="714" spans="1:1" x14ac:dyDescent="0.25">
      <c r="A714" s="63"/>
    </row>
    <row r="715" spans="1:1" x14ac:dyDescent="0.25">
      <c r="A715" s="63"/>
    </row>
    <row r="716" spans="1:1" x14ac:dyDescent="0.25">
      <c r="A716" s="63"/>
    </row>
    <row r="717" spans="1:1" x14ac:dyDescent="0.25">
      <c r="A717" s="63"/>
    </row>
    <row r="718" spans="1:1" x14ac:dyDescent="0.25">
      <c r="A718" s="63"/>
    </row>
    <row r="719" spans="1:1" x14ac:dyDescent="0.25">
      <c r="A719" s="63"/>
    </row>
    <row r="720" spans="1:1" x14ac:dyDescent="0.25">
      <c r="A720" s="63"/>
    </row>
    <row r="721" spans="1:1" x14ac:dyDescent="0.25">
      <c r="A721" s="63"/>
    </row>
    <row r="722" spans="1:1" x14ac:dyDescent="0.25">
      <c r="A722" s="63"/>
    </row>
    <row r="723" spans="1:1" x14ac:dyDescent="0.25">
      <c r="A723" s="63"/>
    </row>
    <row r="724" spans="1:1" x14ac:dyDescent="0.25">
      <c r="A724" s="63"/>
    </row>
    <row r="725" spans="1:1" x14ac:dyDescent="0.25">
      <c r="A725" s="63"/>
    </row>
    <row r="726" spans="1:1" x14ac:dyDescent="0.25">
      <c r="A726" s="63"/>
    </row>
    <row r="727" spans="1:1" x14ac:dyDescent="0.25">
      <c r="A727" s="63"/>
    </row>
    <row r="728" spans="1:1" x14ac:dyDescent="0.25">
      <c r="A728" s="63"/>
    </row>
    <row r="729" spans="1:1" x14ac:dyDescent="0.25">
      <c r="A729" s="63"/>
    </row>
    <row r="730" spans="1:1" x14ac:dyDescent="0.25">
      <c r="A730" s="63"/>
    </row>
    <row r="731" spans="1:1" x14ac:dyDescent="0.25">
      <c r="A731" s="63"/>
    </row>
    <row r="732" spans="1:1" x14ac:dyDescent="0.25">
      <c r="A732" s="63"/>
    </row>
    <row r="733" spans="1:1" x14ac:dyDescent="0.25">
      <c r="A733" s="63"/>
    </row>
    <row r="734" spans="1:1" x14ac:dyDescent="0.25">
      <c r="A734" s="63"/>
    </row>
    <row r="735" spans="1:1" x14ac:dyDescent="0.25">
      <c r="A735" s="63"/>
    </row>
    <row r="736" spans="1:1" x14ac:dyDescent="0.25">
      <c r="A736" s="63"/>
    </row>
    <row r="737" spans="1:1" x14ac:dyDescent="0.25">
      <c r="A737" s="63"/>
    </row>
    <row r="738" spans="1:1" x14ac:dyDescent="0.25">
      <c r="A738" s="63"/>
    </row>
    <row r="739" spans="1:1" x14ac:dyDescent="0.25">
      <c r="A739" s="63"/>
    </row>
    <row r="740" spans="1:1" x14ac:dyDescent="0.25">
      <c r="A740" s="63"/>
    </row>
    <row r="741" spans="1:1" x14ac:dyDescent="0.25">
      <c r="A741" s="63"/>
    </row>
    <row r="742" spans="1:1" x14ac:dyDescent="0.25">
      <c r="A742" s="63"/>
    </row>
    <row r="743" spans="1:1" x14ac:dyDescent="0.25">
      <c r="A743" s="63"/>
    </row>
    <row r="744" spans="1:1" x14ac:dyDescent="0.25">
      <c r="A744" s="63"/>
    </row>
    <row r="745" spans="1:1" x14ac:dyDescent="0.25">
      <c r="A745" s="63"/>
    </row>
    <row r="746" spans="1:1" x14ac:dyDescent="0.25">
      <c r="A746" s="63"/>
    </row>
    <row r="747" spans="1:1" x14ac:dyDescent="0.25">
      <c r="A747" s="63"/>
    </row>
    <row r="748" spans="1:1" x14ac:dyDescent="0.25">
      <c r="A748" s="63"/>
    </row>
    <row r="749" spans="1:1" x14ac:dyDescent="0.25">
      <c r="A749" s="63"/>
    </row>
    <row r="750" spans="1:1" x14ac:dyDescent="0.25">
      <c r="A750" s="63"/>
    </row>
    <row r="751" spans="1:1" x14ac:dyDescent="0.25">
      <c r="A751" s="63"/>
    </row>
    <row r="752" spans="1:1" x14ac:dyDescent="0.25">
      <c r="A752" s="63"/>
    </row>
    <row r="753" spans="1:1" x14ac:dyDescent="0.25">
      <c r="A753" s="63"/>
    </row>
    <row r="754" spans="1:1" x14ac:dyDescent="0.25">
      <c r="A754" s="63"/>
    </row>
    <row r="755" spans="1:1" x14ac:dyDescent="0.25">
      <c r="A755" s="63"/>
    </row>
    <row r="756" spans="1:1" x14ac:dyDescent="0.25">
      <c r="A756" s="63"/>
    </row>
    <row r="757" spans="1:1" x14ac:dyDescent="0.25">
      <c r="A757" s="63"/>
    </row>
    <row r="758" spans="1:1" x14ac:dyDescent="0.25">
      <c r="A758" s="63"/>
    </row>
    <row r="759" spans="1:1" x14ac:dyDescent="0.25">
      <c r="A759" s="63"/>
    </row>
    <row r="760" spans="1:1" x14ac:dyDescent="0.25">
      <c r="A760" s="63"/>
    </row>
    <row r="761" spans="1:1" x14ac:dyDescent="0.25">
      <c r="A761" s="63"/>
    </row>
    <row r="762" spans="1:1" x14ac:dyDescent="0.25">
      <c r="A762" s="63"/>
    </row>
    <row r="763" spans="1:1" x14ac:dyDescent="0.25">
      <c r="A763" s="63"/>
    </row>
    <row r="764" spans="1:1" x14ac:dyDescent="0.25">
      <c r="A764" s="63"/>
    </row>
    <row r="765" spans="1:1" x14ac:dyDescent="0.25">
      <c r="A765" s="63"/>
    </row>
    <row r="766" spans="1:1" x14ac:dyDescent="0.25">
      <c r="A766" s="63"/>
    </row>
    <row r="767" spans="1:1" x14ac:dyDescent="0.25">
      <c r="A767" s="63"/>
    </row>
    <row r="768" spans="1:1" x14ac:dyDescent="0.25">
      <c r="A768" s="63"/>
    </row>
    <row r="769" spans="1:1" x14ac:dyDescent="0.25">
      <c r="A769" s="63"/>
    </row>
    <row r="770" spans="1:1" x14ac:dyDescent="0.25">
      <c r="A770" s="63"/>
    </row>
    <row r="771" spans="1:1" x14ac:dyDescent="0.25">
      <c r="A771" s="63"/>
    </row>
    <row r="772" spans="1:1" x14ac:dyDescent="0.25">
      <c r="A772" s="63"/>
    </row>
    <row r="773" spans="1:1" x14ac:dyDescent="0.25">
      <c r="A773" s="63"/>
    </row>
    <row r="774" spans="1:1" x14ac:dyDescent="0.25">
      <c r="A774" s="63"/>
    </row>
    <row r="775" spans="1:1" x14ac:dyDescent="0.25">
      <c r="A775" s="63"/>
    </row>
    <row r="776" spans="1:1" x14ac:dyDescent="0.25">
      <c r="A776" s="63"/>
    </row>
    <row r="777" spans="1:1" x14ac:dyDescent="0.25">
      <c r="A777" s="63"/>
    </row>
    <row r="778" spans="1:1" x14ac:dyDescent="0.25">
      <c r="A778" s="63"/>
    </row>
    <row r="779" spans="1:1" x14ac:dyDescent="0.25">
      <c r="A779" s="63"/>
    </row>
    <row r="780" spans="1:1" x14ac:dyDescent="0.25">
      <c r="A780" s="63"/>
    </row>
    <row r="781" spans="1:1" x14ac:dyDescent="0.25">
      <c r="A781" s="63"/>
    </row>
    <row r="782" spans="1:1" x14ac:dyDescent="0.25">
      <c r="A782" s="63"/>
    </row>
    <row r="783" spans="1:1" x14ac:dyDescent="0.25">
      <c r="A783" s="63"/>
    </row>
    <row r="784" spans="1:1" x14ac:dyDescent="0.25">
      <c r="A784" s="63"/>
    </row>
    <row r="785" spans="1:1" x14ac:dyDescent="0.25">
      <c r="A785" s="63"/>
    </row>
    <row r="786" spans="1:1" x14ac:dyDescent="0.25">
      <c r="A786" s="63"/>
    </row>
    <row r="787" spans="1:1" x14ac:dyDescent="0.25">
      <c r="A787" s="63"/>
    </row>
    <row r="788" spans="1:1" x14ac:dyDescent="0.25">
      <c r="A788" s="63"/>
    </row>
    <row r="789" spans="1:1" x14ac:dyDescent="0.25">
      <c r="A789" s="63"/>
    </row>
    <row r="790" spans="1:1" x14ac:dyDescent="0.25">
      <c r="A790" s="63"/>
    </row>
    <row r="791" spans="1:1" x14ac:dyDescent="0.25">
      <c r="A791" s="63"/>
    </row>
    <row r="792" spans="1:1" x14ac:dyDescent="0.25">
      <c r="A792" s="63"/>
    </row>
    <row r="793" spans="1:1" x14ac:dyDescent="0.25">
      <c r="A793" s="63"/>
    </row>
    <row r="794" spans="1:1" x14ac:dyDescent="0.25">
      <c r="A794" s="63"/>
    </row>
    <row r="795" spans="1:1" x14ac:dyDescent="0.25">
      <c r="A795" s="63"/>
    </row>
    <row r="796" spans="1:1" x14ac:dyDescent="0.25">
      <c r="A796" s="63"/>
    </row>
    <row r="797" spans="1:1" x14ac:dyDescent="0.25">
      <c r="A797" s="63"/>
    </row>
    <row r="798" spans="1:1" x14ac:dyDescent="0.25">
      <c r="A798" s="63"/>
    </row>
    <row r="799" spans="1:1" x14ac:dyDescent="0.25">
      <c r="A799" s="63"/>
    </row>
    <row r="800" spans="1:1" x14ac:dyDescent="0.25">
      <c r="A800" s="63"/>
    </row>
    <row r="801" spans="1:1" x14ac:dyDescent="0.25">
      <c r="A801" s="63"/>
    </row>
    <row r="802" spans="1:1" x14ac:dyDescent="0.25">
      <c r="A802" s="63"/>
    </row>
    <row r="803" spans="1:1" x14ac:dyDescent="0.25">
      <c r="A803" s="63"/>
    </row>
    <row r="804" spans="1:1" x14ac:dyDescent="0.25">
      <c r="A804" s="63"/>
    </row>
    <row r="805" spans="1:1" x14ac:dyDescent="0.25">
      <c r="A805" s="63"/>
    </row>
    <row r="806" spans="1:1" x14ac:dyDescent="0.25">
      <c r="A806" s="63"/>
    </row>
    <row r="807" spans="1:1" x14ac:dyDescent="0.25">
      <c r="A807" s="63"/>
    </row>
    <row r="808" spans="1:1" x14ac:dyDescent="0.25">
      <c r="A808" s="63"/>
    </row>
    <row r="809" spans="1:1" x14ac:dyDescent="0.25">
      <c r="A809" s="63"/>
    </row>
    <row r="810" spans="1:1" x14ac:dyDescent="0.25">
      <c r="A810" s="63"/>
    </row>
    <row r="811" spans="1:1" x14ac:dyDescent="0.25">
      <c r="A811" s="63"/>
    </row>
    <row r="812" spans="1:1" x14ac:dyDescent="0.25">
      <c r="A812" s="63"/>
    </row>
    <row r="813" spans="1:1" x14ac:dyDescent="0.25">
      <c r="A813" s="63"/>
    </row>
    <row r="814" spans="1:1" x14ac:dyDescent="0.25">
      <c r="A814" s="63"/>
    </row>
    <row r="815" spans="1:1" x14ac:dyDescent="0.25">
      <c r="A815" s="63"/>
    </row>
    <row r="816" spans="1:1" x14ac:dyDescent="0.25">
      <c r="A816" s="63"/>
    </row>
    <row r="817" spans="1:1" x14ac:dyDescent="0.25">
      <c r="A817" s="63"/>
    </row>
    <row r="818" spans="1:1" x14ac:dyDescent="0.25">
      <c r="A818" s="63"/>
    </row>
    <row r="819" spans="1:1" x14ac:dyDescent="0.25">
      <c r="A819" s="63"/>
    </row>
    <row r="820" spans="1:1" x14ac:dyDescent="0.25">
      <c r="A820" s="63"/>
    </row>
    <row r="821" spans="1:1" x14ac:dyDescent="0.25">
      <c r="A821" s="63"/>
    </row>
    <row r="822" spans="1:1" x14ac:dyDescent="0.25">
      <c r="A822" s="63"/>
    </row>
    <row r="823" spans="1:1" x14ac:dyDescent="0.25">
      <c r="A823" s="63"/>
    </row>
    <row r="824" spans="1:1" x14ac:dyDescent="0.25">
      <c r="A824" s="63"/>
    </row>
    <row r="825" spans="1:1" x14ac:dyDescent="0.25">
      <c r="A825" s="63"/>
    </row>
    <row r="826" spans="1:1" x14ac:dyDescent="0.25">
      <c r="A826" s="63"/>
    </row>
    <row r="827" spans="1:1" x14ac:dyDescent="0.25">
      <c r="A827" s="63"/>
    </row>
    <row r="828" spans="1:1" x14ac:dyDescent="0.25">
      <c r="A828" s="63"/>
    </row>
    <row r="829" spans="1:1" x14ac:dyDescent="0.25">
      <c r="A829" s="63"/>
    </row>
    <row r="830" spans="1:1" x14ac:dyDescent="0.25">
      <c r="A830" s="63"/>
    </row>
    <row r="831" spans="1:1" x14ac:dyDescent="0.25">
      <c r="A831" s="63"/>
    </row>
    <row r="832" spans="1:1" x14ac:dyDescent="0.25">
      <c r="A832" s="63"/>
    </row>
    <row r="833" spans="1:1" x14ac:dyDescent="0.25">
      <c r="A833" s="63"/>
    </row>
    <row r="834" spans="1:1" x14ac:dyDescent="0.25">
      <c r="A834" s="63"/>
    </row>
    <row r="835" spans="1:1" x14ac:dyDescent="0.25">
      <c r="A835" s="63"/>
    </row>
    <row r="836" spans="1:1" x14ac:dyDescent="0.25">
      <c r="A836" s="63"/>
    </row>
    <row r="837" spans="1:1" x14ac:dyDescent="0.25">
      <c r="A837" s="63"/>
    </row>
    <row r="838" spans="1:1" x14ac:dyDescent="0.25">
      <c r="A838" s="63"/>
    </row>
    <row r="839" spans="1:1" x14ac:dyDescent="0.25">
      <c r="A839" s="63"/>
    </row>
    <row r="840" spans="1:1" x14ac:dyDescent="0.25">
      <c r="A840" s="63"/>
    </row>
    <row r="841" spans="1:1" x14ac:dyDescent="0.25">
      <c r="A841" s="63"/>
    </row>
    <row r="842" spans="1:1" x14ac:dyDescent="0.25">
      <c r="A842" s="63"/>
    </row>
    <row r="843" spans="1:1" x14ac:dyDescent="0.25">
      <c r="A843" s="63"/>
    </row>
    <row r="844" spans="1:1" x14ac:dyDescent="0.25">
      <c r="A844" s="63"/>
    </row>
    <row r="845" spans="1:1" x14ac:dyDescent="0.25">
      <c r="A845" s="63"/>
    </row>
    <row r="846" spans="1:1" x14ac:dyDescent="0.25">
      <c r="A846" s="63"/>
    </row>
    <row r="847" spans="1:1" x14ac:dyDescent="0.25">
      <c r="A847" s="63"/>
    </row>
    <row r="848" spans="1:1" x14ac:dyDescent="0.25">
      <c r="A848" s="63"/>
    </row>
    <row r="849" spans="1:1" x14ac:dyDescent="0.25">
      <c r="A849" s="63"/>
    </row>
    <row r="850" spans="1:1" x14ac:dyDescent="0.25">
      <c r="A850" s="63"/>
    </row>
    <row r="851" spans="1:1" x14ac:dyDescent="0.25">
      <c r="A851" s="63"/>
    </row>
    <row r="852" spans="1:1" x14ac:dyDescent="0.25">
      <c r="A852" s="63"/>
    </row>
    <row r="853" spans="1:1" x14ac:dyDescent="0.25">
      <c r="A853" s="63"/>
    </row>
    <row r="854" spans="1:1" x14ac:dyDescent="0.25">
      <c r="A854" s="63"/>
    </row>
    <row r="855" spans="1:1" x14ac:dyDescent="0.25">
      <c r="A855" s="63"/>
    </row>
    <row r="856" spans="1:1" x14ac:dyDescent="0.25">
      <c r="A856" s="63"/>
    </row>
    <row r="857" spans="1:1" x14ac:dyDescent="0.25">
      <c r="A857" s="63"/>
    </row>
    <row r="858" spans="1:1" x14ac:dyDescent="0.25">
      <c r="A858" s="63"/>
    </row>
    <row r="859" spans="1:1" x14ac:dyDescent="0.25">
      <c r="A859" s="63"/>
    </row>
    <row r="860" spans="1:1" x14ac:dyDescent="0.25">
      <c r="A860" s="63"/>
    </row>
    <row r="861" spans="1:1" x14ac:dyDescent="0.25">
      <c r="A861" s="63"/>
    </row>
    <row r="862" spans="1:1" x14ac:dyDescent="0.25">
      <c r="A862" s="63"/>
    </row>
    <row r="863" spans="1:1" x14ac:dyDescent="0.25">
      <c r="A863" s="63"/>
    </row>
    <row r="864" spans="1:1" x14ac:dyDescent="0.25">
      <c r="A864" s="63"/>
    </row>
    <row r="865" spans="1:1" x14ac:dyDescent="0.25">
      <c r="A865" s="63"/>
    </row>
    <row r="866" spans="1:1" x14ac:dyDescent="0.25">
      <c r="A866" s="63"/>
    </row>
    <row r="867" spans="1:1" x14ac:dyDescent="0.25">
      <c r="A867" s="63"/>
    </row>
    <row r="868" spans="1:1" x14ac:dyDescent="0.25">
      <c r="A868" s="63"/>
    </row>
    <row r="869" spans="1:1" x14ac:dyDescent="0.25">
      <c r="A869" s="63"/>
    </row>
    <row r="870" spans="1:1" x14ac:dyDescent="0.25">
      <c r="A870" s="63"/>
    </row>
    <row r="871" spans="1:1" x14ac:dyDescent="0.25">
      <c r="A871" s="63"/>
    </row>
    <row r="872" spans="1:1" x14ac:dyDescent="0.25">
      <c r="A872" s="63"/>
    </row>
    <row r="873" spans="1:1" x14ac:dyDescent="0.25">
      <c r="A873" s="63"/>
    </row>
    <row r="874" spans="1:1" x14ac:dyDescent="0.25">
      <c r="A874" s="63"/>
    </row>
    <row r="875" spans="1:1" x14ac:dyDescent="0.25">
      <c r="A875" s="63"/>
    </row>
    <row r="876" spans="1:1" x14ac:dyDescent="0.25">
      <c r="A876" s="63"/>
    </row>
    <row r="877" spans="1:1" x14ac:dyDescent="0.25">
      <c r="A877" s="63"/>
    </row>
    <row r="878" spans="1:1" x14ac:dyDescent="0.25">
      <c r="A878" s="63"/>
    </row>
    <row r="879" spans="1:1" x14ac:dyDescent="0.25">
      <c r="A879" s="63"/>
    </row>
    <row r="880" spans="1:1" x14ac:dyDescent="0.25">
      <c r="A880" s="63"/>
    </row>
    <row r="881" spans="1:1" x14ac:dyDescent="0.25">
      <c r="A881" s="63"/>
    </row>
    <row r="882" spans="1:1" x14ac:dyDescent="0.25">
      <c r="A882" s="63"/>
    </row>
    <row r="883" spans="1:1" x14ac:dyDescent="0.25">
      <c r="A883" s="63"/>
    </row>
    <row r="884" spans="1:1" x14ac:dyDescent="0.25">
      <c r="A884" s="63"/>
    </row>
    <row r="885" spans="1:1" x14ac:dyDescent="0.25">
      <c r="A885" s="63"/>
    </row>
    <row r="886" spans="1:1" x14ac:dyDescent="0.25">
      <c r="A886" s="63"/>
    </row>
    <row r="887" spans="1:1" x14ac:dyDescent="0.25">
      <c r="A887" s="63"/>
    </row>
    <row r="888" spans="1:1" x14ac:dyDescent="0.25">
      <c r="A888" s="63"/>
    </row>
    <row r="889" spans="1:1" x14ac:dyDescent="0.25">
      <c r="A889" s="63"/>
    </row>
    <row r="890" spans="1:1" x14ac:dyDescent="0.25">
      <c r="A890" s="63"/>
    </row>
    <row r="891" spans="1:1" x14ac:dyDescent="0.25">
      <c r="A891" s="63"/>
    </row>
    <row r="892" spans="1:1" x14ac:dyDescent="0.25">
      <c r="A892" s="63"/>
    </row>
    <row r="893" spans="1:1" x14ac:dyDescent="0.25">
      <c r="A893" s="63"/>
    </row>
    <row r="894" spans="1:1" x14ac:dyDescent="0.25">
      <c r="A894" s="63"/>
    </row>
    <row r="895" spans="1:1" x14ac:dyDescent="0.25">
      <c r="A895" s="63"/>
    </row>
    <row r="896" spans="1:1" x14ac:dyDescent="0.25">
      <c r="A896" s="63"/>
    </row>
    <row r="897" spans="1:1" x14ac:dyDescent="0.25">
      <c r="A897" s="63"/>
    </row>
    <row r="898" spans="1:1" x14ac:dyDescent="0.25">
      <c r="A898" s="63"/>
    </row>
    <row r="899" spans="1:1" x14ac:dyDescent="0.25">
      <c r="A899" s="63"/>
    </row>
    <row r="900" spans="1:1" x14ac:dyDescent="0.25">
      <c r="A900" s="63"/>
    </row>
    <row r="901" spans="1:1" x14ac:dyDescent="0.25">
      <c r="A901" s="63"/>
    </row>
    <row r="902" spans="1:1" x14ac:dyDescent="0.25">
      <c r="A902" s="63"/>
    </row>
    <row r="903" spans="1:1" x14ac:dyDescent="0.25">
      <c r="A903" s="63"/>
    </row>
    <row r="904" spans="1:1" x14ac:dyDescent="0.25">
      <c r="A904" s="63"/>
    </row>
    <row r="905" spans="1:1" x14ac:dyDescent="0.25">
      <c r="A905" s="63"/>
    </row>
    <row r="906" spans="1:1" x14ac:dyDescent="0.25">
      <c r="A906" s="63"/>
    </row>
    <row r="907" spans="1:1" x14ac:dyDescent="0.25">
      <c r="A907" s="63"/>
    </row>
    <row r="908" spans="1:1" x14ac:dyDescent="0.25">
      <c r="A908" s="63"/>
    </row>
    <row r="909" spans="1:1" x14ac:dyDescent="0.25">
      <c r="A909" s="63"/>
    </row>
    <row r="910" spans="1:1" x14ac:dyDescent="0.25">
      <c r="A910" s="63"/>
    </row>
    <row r="911" spans="1:1" x14ac:dyDescent="0.25">
      <c r="A911" s="63"/>
    </row>
    <row r="912" spans="1:1" x14ac:dyDescent="0.25">
      <c r="A912" s="63"/>
    </row>
    <row r="913" spans="1:1" x14ac:dyDescent="0.25">
      <c r="A913" s="63"/>
    </row>
    <row r="914" spans="1:1" x14ac:dyDescent="0.25">
      <c r="A914" s="63"/>
    </row>
    <row r="915" spans="1:1" x14ac:dyDescent="0.25">
      <c r="A915" s="63"/>
    </row>
    <row r="916" spans="1:1" x14ac:dyDescent="0.25">
      <c r="A916" s="63"/>
    </row>
    <row r="917" spans="1:1" x14ac:dyDescent="0.25">
      <c r="A917" s="63"/>
    </row>
    <row r="918" spans="1:1" x14ac:dyDescent="0.25">
      <c r="A918" s="63"/>
    </row>
    <row r="919" spans="1:1" x14ac:dyDescent="0.25">
      <c r="A919" s="63"/>
    </row>
    <row r="920" spans="1:1" x14ac:dyDescent="0.25">
      <c r="A920" s="63"/>
    </row>
    <row r="921" spans="1:1" x14ac:dyDescent="0.25">
      <c r="A921" s="63"/>
    </row>
    <row r="922" spans="1:1" x14ac:dyDescent="0.25">
      <c r="A922" s="63"/>
    </row>
    <row r="923" spans="1:1" x14ac:dyDescent="0.25">
      <c r="A923" s="63"/>
    </row>
    <row r="924" spans="1:1" x14ac:dyDescent="0.25">
      <c r="A924" s="63"/>
    </row>
    <row r="925" spans="1:1" x14ac:dyDescent="0.25">
      <c r="A925" s="63"/>
    </row>
    <row r="926" spans="1:1" x14ac:dyDescent="0.25">
      <c r="A926" s="63"/>
    </row>
    <row r="927" spans="1:1" x14ac:dyDescent="0.25">
      <c r="A927" s="63"/>
    </row>
    <row r="928" spans="1:1" x14ac:dyDescent="0.25">
      <c r="A928" s="63"/>
    </row>
    <row r="929" spans="1:1" x14ac:dyDescent="0.25">
      <c r="A929" s="63"/>
    </row>
    <row r="930" spans="1:1" x14ac:dyDescent="0.25">
      <c r="A930" s="63"/>
    </row>
    <row r="931" spans="1:1" x14ac:dyDescent="0.25">
      <c r="A931" s="63"/>
    </row>
    <row r="932" spans="1:1" x14ac:dyDescent="0.25">
      <c r="A932" s="63"/>
    </row>
    <row r="933" spans="1:1" x14ac:dyDescent="0.25">
      <c r="A933" s="63"/>
    </row>
    <row r="934" spans="1:1" x14ac:dyDescent="0.25">
      <c r="A934" s="63"/>
    </row>
    <row r="935" spans="1:1" x14ac:dyDescent="0.25">
      <c r="A935" s="63"/>
    </row>
    <row r="936" spans="1:1" x14ac:dyDescent="0.25">
      <c r="A936" s="63"/>
    </row>
    <row r="937" spans="1:1" x14ac:dyDescent="0.25">
      <c r="A937" s="63"/>
    </row>
    <row r="938" spans="1:1" x14ac:dyDescent="0.25">
      <c r="A938" s="63"/>
    </row>
    <row r="939" spans="1:1" x14ac:dyDescent="0.25">
      <c r="A939" s="63"/>
    </row>
    <row r="940" spans="1:1" x14ac:dyDescent="0.25">
      <c r="A940" s="63"/>
    </row>
    <row r="941" spans="1:1" x14ac:dyDescent="0.25">
      <c r="A941" s="63"/>
    </row>
    <row r="942" spans="1:1" x14ac:dyDescent="0.25">
      <c r="A942" s="63"/>
    </row>
    <row r="943" spans="1:1" x14ac:dyDescent="0.25">
      <c r="A943" s="63"/>
    </row>
    <row r="944" spans="1:1" x14ac:dyDescent="0.25">
      <c r="A944" s="63"/>
    </row>
    <row r="945" spans="1:1" x14ac:dyDescent="0.25">
      <c r="A945" s="63"/>
    </row>
    <row r="946" spans="1:1" x14ac:dyDescent="0.25">
      <c r="A946" s="63"/>
    </row>
    <row r="947" spans="1:1" x14ac:dyDescent="0.25">
      <c r="A947" s="63"/>
    </row>
    <row r="948" spans="1:1" x14ac:dyDescent="0.25">
      <c r="A948" s="63"/>
    </row>
    <row r="949" spans="1:1" x14ac:dyDescent="0.25">
      <c r="A949" s="63"/>
    </row>
    <row r="950" spans="1:1" x14ac:dyDescent="0.25">
      <c r="A950" s="63"/>
    </row>
    <row r="951" spans="1:1" x14ac:dyDescent="0.25">
      <c r="A951" s="63"/>
    </row>
    <row r="952" spans="1:1" x14ac:dyDescent="0.25">
      <c r="A952" s="63"/>
    </row>
    <row r="953" spans="1:1" x14ac:dyDescent="0.25">
      <c r="A953" s="63"/>
    </row>
    <row r="954" spans="1:1" x14ac:dyDescent="0.25">
      <c r="A954" s="63"/>
    </row>
    <row r="955" spans="1:1" x14ac:dyDescent="0.25">
      <c r="A955" s="63"/>
    </row>
    <row r="956" spans="1:1" x14ac:dyDescent="0.25">
      <c r="A956" s="63"/>
    </row>
    <row r="957" spans="1:1" x14ac:dyDescent="0.25">
      <c r="A957" s="63"/>
    </row>
    <row r="958" spans="1:1" x14ac:dyDescent="0.25">
      <c r="A958" s="63"/>
    </row>
    <row r="959" spans="1:1" x14ac:dyDescent="0.25">
      <c r="A959" s="63"/>
    </row>
    <row r="960" spans="1:1" x14ac:dyDescent="0.25">
      <c r="A960" s="63"/>
    </row>
    <row r="961" spans="1:1" x14ac:dyDescent="0.25">
      <c r="A961" s="63"/>
    </row>
    <row r="962" spans="1:1" x14ac:dyDescent="0.25">
      <c r="A962" s="63"/>
    </row>
    <row r="963" spans="1:1" x14ac:dyDescent="0.25">
      <c r="A963" s="63"/>
    </row>
    <row r="964" spans="1:1" x14ac:dyDescent="0.25">
      <c r="A964" s="63"/>
    </row>
    <row r="965" spans="1:1" x14ac:dyDescent="0.25">
      <c r="A965" s="63"/>
    </row>
    <row r="966" spans="1:1" x14ac:dyDescent="0.25">
      <c r="A966" s="63"/>
    </row>
    <row r="967" spans="1:1" x14ac:dyDescent="0.25">
      <c r="A967" s="63"/>
    </row>
    <row r="968" spans="1:1" x14ac:dyDescent="0.25">
      <c r="A968" s="63"/>
    </row>
    <row r="969" spans="1:1" x14ac:dyDescent="0.25">
      <c r="A969" s="63"/>
    </row>
    <row r="970" spans="1:1" x14ac:dyDescent="0.25">
      <c r="A970" s="63"/>
    </row>
    <row r="971" spans="1:1" x14ac:dyDescent="0.25">
      <c r="A971" s="63"/>
    </row>
    <row r="972" spans="1:1" x14ac:dyDescent="0.25">
      <c r="A972" s="63"/>
    </row>
    <row r="973" spans="1:1" x14ac:dyDescent="0.25">
      <c r="A973" s="63"/>
    </row>
    <row r="974" spans="1:1" x14ac:dyDescent="0.25">
      <c r="A974" s="63"/>
    </row>
    <row r="975" spans="1:1" x14ac:dyDescent="0.25">
      <c r="A975" s="63"/>
    </row>
    <row r="976" spans="1:1" x14ac:dyDescent="0.25">
      <c r="A976" s="63"/>
    </row>
    <row r="977" spans="1:1" x14ac:dyDescent="0.25">
      <c r="A977" s="63"/>
    </row>
    <row r="978" spans="1:1" x14ac:dyDescent="0.25">
      <c r="A978" s="63"/>
    </row>
    <row r="979" spans="1:1" x14ac:dyDescent="0.25">
      <c r="A979" s="63"/>
    </row>
    <row r="980" spans="1:1" x14ac:dyDescent="0.25">
      <c r="A980" s="63"/>
    </row>
    <row r="981" spans="1:1" x14ac:dyDescent="0.25">
      <c r="A981" s="63"/>
    </row>
    <row r="982" spans="1:1" x14ac:dyDescent="0.25">
      <c r="A982" s="63"/>
    </row>
    <row r="983" spans="1:1" x14ac:dyDescent="0.25">
      <c r="A983" s="63"/>
    </row>
    <row r="984" spans="1:1" x14ac:dyDescent="0.25">
      <c r="A984" s="63"/>
    </row>
    <row r="985" spans="1:1" x14ac:dyDescent="0.25">
      <c r="A985" s="63"/>
    </row>
    <row r="986" spans="1:1" x14ac:dyDescent="0.25">
      <c r="A986" s="63"/>
    </row>
    <row r="987" spans="1:1" x14ac:dyDescent="0.25">
      <c r="A987" s="63"/>
    </row>
    <row r="988" spans="1:1" x14ac:dyDescent="0.25">
      <c r="A988" s="63"/>
    </row>
    <row r="989" spans="1:1" x14ac:dyDescent="0.25">
      <c r="A989" s="63"/>
    </row>
    <row r="990" spans="1:1" x14ac:dyDescent="0.25">
      <c r="A990" s="63"/>
    </row>
    <row r="991" spans="1:1" x14ac:dyDescent="0.25">
      <c r="A991" s="63"/>
    </row>
    <row r="992" spans="1:1" x14ac:dyDescent="0.25">
      <c r="A992" s="63"/>
    </row>
    <row r="993" spans="1:1" x14ac:dyDescent="0.25">
      <c r="A993" s="63"/>
    </row>
    <row r="994" spans="1:1" x14ac:dyDescent="0.25">
      <c r="A994" s="63"/>
    </row>
    <row r="995" spans="1:1" x14ac:dyDescent="0.25">
      <c r="A995" s="63"/>
    </row>
    <row r="996" spans="1:1" x14ac:dyDescent="0.25">
      <c r="A996" s="63"/>
    </row>
    <row r="997" spans="1:1" x14ac:dyDescent="0.25">
      <c r="A997" s="63"/>
    </row>
    <row r="998" spans="1:1" x14ac:dyDescent="0.25">
      <c r="A998" s="63"/>
    </row>
    <row r="999" spans="1:1" x14ac:dyDescent="0.25">
      <c r="A999" s="63"/>
    </row>
    <row r="1000" spans="1:1" x14ac:dyDescent="0.25">
      <c r="A1000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Z22"/>
  <sheetViews>
    <sheetView topLeftCell="A4" workbookViewId="0">
      <selection activeCell="H6" sqref="H6"/>
    </sheetView>
  </sheetViews>
  <sheetFormatPr defaultColWidth="14.42578125" defaultRowHeight="15" customHeight="1" x14ac:dyDescent="0.25"/>
  <sheetData>
    <row r="1" spans="1:8" ht="21" customHeight="1" x14ac:dyDescent="0.3">
      <c r="A1" s="64" t="s">
        <v>267</v>
      </c>
    </row>
    <row r="2" spans="1:8" ht="21" customHeight="1" x14ac:dyDescent="0.3">
      <c r="A2" s="64" t="s">
        <v>268</v>
      </c>
    </row>
    <row r="3" spans="1:8" x14ac:dyDescent="0.25">
      <c r="A3" s="9" t="s">
        <v>269</v>
      </c>
    </row>
    <row r="4" spans="1:8" ht="15.75" x14ac:dyDescent="0.25">
      <c r="A4" s="65"/>
    </row>
    <row r="5" spans="1:8" x14ac:dyDescent="0.25">
      <c r="A5" s="66" t="s">
        <v>270</v>
      </c>
      <c r="B5" s="67" t="s">
        <v>271</v>
      </c>
      <c r="C5" s="68"/>
      <c r="E5" s="66" t="s">
        <v>270</v>
      </c>
      <c r="F5" s="67" t="s">
        <v>271</v>
      </c>
      <c r="G5" s="68"/>
    </row>
    <row r="6" spans="1:8" x14ac:dyDescent="0.25">
      <c r="A6" s="69" t="s">
        <v>272</v>
      </c>
      <c r="B6" s="70">
        <v>1.333</v>
      </c>
      <c r="C6" s="71">
        <f t="shared" ref="C6:C7" ca="1" si="0">OFFSET(D3,3,-2,1,1)</f>
        <v>1.333</v>
      </c>
      <c r="E6" s="69" t="s">
        <v>272</v>
      </c>
      <c r="F6" s="70">
        <v>1.333</v>
      </c>
      <c r="G6" s="71">
        <f t="shared" ref="G6:G7" ca="1" si="1">OFFSET(H3,3,-2,1,1)</f>
        <v>1.333</v>
      </c>
      <c r="H6" s="143">
        <f ca="1">OFFSET(G6,0,-1,1,1)</f>
        <v>1.333</v>
      </c>
    </row>
    <row r="7" spans="1:8" x14ac:dyDescent="0.25">
      <c r="A7" s="69" t="s">
        <v>273</v>
      </c>
      <c r="B7" s="70">
        <v>45</v>
      </c>
      <c r="C7" s="71">
        <f t="shared" ca="1" si="0"/>
        <v>45</v>
      </c>
      <c r="E7" s="69" t="s">
        <v>273</v>
      </c>
      <c r="F7" s="70">
        <v>45</v>
      </c>
      <c r="G7" s="71">
        <f t="shared" ca="1" si="1"/>
        <v>45</v>
      </c>
      <c r="H7" s="143">
        <f ca="1">OFFSET(G6,1,-1,)</f>
        <v>45</v>
      </c>
    </row>
    <row r="8" spans="1:8" x14ac:dyDescent="0.25">
      <c r="A8" s="72" t="s">
        <v>274</v>
      </c>
      <c r="B8" s="70">
        <v>10</v>
      </c>
      <c r="C8" s="71">
        <f t="shared" ref="C8:C9" ca="1" si="2">OFFSET(C7,3,-2,1,1)</f>
        <v>0</v>
      </c>
      <c r="E8" s="72" t="s">
        <v>274</v>
      </c>
      <c r="F8" s="70">
        <v>10</v>
      </c>
      <c r="G8" s="71">
        <f t="shared" ref="G8:G9" ca="1" si="3">OFFSET(G7,3,-2,1,1)</f>
        <v>0</v>
      </c>
      <c r="H8" s="143">
        <f ca="1">OFFSET(G6,2,-1,2,1)</f>
        <v>10</v>
      </c>
    </row>
    <row r="9" spans="1:8" x14ac:dyDescent="0.25">
      <c r="A9" s="72">
        <v>5</v>
      </c>
      <c r="B9" s="70">
        <v>62</v>
      </c>
      <c r="C9" s="71">
        <f t="shared" ca="1" si="2"/>
        <v>0</v>
      </c>
      <c r="E9" s="72">
        <v>5</v>
      </c>
      <c r="F9" s="70">
        <v>62</v>
      </c>
      <c r="G9" s="71">
        <f t="shared" ca="1" si="3"/>
        <v>0</v>
      </c>
      <c r="H9" s="143">
        <v>62</v>
      </c>
    </row>
    <row r="14" spans="1:8" ht="15" customHeight="1" x14ac:dyDescent="0.3">
      <c r="A14" s="64" t="s">
        <v>275</v>
      </c>
    </row>
    <row r="15" spans="1:8" ht="15" customHeight="1" x14ac:dyDescent="0.3">
      <c r="A15" s="64" t="s">
        <v>276</v>
      </c>
    </row>
    <row r="16" spans="1:8" x14ac:dyDescent="0.25">
      <c r="A16" s="9" t="s">
        <v>277</v>
      </c>
    </row>
    <row r="18" spans="1:26" x14ac:dyDescent="0.25">
      <c r="A18" s="73" t="s">
        <v>270</v>
      </c>
      <c r="B18" s="74" t="s">
        <v>271</v>
      </c>
      <c r="C18" s="75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76" t="s">
        <v>278</v>
      </c>
      <c r="B19" s="77">
        <v>1.333</v>
      </c>
      <c r="C19" s="78">
        <f t="shared" ref="C19:C22" ca="1" si="4">INDIRECT(A19)</f>
        <v>1.333</v>
      </c>
    </row>
    <row r="20" spans="1:26" x14ac:dyDescent="0.25">
      <c r="A20" s="76" t="s">
        <v>279</v>
      </c>
      <c r="B20" s="77">
        <v>45</v>
      </c>
      <c r="C20" s="78">
        <f t="shared" ca="1" si="4"/>
        <v>45</v>
      </c>
    </row>
    <row r="21" spans="1:26" x14ac:dyDescent="0.25">
      <c r="A21" s="79" t="s">
        <v>274</v>
      </c>
      <c r="B21" s="77">
        <v>10</v>
      </c>
      <c r="C21" s="78" t="e">
        <f t="shared" ca="1" si="4"/>
        <v>#REF!</v>
      </c>
    </row>
    <row r="22" spans="1:26" x14ac:dyDescent="0.25">
      <c r="A22" s="79">
        <v>5</v>
      </c>
      <c r="B22" s="77">
        <v>62</v>
      </c>
      <c r="C22" s="78" t="e">
        <f t="shared" ca="1" si="4"/>
        <v>#REF!</v>
      </c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00"/>
  <sheetViews>
    <sheetView showGridLines="0" zoomScale="85" zoomScaleNormal="85" workbookViewId="0">
      <selection activeCell="P4" sqref="P4"/>
    </sheetView>
  </sheetViews>
  <sheetFormatPr defaultColWidth="14.42578125" defaultRowHeight="15" customHeight="1" x14ac:dyDescent="0.25"/>
  <cols>
    <col min="1" max="1" width="18.85546875" customWidth="1"/>
    <col min="2" max="2" width="15.140625" customWidth="1"/>
    <col min="3" max="4" width="8.7109375" customWidth="1"/>
    <col min="5" max="5" width="15.7109375" customWidth="1"/>
    <col min="6" max="6" width="8.7109375" customWidth="1"/>
    <col min="7" max="7" width="26.42578125" customWidth="1"/>
    <col min="8" max="8" width="14.85546875" customWidth="1"/>
    <col min="9" max="11" width="8.7109375" customWidth="1"/>
    <col min="12" max="12" width="26.42578125" customWidth="1"/>
    <col min="13" max="13" width="10.5703125" customWidth="1"/>
    <col min="14" max="16" width="8.7109375" customWidth="1"/>
    <col min="17" max="17" width="10.5703125" customWidth="1"/>
    <col min="18" max="26" width="8.7109375" customWidth="1"/>
  </cols>
  <sheetData>
    <row r="1" spans="1:17" ht="18.75" x14ac:dyDescent="0.25">
      <c r="A1" s="1" t="s">
        <v>280</v>
      </c>
      <c r="B1" s="1" t="s">
        <v>7</v>
      </c>
      <c r="E1" s="2" t="s">
        <v>281</v>
      </c>
      <c r="G1" s="9" t="s">
        <v>282</v>
      </c>
      <c r="L1" s="2" t="s">
        <v>283</v>
      </c>
      <c r="N1" s="9" t="s">
        <v>284</v>
      </c>
    </row>
    <row r="2" spans="1:17" x14ac:dyDescent="0.25">
      <c r="A2" s="80" t="s">
        <v>285</v>
      </c>
      <c r="B2" s="81">
        <v>1648752</v>
      </c>
      <c r="E2" s="9">
        <f>COUNTIF(SpendsData,"&gt;150000")</f>
        <v>12</v>
      </c>
      <c r="L2" s="9"/>
      <c r="M2" s="9" t="s">
        <v>7</v>
      </c>
    </row>
    <row r="3" spans="1:17" x14ac:dyDescent="0.25">
      <c r="A3" s="80" t="s">
        <v>286</v>
      </c>
      <c r="B3" s="81">
        <v>1639672</v>
      </c>
      <c r="E3" s="9">
        <f>MAX(SpendsData)</f>
        <v>4668625</v>
      </c>
      <c r="L3" s="9" t="s">
        <v>285</v>
      </c>
      <c r="M3" s="82">
        <v>1648752</v>
      </c>
      <c r="P3" s="9" t="str">
        <f ca="1">OFFSET(A1,0,0,1,1)</f>
        <v>Year</v>
      </c>
      <c r="Q3" s="9" t="s">
        <v>7</v>
      </c>
    </row>
    <row r="4" spans="1:17" x14ac:dyDescent="0.25">
      <c r="A4" s="83" t="s">
        <v>287</v>
      </c>
      <c r="B4" s="81">
        <v>4668625</v>
      </c>
      <c r="E4" s="9">
        <f>COUNT(SpendsData)</f>
        <v>12</v>
      </c>
      <c r="L4" s="9" t="s">
        <v>286</v>
      </c>
      <c r="M4" s="82">
        <v>1639672</v>
      </c>
      <c r="P4" s="9" t="s">
        <v>285</v>
      </c>
      <c r="Q4" s="82">
        <v>1648752</v>
      </c>
    </row>
    <row r="5" spans="1:17" x14ac:dyDescent="0.25">
      <c r="A5" s="83" t="s">
        <v>288</v>
      </c>
      <c r="B5" s="81">
        <v>2444164</v>
      </c>
      <c r="L5" s="9" t="s">
        <v>287</v>
      </c>
      <c r="M5" s="82">
        <v>4668625</v>
      </c>
      <c r="P5" s="9" t="s">
        <v>286</v>
      </c>
      <c r="Q5" s="82">
        <v>1639672</v>
      </c>
    </row>
    <row r="6" spans="1:17" x14ac:dyDescent="0.25">
      <c r="A6" s="83" t="s">
        <v>289</v>
      </c>
      <c r="B6" s="81">
        <v>1905960</v>
      </c>
      <c r="L6" s="9" t="s">
        <v>288</v>
      </c>
      <c r="M6" s="82">
        <v>2444164</v>
      </c>
      <c r="P6" s="9" t="s">
        <v>287</v>
      </c>
      <c r="Q6" s="82">
        <v>4668625</v>
      </c>
    </row>
    <row r="7" spans="1:17" x14ac:dyDescent="0.25">
      <c r="A7" s="83" t="s">
        <v>290</v>
      </c>
      <c r="B7" s="81">
        <v>1636428</v>
      </c>
      <c r="E7" s="9">
        <f ca="1">OFFSET(A2,12,2)</f>
        <v>0</v>
      </c>
      <c r="L7" s="9" t="s">
        <v>289</v>
      </c>
      <c r="M7" s="82">
        <v>1905960</v>
      </c>
      <c r="P7" s="9" t="s">
        <v>288</v>
      </c>
      <c r="Q7" s="82">
        <v>2444164</v>
      </c>
    </row>
    <row r="8" spans="1:17" x14ac:dyDescent="0.25">
      <c r="A8" s="80" t="s">
        <v>291</v>
      </c>
      <c r="B8" s="81">
        <v>1280000</v>
      </c>
      <c r="L8" s="9" t="s">
        <v>290</v>
      </c>
      <c r="M8" s="82">
        <v>1636428</v>
      </c>
      <c r="P8" s="9" t="s">
        <v>289</v>
      </c>
      <c r="Q8" s="82">
        <v>1905960</v>
      </c>
    </row>
    <row r="9" spans="1:17" x14ac:dyDescent="0.25">
      <c r="A9" s="80" t="s">
        <v>292</v>
      </c>
      <c r="B9" s="81">
        <v>1240248</v>
      </c>
      <c r="L9" s="9" t="s">
        <v>291</v>
      </c>
      <c r="M9" s="82">
        <v>1280000</v>
      </c>
      <c r="P9" s="9" t="s">
        <v>290</v>
      </c>
      <c r="Q9" s="82">
        <v>1636428</v>
      </c>
    </row>
    <row r="10" spans="1:17" x14ac:dyDescent="0.25">
      <c r="A10" s="80" t="s">
        <v>293</v>
      </c>
      <c r="B10" s="81">
        <v>1221966</v>
      </c>
      <c r="L10" s="9" t="s">
        <v>292</v>
      </c>
      <c r="M10" s="82">
        <v>1240248</v>
      </c>
      <c r="P10" s="9" t="s">
        <v>291</v>
      </c>
      <c r="Q10" s="82">
        <v>1280000</v>
      </c>
    </row>
    <row r="11" spans="1:17" x14ac:dyDescent="0.25">
      <c r="A11" s="80" t="s">
        <v>294</v>
      </c>
      <c r="B11" s="81">
        <v>1129653</v>
      </c>
      <c r="L11" s="9" t="s">
        <v>293</v>
      </c>
      <c r="M11" s="82">
        <v>1221966</v>
      </c>
      <c r="P11" s="9" t="s">
        <v>292</v>
      </c>
      <c r="Q11" s="82">
        <v>1240248</v>
      </c>
    </row>
    <row r="12" spans="1:17" x14ac:dyDescent="0.25">
      <c r="A12" s="80" t="s">
        <v>295</v>
      </c>
      <c r="B12" s="81">
        <v>1123200</v>
      </c>
      <c r="L12" s="9" t="s">
        <v>294</v>
      </c>
      <c r="M12" s="82">
        <v>1129653</v>
      </c>
      <c r="P12" s="9" t="s">
        <v>293</v>
      </c>
      <c r="Q12" s="82">
        <v>1221966</v>
      </c>
    </row>
    <row r="13" spans="1:17" x14ac:dyDescent="0.25">
      <c r="A13" s="84" t="s">
        <v>296</v>
      </c>
      <c r="B13" s="85">
        <v>876509</v>
      </c>
      <c r="L13" s="9" t="s">
        <v>295</v>
      </c>
      <c r="M13" s="82">
        <v>1123200</v>
      </c>
    </row>
    <row r="14" spans="1:17" x14ac:dyDescent="0.25">
      <c r="A14" s="86">
        <v>45444</v>
      </c>
      <c r="B14" s="9">
        <v>5000000</v>
      </c>
      <c r="L14" s="9" t="s">
        <v>296</v>
      </c>
      <c r="M14" s="82">
        <v>876509</v>
      </c>
    </row>
    <row r="15" spans="1:17" x14ac:dyDescent="0.25">
      <c r="L15" s="10">
        <v>45444</v>
      </c>
      <c r="M15" s="9">
        <v>5000000</v>
      </c>
    </row>
    <row r="16" spans="1:17" x14ac:dyDescent="0.25">
      <c r="A16" s="87"/>
      <c r="B16" s="82"/>
      <c r="L16" s="35"/>
      <c r="M16" s="9"/>
    </row>
    <row r="17" spans="2:13" x14ac:dyDescent="0.25">
      <c r="B17" s="82"/>
      <c r="L17" s="9"/>
      <c r="M17" s="82"/>
    </row>
    <row r="18" spans="2:13" x14ac:dyDescent="0.25">
      <c r="B18" s="82"/>
      <c r="L18" s="9"/>
      <c r="M18" s="82"/>
    </row>
    <row r="19" spans="2:13" x14ac:dyDescent="0.25">
      <c r="B19" s="82"/>
      <c r="L19" s="9"/>
      <c r="M19" s="82"/>
    </row>
    <row r="20" spans="2:13" x14ac:dyDescent="0.25">
      <c r="B20" s="82"/>
      <c r="L20" s="9"/>
      <c r="M20" s="82"/>
    </row>
    <row r="21" spans="2:13" ht="15.75" customHeight="1" x14ac:dyDescent="0.25">
      <c r="B21" s="82"/>
      <c r="L21" s="9"/>
      <c r="M21" s="82"/>
    </row>
    <row r="22" spans="2:13" ht="15.75" customHeight="1" x14ac:dyDescent="0.25">
      <c r="B22" s="82"/>
      <c r="L22" s="9"/>
      <c r="M22" s="82"/>
    </row>
    <row r="23" spans="2:13" ht="15.75" customHeight="1" x14ac:dyDescent="0.25">
      <c r="B23" s="82"/>
      <c r="L23" s="9"/>
      <c r="M23" s="82"/>
    </row>
    <row r="24" spans="2:13" ht="15.75" customHeight="1" x14ac:dyDescent="0.25">
      <c r="B24" s="82"/>
      <c r="L24" s="9"/>
      <c r="M24" s="82"/>
    </row>
    <row r="25" spans="2:13" ht="15.75" customHeight="1" x14ac:dyDescent="0.25">
      <c r="B25" s="82"/>
      <c r="L25" s="9"/>
      <c r="M25" s="82"/>
    </row>
    <row r="26" spans="2:13" ht="15.75" customHeight="1" x14ac:dyDescent="0.25">
      <c r="B26" s="82"/>
      <c r="L26" s="9"/>
      <c r="M26" s="82"/>
    </row>
    <row r="27" spans="2:13" ht="15.75" customHeight="1" x14ac:dyDescent="0.25">
      <c r="B27" s="82"/>
      <c r="L27" s="9"/>
      <c r="M27" s="82"/>
    </row>
    <row r="28" spans="2:13" ht="15.75" customHeight="1" x14ac:dyDescent="0.25">
      <c r="B28" s="82"/>
      <c r="L28" s="9"/>
      <c r="M28" s="82"/>
    </row>
    <row r="29" spans="2:13" ht="15.75" customHeight="1" x14ac:dyDescent="0.25">
      <c r="B29" s="82"/>
      <c r="L29" s="9"/>
      <c r="M29" s="82"/>
    </row>
    <row r="30" spans="2:13" ht="15.75" customHeight="1" x14ac:dyDescent="0.25">
      <c r="B30" s="82"/>
      <c r="G30" s="86"/>
    </row>
    <row r="31" spans="2:13" ht="15.75" customHeight="1" x14ac:dyDescent="0.25">
      <c r="B31" s="82"/>
    </row>
    <row r="32" spans="2:13" ht="15.75" customHeight="1" x14ac:dyDescent="0.25">
      <c r="B32" s="82"/>
    </row>
    <row r="33" spans="2:2" ht="15.75" customHeight="1" x14ac:dyDescent="0.25">
      <c r="B33" s="82"/>
    </row>
    <row r="34" spans="2:2" ht="15.75" customHeight="1" x14ac:dyDescent="0.25">
      <c r="B34" s="82"/>
    </row>
    <row r="35" spans="2:2" ht="15.75" customHeight="1" x14ac:dyDescent="0.25">
      <c r="B35" s="82"/>
    </row>
    <row r="36" spans="2:2" ht="15.75" customHeight="1" x14ac:dyDescent="0.25">
      <c r="B36" s="82"/>
    </row>
    <row r="37" spans="2:2" ht="15.75" customHeight="1" x14ac:dyDescent="0.25">
      <c r="B37" s="82"/>
    </row>
    <row r="38" spans="2:2" ht="15.75" customHeight="1" x14ac:dyDescent="0.25">
      <c r="B38" s="82"/>
    </row>
    <row r="39" spans="2:2" ht="15.75" customHeight="1" x14ac:dyDescent="0.25">
      <c r="B39" s="82"/>
    </row>
    <row r="40" spans="2:2" ht="15.75" customHeight="1" x14ac:dyDescent="0.25">
      <c r="B40" s="82"/>
    </row>
    <row r="41" spans="2:2" ht="15.75" customHeight="1" x14ac:dyDescent="0.25">
      <c r="B41" s="82"/>
    </row>
    <row r="42" spans="2:2" ht="15.75" customHeight="1" x14ac:dyDescent="0.25">
      <c r="B42" s="82"/>
    </row>
    <row r="43" spans="2:2" ht="15.75" customHeight="1" x14ac:dyDescent="0.25">
      <c r="B43" s="82"/>
    </row>
    <row r="44" spans="2:2" ht="15.75" customHeight="1" x14ac:dyDescent="0.25">
      <c r="B44" s="82"/>
    </row>
    <row r="45" spans="2:2" ht="15.75" customHeight="1" x14ac:dyDescent="0.25">
      <c r="B45" s="82"/>
    </row>
    <row r="46" spans="2:2" ht="15.75" customHeight="1" x14ac:dyDescent="0.25">
      <c r="B46" s="82"/>
    </row>
    <row r="47" spans="2:2" ht="15.75" customHeight="1" x14ac:dyDescent="0.25">
      <c r="B47" s="82"/>
    </row>
    <row r="48" spans="2:2" ht="15.75" customHeight="1" x14ac:dyDescent="0.25">
      <c r="B48" s="82"/>
    </row>
    <row r="49" spans="2:2" ht="15.75" customHeight="1" x14ac:dyDescent="0.25">
      <c r="B49" s="82"/>
    </row>
    <row r="50" spans="2:2" ht="15.75" customHeight="1" x14ac:dyDescent="0.25">
      <c r="B50" s="82"/>
    </row>
    <row r="51" spans="2:2" ht="15.75" customHeight="1" x14ac:dyDescent="0.25">
      <c r="B51" s="82"/>
    </row>
    <row r="52" spans="2:2" ht="15.75" customHeight="1" x14ac:dyDescent="0.25">
      <c r="B52" s="82"/>
    </row>
    <row r="53" spans="2:2" ht="15.75" customHeight="1" x14ac:dyDescent="0.25">
      <c r="B53" s="82"/>
    </row>
    <row r="54" spans="2:2" ht="15.75" customHeight="1" x14ac:dyDescent="0.25">
      <c r="B54" s="82"/>
    </row>
    <row r="55" spans="2:2" ht="15.75" customHeight="1" x14ac:dyDescent="0.25">
      <c r="B55" s="82"/>
    </row>
    <row r="56" spans="2:2" ht="15.75" customHeight="1" x14ac:dyDescent="0.25">
      <c r="B56" s="82"/>
    </row>
    <row r="57" spans="2:2" ht="15.75" customHeight="1" x14ac:dyDescent="0.25">
      <c r="B57" s="82"/>
    </row>
    <row r="58" spans="2:2" ht="15.75" customHeight="1" x14ac:dyDescent="0.25">
      <c r="B58" s="82"/>
    </row>
    <row r="59" spans="2:2" ht="15.75" customHeight="1" x14ac:dyDescent="0.25">
      <c r="B59" s="82"/>
    </row>
    <row r="60" spans="2:2" ht="15.75" customHeight="1" x14ac:dyDescent="0.25">
      <c r="B60" s="82"/>
    </row>
    <row r="61" spans="2:2" ht="15.75" customHeight="1" x14ac:dyDescent="0.25">
      <c r="B61" s="82"/>
    </row>
    <row r="62" spans="2:2" ht="15.75" customHeight="1" x14ac:dyDescent="0.25">
      <c r="B62" s="82"/>
    </row>
    <row r="63" spans="2:2" ht="15.75" customHeight="1" x14ac:dyDescent="0.25">
      <c r="B63" s="82"/>
    </row>
    <row r="64" spans="2:2" ht="15.75" customHeight="1" x14ac:dyDescent="0.25">
      <c r="B64" s="82"/>
    </row>
    <row r="65" spans="2:2" ht="15.75" customHeight="1" x14ac:dyDescent="0.25">
      <c r="B65" s="82"/>
    </row>
    <row r="66" spans="2:2" ht="15.75" customHeight="1" x14ac:dyDescent="0.25">
      <c r="B66" s="82"/>
    </row>
    <row r="67" spans="2:2" ht="15.75" customHeight="1" x14ac:dyDescent="0.25">
      <c r="B67" s="82"/>
    </row>
    <row r="68" spans="2:2" ht="15.75" customHeight="1" x14ac:dyDescent="0.25">
      <c r="B68" s="82"/>
    </row>
    <row r="69" spans="2:2" ht="15.75" customHeight="1" x14ac:dyDescent="0.25">
      <c r="B69" s="82"/>
    </row>
    <row r="70" spans="2:2" ht="15.75" customHeight="1" x14ac:dyDescent="0.25">
      <c r="B70" s="82"/>
    </row>
    <row r="71" spans="2:2" ht="15.75" customHeight="1" x14ac:dyDescent="0.25">
      <c r="B71" s="82"/>
    </row>
    <row r="72" spans="2:2" ht="15.75" customHeight="1" x14ac:dyDescent="0.25">
      <c r="B72" s="82"/>
    </row>
    <row r="73" spans="2:2" ht="15.75" customHeight="1" x14ac:dyDescent="0.25">
      <c r="B73" s="82"/>
    </row>
    <row r="74" spans="2:2" ht="15.75" customHeight="1" x14ac:dyDescent="0.25">
      <c r="B74" s="82"/>
    </row>
    <row r="75" spans="2:2" ht="15.75" customHeight="1" x14ac:dyDescent="0.25">
      <c r="B75" s="82"/>
    </row>
    <row r="76" spans="2:2" ht="15.75" customHeight="1" x14ac:dyDescent="0.25">
      <c r="B76" s="82"/>
    </row>
    <row r="77" spans="2:2" ht="15.75" customHeight="1" x14ac:dyDescent="0.25">
      <c r="B77" s="82"/>
    </row>
    <row r="78" spans="2:2" ht="15.75" customHeight="1" x14ac:dyDescent="0.25">
      <c r="B78" s="82"/>
    </row>
    <row r="79" spans="2:2" ht="15.75" customHeight="1" x14ac:dyDescent="0.25">
      <c r="B79" s="82"/>
    </row>
    <row r="80" spans="2:2" ht="15.75" customHeight="1" x14ac:dyDescent="0.25">
      <c r="B80" s="82"/>
    </row>
    <row r="81" spans="2:2" ht="15.75" customHeight="1" x14ac:dyDescent="0.25">
      <c r="B81" s="82"/>
    </row>
    <row r="82" spans="2:2" ht="15.75" customHeight="1" x14ac:dyDescent="0.25">
      <c r="B82" s="82"/>
    </row>
    <row r="83" spans="2:2" ht="15.75" customHeight="1" x14ac:dyDescent="0.25">
      <c r="B83" s="82"/>
    </row>
    <row r="84" spans="2:2" ht="15.75" customHeight="1" x14ac:dyDescent="0.25">
      <c r="B84" s="82"/>
    </row>
    <row r="85" spans="2:2" ht="15.75" customHeight="1" x14ac:dyDescent="0.25">
      <c r="B85" s="82"/>
    </row>
    <row r="86" spans="2:2" ht="15.75" customHeight="1" x14ac:dyDescent="0.25">
      <c r="B86" s="82"/>
    </row>
    <row r="87" spans="2:2" ht="15.75" customHeight="1" x14ac:dyDescent="0.25">
      <c r="B87" s="82"/>
    </row>
    <row r="88" spans="2:2" ht="15.75" customHeight="1" x14ac:dyDescent="0.25">
      <c r="B88" s="82"/>
    </row>
    <row r="89" spans="2:2" ht="15.75" customHeight="1" x14ac:dyDescent="0.25">
      <c r="B89" s="82"/>
    </row>
    <row r="90" spans="2:2" ht="15.75" customHeight="1" x14ac:dyDescent="0.25">
      <c r="B90" s="82"/>
    </row>
    <row r="91" spans="2:2" ht="15.75" customHeight="1" x14ac:dyDescent="0.25">
      <c r="B91" s="82"/>
    </row>
    <row r="92" spans="2:2" ht="15.75" customHeight="1" x14ac:dyDescent="0.25">
      <c r="B92" s="82"/>
    </row>
    <row r="93" spans="2:2" ht="15.75" customHeight="1" x14ac:dyDescent="0.25">
      <c r="B93" s="82"/>
    </row>
    <row r="94" spans="2:2" ht="15.75" customHeight="1" x14ac:dyDescent="0.25">
      <c r="B94" s="82"/>
    </row>
    <row r="95" spans="2:2" ht="15.75" customHeight="1" x14ac:dyDescent="0.25">
      <c r="B95" s="82"/>
    </row>
    <row r="96" spans="2:2" ht="15.75" customHeight="1" x14ac:dyDescent="0.25">
      <c r="B96" s="82"/>
    </row>
    <row r="97" spans="2:2" ht="15.75" customHeight="1" x14ac:dyDescent="0.25">
      <c r="B97" s="82"/>
    </row>
    <row r="98" spans="2:2" ht="15.75" customHeight="1" x14ac:dyDescent="0.25">
      <c r="B98" s="82"/>
    </row>
    <row r="99" spans="2:2" ht="15.75" customHeight="1" x14ac:dyDescent="0.25">
      <c r="B99" s="82"/>
    </row>
    <row r="100" spans="2:2" ht="15.75" customHeight="1" x14ac:dyDescent="0.25">
      <c r="B100" s="82"/>
    </row>
    <row r="101" spans="2:2" ht="15.75" customHeight="1" x14ac:dyDescent="0.25">
      <c r="B101" s="82"/>
    </row>
    <row r="102" spans="2:2" ht="15.75" customHeight="1" x14ac:dyDescent="0.25">
      <c r="B102" s="82"/>
    </row>
    <row r="103" spans="2:2" ht="15.75" customHeight="1" x14ac:dyDescent="0.25">
      <c r="B103" s="82"/>
    </row>
    <row r="104" spans="2:2" ht="15.75" customHeight="1" x14ac:dyDescent="0.25">
      <c r="B104" s="82"/>
    </row>
    <row r="105" spans="2:2" ht="15.75" customHeight="1" x14ac:dyDescent="0.25">
      <c r="B105" s="82"/>
    </row>
    <row r="106" spans="2:2" ht="15.75" customHeight="1" x14ac:dyDescent="0.25">
      <c r="B106" s="82"/>
    </row>
    <row r="107" spans="2:2" ht="15.75" customHeight="1" x14ac:dyDescent="0.25">
      <c r="B107" s="82"/>
    </row>
    <row r="108" spans="2:2" ht="15.75" customHeight="1" x14ac:dyDescent="0.25">
      <c r="B108" s="82"/>
    </row>
    <row r="109" spans="2:2" ht="15.75" customHeight="1" x14ac:dyDescent="0.25">
      <c r="B109" s="82"/>
    </row>
    <row r="110" spans="2:2" ht="15.75" customHeight="1" x14ac:dyDescent="0.25">
      <c r="B110" s="82"/>
    </row>
    <row r="111" spans="2:2" ht="15.75" customHeight="1" x14ac:dyDescent="0.25">
      <c r="B111" s="82"/>
    </row>
    <row r="112" spans="2:2" ht="15.75" customHeight="1" x14ac:dyDescent="0.25">
      <c r="B112" s="82"/>
    </row>
    <row r="113" spans="2:2" ht="15.75" customHeight="1" x14ac:dyDescent="0.25">
      <c r="B113" s="82"/>
    </row>
    <row r="114" spans="2:2" ht="15.75" customHeight="1" x14ac:dyDescent="0.25">
      <c r="B114" s="82"/>
    </row>
    <row r="115" spans="2:2" ht="15.75" customHeight="1" x14ac:dyDescent="0.25">
      <c r="B115" s="82"/>
    </row>
    <row r="116" spans="2:2" ht="15.75" customHeight="1" x14ac:dyDescent="0.25">
      <c r="B116" s="82"/>
    </row>
    <row r="117" spans="2:2" ht="15.75" customHeight="1" x14ac:dyDescent="0.25">
      <c r="B117" s="82"/>
    </row>
    <row r="118" spans="2:2" ht="15.75" customHeight="1" x14ac:dyDescent="0.25">
      <c r="B118" s="82"/>
    </row>
    <row r="119" spans="2:2" ht="15.75" customHeight="1" x14ac:dyDescent="0.25">
      <c r="B119" s="82"/>
    </row>
    <row r="120" spans="2:2" ht="15.75" customHeight="1" x14ac:dyDescent="0.25">
      <c r="B120" s="82"/>
    </row>
    <row r="121" spans="2:2" ht="15.75" customHeight="1" x14ac:dyDescent="0.25">
      <c r="B121" s="82"/>
    </row>
    <row r="122" spans="2:2" ht="15.75" customHeight="1" x14ac:dyDescent="0.25">
      <c r="B122" s="82"/>
    </row>
    <row r="123" spans="2:2" ht="15.75" customHeight="1" x14ac:dyDescent="0.25">
      <c r="B123" s="82"/>
    </row>
    <row r="124" spans="2:2" ht="15.75" customHeight="1" x14ac:dyDescent="0.25">
      <c r="B124" s="82"/>
    </row>
    <row r="125" spans="2:2" ht="15.75" customHeight="1" x14ac:dyDescent="0.25">
      <c r="B125" s="82"/>
    </row>
    <row r="126" spans="2:2" ht="15.75" customHeight="1" x14ac:dyDescent="0.25">
      <c r="B126" s="82"/>
    </row>
    <row r="127" spans="2:2" ht="15.75" customHeight="1" x14ac:dyDescent="0.25">
      <c r="B127" s="82"/>
    </row>
    <row r="128" spans="2:2" ht="15.75" customHeight="1" x14ac:dyDescent="0.25">
      <c r="B128" s="82"/>
    </row>
    <row r="129" spans="2:2" ht="15.75" customHeight="1" x14ac:dyDescent="0.25">
      <c r="B129" s="82"/>
    </row>
    <row r="130" spans="2:2" ht="15.75" customHeight="1" x14ac:dyDescent="0.25">
      <c r="B130" s="82"/>
    </row>
    <row r="131" spans="2:2" ht="15.75" customHeight="1" x14ac:dyDescent="0.25">
      <c r="B131" s="82"/>
    </row>
    <row r="132" spans="2:2" ht="15.75" customHeight="1" x14ac:dyDescent="0.25">
      <c r="B132" s="82"/>
    </row>
    <row r="133" spans="2:2" ht="15.75" customHeight="1" x14ac:dyDescent="0.25">
      <c r="B133" s="82"/>
    </row>
    <row r="134" spans="2:2" ht="15.75" customHeight="1" x14ac:dyDescent="0.25">
      <c r="B134" s="82"/>
    </row>
    <row r="135" spans="2:2" ht="15.75" customHeight="1" x14ac:dyDescent="0.25">
      <c r="B135" s="82"/>
    </row>
    <row r="136" spans="2:2" ht="15.75" customHeight="1" x14ac:dyDescent="0.25">
      <c r="B136" s="82"/>
    </row>
    <row r="137" spans="2:2" ht="15.75" customHeight="1" x14ac:dyDescent="0.25">
      <c r="B137" s="82"/>
    </row>
    <row r="138" spans="2:2" ht="15.75" customHeight="1" x14ac:dyDescent="0.25">
      <c r="B138" s="82"/>
    </row>
    <row r="139" spans="2:2" ht="15.75" customHeight="1" x14ac:dyDescent="0.25">
      <c r="B139" s="82"/>
    </row>
    <row r="140" spans="2:2" ht="15.75" customHeight="1" x14ac:dyDescent="0.25">
      <c r="B140" s="82"/>
    </row>
    <row r="141" spans="2:2" ht="15.75" customHeight="1" x14ac:dyDescent="0.25">
      <c r="B141" s="82"/>
    </row>
    <row r="142" spans="2:2" ht="15.75" customHeight="1" x14ac:dyDescent="0.25">
      <c r="B142" s="82"/>
    </row>
    <row r="143" spans="2:2" ht="15.75" customHeight="1" x14ac:dyDescent="0.25">
      <c r="B143" s="82"/>
    </row>
    <row r="144" spans="2:2" ht="15.75" customHeight="1" x14ac:dyDescent="0.25">
      <c r="B144" s="82"/>
    </row>
    <row r="145" spans="2:2" ht="15.75" customHeight="1" x14ac:dyDescent="0.25">
      <c r="B145" s="82"/>
    </row>
    <row r="146" spans="2:2" ht="15.75" customHeight="1" x14ac:dyDescent="0.25">
      <c r="B146" s="82"/>
    </row>
    <row r="147" spans="2:2" ht="15.75" customHeight="1" x14ac:dyDescent="0.25">
      <c r="B147" s="82"/>
    </row>
    <row r="148" spans="2:2" ht="15.75" customHeight="1" x14ac:dyDescent="0.25">
      <c r="B148" s="82"/>
    </row>
    <row r="149" spans="2:2" ht="15.75" customHeight="1" x14ac:dyDescent="0.25">
      <c r="B149" s="82"/>
    </row>
    <row r="150" spans="2:2" ht="15.75" customHeight="1" x14ac:dyDescent="0.25">
      <c r="B150" s="82"/>
    </row>
    <row r="151" spans="2:2" ht="15.75" customHeight="1" x14ac:dyDescent="0.25">
      <c r="B151" s="82"/>
    </row>
    <row r="152" spans="2:2" ht="15.75" customHeight="1" x14ac:dyDescent="0.25">
      <c r="B152" s="82"/>
    </row>
    <row r="153" spans="2:2" ht="15.75" customHeight="1" x14ac:dyDescent="0.25">
      <c r="B153" s="82"/>
    </row>
    <row r="154" spans="2:2" ht="15.75" customHeight="1" x14ac:dyDescent="0.25">
      <c r="B154" s="82"/>
    </row>
    <row r="155" spans="2:2" ht="15.75" customHeight="1" x14ac:dyDescent="0.25">
      <c r="B155" s="82"/>
    </row>
    <row r="156" spans="2:2" ht="15.75" customHeight="1" x14ac:dyDescent="0.25">
      <c r="B156" s="82"/>
    </row>
    <row r="157" spans="2:2" ht="15.75" customHeight="1" x14ac:dyDescent="0.25">
      <c r="B157" s="82"/>
    </row>
    <row r="158" spans="2:2" ht="15.75" customHeight="1" x14ac:dyDescent="0.25">
      <c r="B158" s="82"/>
    </row>
    <row r="159" spans="2:2" ht="15.75" customHeight="1" x14ac:dyDescent="0.25">
      <c r="B159" s="82"/>
    </row>
    <row r="160" spans="2:2" ht="15.75" customHeight="1" x14ac:dyDescent="0.25">
      <c r="B160" s="82"/>
    </row>
    <row r="161" spans="2:2" ht="15.75" customHeight="1" x14ac:dyDescent="0.25">
      <c r="B161" s="82"/>
    </row>
    <row r="162" spans="2:2" ht="15.75" customHeight="1" x14ac:dyDescent="0.25">
      <c r="B162" s="82"/>
    </row>
    <row r="163" spans="2:2" ht="15.75" customHeight="1" x14ac:dyDescent="0.25">
      <c r="B163" s="82"/>
    </row>
    <row r="164" spans="2:2" ht="15.75" customHeight="1" x14ac:dyDescent="0.25">
      <c r="B164" s="82"/>
    </row>
    <row r="165" spans="2:2" ht="15.75" customHeight="1" x14ac:dyDescent="0.25">
      <c r="B165" s="82"/>
    </row>
    <row r="166" spans="2:2" ht="15.75" customHeight="1" x14ac:dyDescent="0.25">
      <c r="B166" s="82"/>
    </row>
    <row r="167" spans="2:2" ht="15.75" customHeight="1" x14ac:dyDescent="0.25">
      <c r="B167" s="82"/>
    </row>
    <row r="168" spans="2:2" ht="15.75" customHeight="1" x14ac:dyDescent="0.25">
      <c r="B168" s="82"/>
    </row>
    <row r="169" spans="2:2" ht="15.75" customHeight="1" x14ac:dyDescent="0.25">
      <c r="B169" s="82"/>
    </row>
    <row r="170" spans="2:2" ht="15.75" customHeight="1" x14ac:dyDescent="0.25">
      <c r="B170" s="82"/>
    </row>
    <row r="171" spans="2:2" ht="15.75" customHeight="1" x14ac:dyDescent="0.25">
      <c r="B171" s="82"/>
    </row>
    <row r="172" spans="2:2" ht="15.75" customHeight="1" x14ac:dyDescent="0.25">
      <c r="B172" s="82"/>
    </row>
    <row r="173" spans="2:2" ht="15.75" customHeight="1" x14ac:dyDescent="0.25">
      <c r="B173" s="82"/>
    </row>
    <row r="174" spans="2:2" ht="15.75" customHeight="1" x14ac:dyDescent="0.25">
      <c r="B174" s="82"/>
    </row>
    <row r="175" spans="2:2" ht="15.75" customHeight="1" x14ac:dyDescent="0.25">
      <c r="B175" s="82"/>
    </row>
    <row r="176" spans="2:2" ht="15.75" customHeight="1" x14ac:dyDescent="0.25">
      <c r="B176" s="82"/>
    </row>
    <row r="177" spans="2:2" ht="15.75" customHeight="1" x14ac:dyDescent="0.25">
      <c r="B177" s="82"/>
    </row>
    <row r="178" spans="2:2" ht="15.75" customHeight="1" x14ac:dyDescent="0.25">
      <c r="B178" s="82"/>
    </row>
    <row r="179" spans="2:2" ht="15.75" customHeight="1" x14ac:dyDescent="0.25">
      <c r="B179" s="82"/>
    </row>
    <row r="180" spans="2:2" ht="15.75" customHeight="1" x14ac:dyDescent="0.25">
      <c r="B180" s="82"/>
    </row>
    <row r="181" spans="2:2" ht="15.75" customHeight="1" x14ac:dyDescent="0.25">
      <c r="B181" s="82"/>
    </row>
    <row r="182" spans="2:2" ht="15.75" customHeight="1" x14ac:dyDescent="0.25">
      <c r="B182" s="82"/>
    </row>
    <row r="183" spans="2:2" ht="15.75" customHeight="1" x14ac:dyDescent="0.25">
      <c r="B183" s="82"/>
    </row>
    <row r="184" spans="2:2" ht="15.75" customHeight="1" x14ac:dyDescent="0.25">
      <c r="B184" s="82"/>
    </row>
    <row r="185" spans="2:2" ht="15.75" customHeight="1" x14ac:dyDescent="0.25">
      <c r="B185" s="82"/>
    </row>
    <row r="186" spans="2:2" ht="15.75" customHeight="1" x14ac:dyDescent="0.25">
      <c r="B186" s="82"/>
    </row>
    <row r="187" spans="2:2" ht="15.75" customHeight="1" x14ac:dyDescent="0.25">
      <c r="B187" s="82"/>
    </row>
    <row r="188" spans="2:2" ht="15.75" customHeight="1" x14ac:dyDescent="0.25">
      <c r="B188" s="82"/>
    </row>
    <row r="189" spans="2:2" ht="15.75" customHeight="1" x14ac:dyDescent="0.25">
      <c r="B189" s="82"/>
    </row>
    <row r="190" spans="2:2" ht="15.75" customHeight="1" x14ac:dyDescent="0.25">
      <c r="B190" s="82"/>
    </row>
    <row r="191" spans="2:2" ht="15.75" customHeight="1" x14ac:dyDescent="0.25">
      <c r="B191" s="82"/>
    </row>
    <row r="192" spans="2:2" ht="15.75" customHeight="1" x14ac:dyDescent="0.25">
      <c r="B192" s="82"/>
    </row>
    <row r="193" spans="2:2" ht="15.75" customHeight="1" x14ac:dyDescent="0.25">
      <c r="B193" s="82"/>
    </row>
    <row r="194" spans="2:2" ht="15.75" customHeight="1" x14ac:dyDescent="0.25">
      <c r="B194" s="82"/>
    </row>
    <row r="195" spans="2:2" ht="15.75" customHeight="1" x14ac:dyDescent="0.25">
      <c r="B195" s="82"/>
    </row>
    <row r="196" spans="2:2" ht="15.75" customHeight="1" x14ac:dyDescent="0.25">
      <c r="B196" s="82"/>
    </row>
    <row r="197" spans="2:2" ht="15.75" customHeight="1" x14ac:dyDescent="0.25">
      <c r="B197" s="82"/>
    </row>
    <row r="198" spans="2:2" ht="15.75" customHeight="1" x14ac:dyDescent="0.25">
      <c r="B198" s="82"/>
    </row>
    <row r="199" spans="2:2" ht="15.75" customHeight="1" x14ac:dyDescent="0.25">
      <c r="B199" s="82"/>
    </row>
    <row r="200" spans="2:2" ht="15.75" customHeight="1" x14ac:dyDescent="0.25">
      <c r="B200" s="82"/>
    </row>
    <row r="201" spans="2:2" ht="15.75" customHeight="1" x14ac:dyDescent="0.25">
      <c r="B201" s="82"/>
    </row>
    <row r="202" spans="2:2" ht="15.75" customHeight="1" x14ac:dyDescent="0.25">
      <c r="B202" s="82"/>
    </row>
    <row r="203" spans="2:2" ht="15.75" customHeight="1" x14ac:dyDescent="0.25">
      <c r="B203" s="82"/>
    </row>
    <row r="204" spans="2:2" ht="15.75" customHeight="1" x14ac:dyDescent="0.25">
      <c r="B204" s="82"/>
    </row>
    <row r="205" spans="2:2" ht="15.75" customHeight="1" x14ac:dyDescent="0.25">
      <c r="B205" s="82"/>
    </row>
    <row r="206" spans="2:2" ht="15.75" customHeight="1" x14ac:dyDescent="0.25">
      <c r="B206" s="82"/>
    </row>
    <row r="207" spans="2:2" ht="15.75" customHeight="1" x14ac:dyDescent="0.25">
      <c r="B207" s="82"/>
    </row>
    <row r="208" spans="2:2" ht="15.75" customHeight="1" x14ac:dyDescent="0.25">
      <c r="B208" s="82"/>
    </row>
    <row r="209" spans="2:2" ht="15.75" customHeight="1" x14ac:dyDescent="0.25">
      <c r="B209" s="82"/>
    </row>
    <row r="210" spans="2:2" ht="15.75" customHeight="1" x14ac:dyDescent="0.25">
      <c r="B210" s="82"/>
    </row>
    <row r="211" spans="2:2" ht="15.75" customHeight="1" x14ac:dyDescent="0.25">
      <c r="B211" s="82"/>
    </row>
    <row r="212" spans="2:2" ht="15.75" customHeight="1" x14ac:dyDescent="0.25">
      <c r="B212" s="82"/>
    </row>
    <row r="213" spans="2:2" ht="15.75" customHeight="1" x14ac:dyDescent="0.25">
      <c r="B213" s="82"/>
    </row>
    <row r="214" spans="2:2" ht="15.75" customHeight="1" x14ac:dyDescent="0.25">
      <c r="B214" s="82"/>
    </row>
    <row r="215" spans="2:2" ht="15.75" customHeight="1" x14ac:dyDescent="0.25">
      <c r="B215" s="82"/>
    </row>
    <row r="216" spans="2:2" ht="15.75" customHeight="1" x14ac:dyDescent="0.25">
      <c r="B216" s="82"/>
    </row>
    <row r="217" spans="2:2" ht="15.75" customHeight="1" x14ac:dyDescent="0.25">
      <c r="B217" s="82"/>
    </row>
    <row r="218" spans="2:2" ht="15.75" customHeight="1" x14ac:dyDescent="0.25">
      <c r="B218" s="82"/>
    </row>
    <row r="219" spans="2:2" ht="15.75" customHeight="1" x14ac:dyDescent="0.25">
      <c r="B219" s="82"/>
    </row>
    <row r="220" spans="2:2" ht="15.75" customHeight="1" x14ac:dyDescent="0.25">
      <c r="B220" s="82"/>
    </row>
    <row r="221" spans="2:2" ht="15.75" customHeight="1" x14ac:dyDescent="0.25">
      <c r="B221" s="82"/>
    </row>
    <row r="222" spans="2:2" ht="15.75" customHeight="1" x14ac:dyDescent="0.25">
      <c r="B222" s="82"/>
    </row>
    <row r="223" spans="2:2" ht="15.75" customHeight="1" x14ac:dyDescent="0.25">
      <c r="B223" s="82"/>
    </row>
    <row r="224" spans="2:2" ht="15.75" customHeight="1" x14ac:dyDescent="0.25">
      <c r="B224" s="82"/>
    </row>
    <row r="225" spans="2:2" ht="15.75" customHeight="1" x14ac:dyDescent="0.25">
      <c r="B225" s="82"/>
    </row>
    <row r="226" spans="2:2" ht="15.75" customHeight="1" x14ac:dyDescent="0.25">
      <c r="B226" s="82"/>
    </row>
    <row r="227" spans="2:2" ht="15.75" customHeight="1" x14ac:dyDescent="0.25">
      <c r="B227" s="82"/>
    </row>
    <row r="228" spans="2:2" ht="15.75" customHeight="1" x14ac:dyDescent="0.25">
      <c r="B228" s="82"/>
    </row>
    <row r="229" spans="2:2" ht="15.75" customHeight="1" x14ac:dyDescent="0.25">
      <c r="B229" s="82"/>
    </row>
    <row r="230" spans="2:2" ht="15.75" customHeight="1" x14ac:dyDescent="0.25">
      <c r="B230" s="82"/>
    </row>
    <row r="231" spans="2:2" ht="15.75" customHeight="1" x14ac:dyDescent="0.25">
      <c r="B231" s="82"/>
    </row>
    <row r="232" spans="2:2" ht="15.75" customHeight="1" x14ac:dyDescent="0.25">
      <c r="B232" s="82"/>
    </row>
    <row r="233" spans="2:2" ht="15.75" customHeight="1" x14ac:dyDescent="0.25">
      <c r="B233" s="82"/>
    </row>
    <row r="234" spans="2:2" ht="15.75" customHeight="1" x14ac:dyDescent="0.25">
      <c r="B234" s="82"/>
    </row>
    <row r="235" spans="2:2" ht="15.75" customHeight="1" x14ac:dyDescent="0.25">
      <c r="B235" s="82"/>
    </row>
    <row r="236" spans="2:2" ht="15.75" customHeight="1" x14ac:dyDescent="0.25">
      <c r="B236" s="82"/>
    </row>
    <row r="237" spans="2:2" ht="15.75" customHeight="1" x14ac:dyDescent="0.25">
      <c r="B237" s="82"/>
    </row>
    <row r="238" spans="2:2" ht="15.75" customHeight="1" x14ac:dyDescent="0.25">
      <c r="B238" s="82"/>
    </row>
    <row r="239" spans="2:2" ht="15.75" customHeight="1" x14ac:dyDescent="0.25">
      <c r="B239" s="82"/>
    </row>
    <row r="240" spans="2:2" ht="15.75" customHeight="1" x14ac:dyDescent="0.25">
      <c r="B240" s="82"/>
    </row>
    <row r="241" spans="2:2" ht="15.75" customHeight="1" x14ac:dyDescent="0.25">
      <c r="B241" s="82"/>
    </row>
    <row r="242" spans="2:2" ht="15.75" customHeight="1" x14ac:dyDescent="0.25">
      <c r="B242" s="82"/>
    </row>
    <row r="243" spans="2:2" ht="15.75" customHeight="1" x14ac:dyDescent="0.25">
      <c r="B243" s="82"/>
    </row>
    <row r="244" spans="2:2" ht="15.75" customHeight="1" x14ac:dyDescent="0.25">
      <c r="B244" s="82"/>
    </row>
    <row r="245" spans="2:2" ht="15.75" customHeight="1" x14ac:dyDescent="0.25">
      <c r="B245" s="82"/>
    </row>
    <row r="246" spans="2:2" ht="15.75" customHeight="1" x14ac:dyDescent="0.25">
      <c r="B246" s="82"/>
    </row>
    <row r="247" spans="2:2" ht="15.75" customHeight="1" x14ac:dyDescent="0.25">
      <c r="B247" s="82"/>
    </row>
    <row r="248" spans="2:2" ht="15.75" customHeight="1" x14ac:dyDescent="0.25">
      <c r="B248" s="82"/>
    </row>
    <row r="249" spans="2:2" ht="15.75" customHeight="1" x14ac:dyDescent="0.25">
      <c r="B249" s="82"/>
    </row>
    <row r="250" spans="2:2" ht="15.75" customHeight="1" x14ac:dyDescent="0.25">
      <c r="B250" s="82"/>
    </row>
    <row r="251" spans="2:2" ht="15.75" customHeight="1" x14ac:dyDescent="0.25">
      <c r="B251" s="82"/>
    </row>
    <row r="252" spans="2:2" ht="15.75" customHeight="1" x14ac:dyDescent="0.25">
      <c r="B252" s="82"/>
    </row>
    <row r="253" spans="2:2" ht="15.75" customHeight="1" x14ac:dyDescent="0.25">
      <c r="B253" s="82"/>
    </row>
    <row r="254" spans="2:2" ht="15.75" customHeight="1" x14ac:dyDescent="0.25">
      <c r="B254" s="82"/>
    </row>
    <row r="255" spans="2:2" ht="15.75" customHeight="1" x14ac:dyDescent="0.25">
      <c r="B255" s="82"/>
    </row>
    <row r="256" spans="2:2" ht="15.75" customHeight="1" x14ac:dyDescent="0.25">
      <c r="B256" s="82"/>
    </row>
    <row r="257" spans="2:2" ht="15.75" customHeight="1" x14ac:dyDescent="0.25">
      <c r="B257" s="82"/>
    </row>
    <row r="258" spans="2:2" ht="15.75" customHeight="1" x14ac:dyDescent="0.25">
      <c r="B258" s="82"/>
    </row>
    <row r="259" spans="2:2" ht="15.75" customHeight="1" x14ac:dyDescent="0.25">
      <c r="B259" s="82"/>
    </row>
    <row r="260" spans="2:2" ht="15.75" customHeight="1" x14ac:dyDescent="0.25">
      <c r="B260" s="82"/>
    </row>
    <row r="261" spans="2:2" ht="15.75" customHeight="1" x14ac:dyDescent="0.25">
      <c r="B261" s="82"/>
    </row>
    <row r="262" spans="2:2" ht="15.75" customHeight="1" x14ac:dyDescent="0.25">
      <c r="B262" s="82"/>
    </row>
    <row r="263" spans="2:2" ht="15.75" customHeight="1" x14ac:dyDescent="0.25">
      <c r="B263" s="82"/>
    </row>
    <row r="264" spans="2:2" ht="15.75" customHeight="1" x14ac:dyDescent="0.25">
      <c r="B264" s="82"/>
    </row>
    <row r="265" spans="2:2" ht="15.75" customHeight="1" x14ac:dyDescent="0.25">
      <c r="B265" s="82"/>
    </row>
    <row r="266" spans="2:2" ht="15.75" customHeight="1" x14ac:dyDescent="0.25">
      <c r="B266" s="82"/>
    </row>
    <row r="267" spans="2:2" ht="15.75" customHeight="1" x14ac:dyDescent="0.25">
      <c r="B267" s="82"/>
    </row>
    <row r="268" spans="2:2" ht="15.75" customHeight="1" x14ac:dyDescent="0.25">
      <c r="B268" s="82"/>
    </row>
    <row r="269" spans="2:2" ht="15.75" customHeight="1" x14ac:dyDescent="0.25">
      <c r="B269" s="82"/>
    </row>
    <row r="270" spans="2:2" ht="15.75" customHeight="1" x14ac:dyDescent="0.25">
      <c r="B270" s="82"/>
    </row>
    <row r="271" spans="2:2" ht="15.75" customHeight="1" x14ac:dyDescent="0.25">
      <c r="B271" s="82"/>
    </row>
    <row r="272" spans="2:2" ht="15.75" customHeight="1" x14ac:dyDescent="0.25">
      <c r="B272" s="82"/>
    </row>
    <row r="273" spans="2:2" ht="15.75" customHeight="1" x14ac:dyDescent="0.25">
      <c r="B273" s="82"/>
    </row>
    <row r="274" spans="2:2" ht="15.75" customHeight="1" x14ac:dyDescent="0.25">
      <c r="B274" s="82"/>
    </row>
    <row r="275" spans="2:2" ht="15.75" customHeight="1" x14ac:dyDescent="0.25">
      <c r="B275" s="82"/>
    </row>
    <row r="276" spans="2:2" ht="15.75" customHeight="1" x14ac:dyDescent="0.25">
      <c r="B276" s="82"/>
    </row>
    <row r="277" spans="2:2" ht="15.75" customHeight="1" x14ac:dyDescent="0.25">
      <c r="B277" s="82"/>
    </row>
    <row r="278" spans="2:2" ht="15.75" customHeight="1" x14ac:dyDescent="0.25">
      <c r="B278" s="82"/>
    </row>
    <row r="279" spans="2:2" ht="15.75" customHeight="1" x14ac:dyDescent="0.25">
      <c r="B279" s="82"/>
    </row>
    <row r="280" spans="2:2" ht="15.75" customHeight="1" x14ac:dyDescent="0.25">
      <c r="B280" s="82"/>
    </row>
    <row r="281" spans="2:2" ht="15.75" customHeight="1" x14ac:dyDescent="0.25">
      <c r="B281" s="82"/>
    </row>
    <row r="282" spans="2:2" ht="15.75" customHeight="1" x14ac:dyDescent="0.25">
      <c r="B282" s="82"/>
    </row>
    <row r="283" spans="2:2" ht="15.75" customHeight="1" x14ac:dyDescent="0.25">
      <c r="B283" s="82"/>
    </row>
    <row r="284" spans="2:2" ht="15.75" customHeight="1" x14ac:dyDescent="0.25">
      <c r="B284" s="82"/>
    </row>
    <row r="285" spans="2:2" ht="15.75" customHeight="1" x14ac:dyDescent="0.25">
      <c r="B285" s="82"/>
    </row>
    <row r="286" spans="2:2" ht="15.75" customHeight="1" x14ac:dyDescent="0.25">
      <c r="B286" s="82"/>
    </row>
    <row r="287" spans="2:2" ht="15.75" customHeight="1" x14ac:dyDescent="0.25">
      <c r="B287" s="82"/>
    </row>
    <row r="288" spans="2:2" ht="15.75" customHeight="1" x14ac:dyDescent="0.25">
      <c r="B288" s="82"/>
    </row>
    <row r="289" spans="2:2" ht="15.75" customHeight="1" x14ac:dyDescent="0.25">
      <c r="B289" s="82"/>
    </row>
    <row r="290" spans="2:2" ht="15.75" customHeight="1" x14ac:dyDescent="0.25">
      <c r="B290" s="82"/>
    </row>
    <row r="291" spans="2:2" ht="15.75" customHeight="1" x14ac:dyDescent="0.25">
      <c r="B291" s="82"/>
    </row>
    <row r="292" spans="2:2" ht="15.75" customHeight="1" x14ac:dyDescent="0.25">
      <c r="B292" s="82"/>
    </row>
    <row r="293" spans="2:2" ht="15.75" customHeight="1" x14ac:dyDescent="0.25">
      <c r="B293" s="82"/>
    </row>
    <row r="294" spans="2:2" ht="15.75" customHeight="1" x14ac:dyDescent="0.25">
      <c r="B294" s="82"/>
    </row>
    <row r="295" spans="2:2" ht="15.75" customHeight="1" x14ac:dyDescent="0.25">
      <c r="B295" s="82"/>
    </row>
    <row r="296" spans="2:2" ht="15.75" customHeight="1" x14ac:dyDescent="0.25">
      <c r="B296" s="82"/>
    </row>
    <row r="297" spans="2:2" ht="15.75" customHeight="1" x14ac:dyDescent="0.25">
      <c r="B297" s="82"/>
    </row>
    <row r="298" spans="2:2" ht="15.75" customHeight="1" x14ac:dyDescent="0.25">
      <c r="B298" s="82"/>
    </row>
    <row r="299" spans="2:2" ht="15.75" customHeight="1" x14ac:dyDescent="0.25">
      <c r="B299" s="82"/>
    </row>
    <row r="300" spans="2:2" ht="15.75" customHeight="1" x14ac:dyDescent="0.25">
      <c r="B300" s="82"/>
    </row>
    <row r="301" spans="2:2" ht="15.75" customHeight="1" x14ac:dyDescent="0.25">
      <c r="B301" s="82"/>
    </row>
    <row r="302" spans="2:2" ht="15.75" customHeight="1" x14ac:dyDescent="0.25">
      <c r="B302" s="82"/>
    </row>
    <row r="303" spans="2:2" ht="15.75" customHeight="1" x14ac:dyDescent="0.25">
      <c r="B303" s="82"/>
    </row>
    <row r="304" spans="2:2" ht="15.75" customHeight="1" x14ac:dyDescent="0.25">
      <c r="B304" s="82"/>
    </row>
    <row r="305" spans="2:2" ht="15.75" customHeight="1" x14ac:dyDescent="0.25">
      <c r="B305" s="82"/>
    </row>
    <row r="306" spans="2:2" ht="15.75" customHeight="1" x14ac:dyDescent="0.25">
      <c r="B306" s="82"/>
    </row>
    <row r="307" spans="2:2" ht="15.75" customHeight="1" x14ac:dyDescent="0.25">
      <c r="B307" s="82"/>
    </row>
    <row r="308" spans="2:2" ht="15.75" customHeight="1" x14ac:dyDescent="0.25">
      <c r="B308" s="82"/>
    </row>
    <row r="309" spans="2:2" ht="15.75" customHeight="1" x14ac:dyDescent="0.25">
      <c r="B309" s="82"/>
    </row>
    <row r="310" spans="2:2" ht="15.75" customHeight="1" x14ac:dyDescent="0.25">
      <c r="B310" s="82"/>
    </row>
    <row r="311" spans="2:2" ht="15.75" customHeight="1" x14ac:dyDescent="0.25">
      <c r="B311" s="82"/>
    </row>
    <row r="312" spans="2:2" ht="15.75" customHeight="1" x14ac:dyDescent="0.25">
      <c r="B312" s="82"/>
    </row>
    <row r="313" spans="2:2" ht="15.75" customHeight="1" x14ac:dyDescent="0.25">
      <c r="B313" s="82"/>
    </row>
    <row r="314" spans="2:2" ht="15.75" customHeight="1" x14ac:dyDescent="0.25">
      <c r="B314" s="82"/>
    </row>
    <row r="315" spans="2:2" ht="15.75" customHeight="1" x14ac:dyDescent="0.25">
      <c r="B315" s="82"/>
    </row>
    <row r="316" spans="2:2" ht="15.75" customHeight="1" x14ac:dyDescent="0.25">
      <c r="B316" s="82"/>
    </row>
    <row r="317" spans="2:2" ht="15.75" customHeight="1" x14ac:dyDescent="0.25">
      <c r="B317" s="82"/>
    </row>
    <row r="318" spans="2:2" ht="15.75" customHeight="1" x14ac:dyDescent="0.25">
      <c r="B318" s="82"/>
    </row>
    <row r="319" spans="2:2" ht="15.75" customHeight="1" x14ac:dyDescent="0.25">
      <c r="B319" s="82"/>
    </row>
    <row r="320" spans="2:2" ht="15.75" customHeight="1" x14ac:dyDescent="0.25">
      <c r="B320" s="82"/>
    </row>
    <row r="321" spans="2:2" ht="15.75" customHeight="1" x14ac:dyDescent="0.25">
      <c r="B321" s="82"/>
    </row>
    <row r="322" spans="2:2" ht="15.75" customHeight="1" x14ac:dyDescent="0.25">
      <c r="B322" s="82"/>
    </row>
    <row r="323" spans="2:2" ht="15.75" customHeight="1" x14ac:dyDescent="0.25">
      <c r="B323" s="82"/>
    </row>
    <row r="324" spans="2:2" ht="15.75" customHeight="1" x14ac:dyDescent="0.25">
      <c r="B324" s="82"/>
    </row>
    <row r="325" spans="2:2" ht="15.75" customHeight="1" x14ac:dyDescent="0.25">
      <c r="B325" s="82"/>
    </row>
    <row r="326" spans="2:2" ht="15.75" customHeight="1" x14ac:dyDescent="0.25">
      <c r="B326" s="82"/>
    </row>
    <row r="327" spans="2:2" ht="15.75" customHeight="1" x14ac:dyDescent="0.25">
      <c r="B327" s="82"/>
    </row>
    <row r="328" spans="2:2" ht="15.75" customHeight="1" x14ac:dyDescent="0.25">
      <c r="B328" s="82"/>
    </row>
    <row r="329" spans="2:2" ht="15.75" customHeight="1" x14ac:dyDescent="0.25">
      <c r="B329" s="82"/>
    </row>
    <row r="330" spans="2:2" ht="15.75" customHeight="1" x14ac:dyDescent="0.25">
      <c r="B330" s="82"/>
    </row>
    <row r="331" spans="2:2" ht="15.75" customHeight="1" x14ac:dyDescent="0.25">
      <c r="B331" s="82"/>
    </row>
    <row r="332" spans="2:2" ht="15.75" customHeight="1" x14ac:dyDescent="0.25">
      <c r="B332" s="82"/>
    </row>
    <row r="333" spans="2:2" ht="15.75" customHeight="1" x14ac:dyDescent="0.25">
      <c r="B333" s="82"/>
    </row>
    <row r="334" spans="2:2" ht="15.75" customHeight="1" x14ac:dyDescent="0.25">
      <c r="B334" s="82"/>
    </row>
    <row r="335" spans="2:2" ht="15.75" customHeight="1" x14ac:dyDescent="0.25">
      <c r="B335" s="82"/>
    </row>
    <row r="336" spans="2:2" ht="15.75" customHeight="1" x14ac:dyDescent="0.25">
      <c r="B336" s="82"/>
    </row>
    <row r="337" spans="2:2" ht="15.75" customHeight="1" x14ac:dyDescent="0.25">
      <c r="B337" s="82"/>
    </row>
    <row r="338" spans="2:2" ht="15.75" customHeight="1" x14ac:dyDescent="0.25">
      <c r="B338" s="82"/>
    </row>
    <row r="339" spans="2:2" ht="15.75" customHeight="1" x14ac:dyDescent="0.25">
      <c r="B339" s="82"/>
    </row>
    <row r="340" spans="2:2" ht="15.75" customHeight="1" x14ac:dyDescent="0.25">
      <c r="B340" s="82"/>
    </row>
    <row r="341" spans="2:2" ht="15.75" customHeight="1" x14ac:dyDescent="0.25">
      <c r="B341" s="82"/>
    </row>
    <row r="342" spans="2:2" ht="15.75" customHeight="1" x14ac:dyDescent="0.25">
      <c r="B342" s="82"/>
    </row>
    <row r="343" spans="2:2" ht="15.75" customHeight="1" x14ac:dyDescent="0.25">
      <c r="B343" s="82"/>
    </row>
    <row r="344" spans="2:2" ht="15.75" customHeight="1" x14ac:dyDescent="0.25">
      <c r="B344" s="82"/>
    </row>
    <row r="345" spans="2:2" ht="15.75" customHeight="1" x14ac:dyDescent="0.25">
      <c r="B345" s="82"/>
    </row>
    <row r="346" spans="2:2" ht="15.75" customHeight="1" x14ac:dyDescent="0.25">
      <c r="B346" s="82"/>
    </row>
    <row r="347" spans="2:2" ht="15.75" customHeight="1" x14ac:dyDescent="0.25">
      <c r="B347" s="82"/>
    </row>
    <row r="348" spans="2:2" ht="15.75" customHeight="1" x14ac:dyDescent="0.25">
      <c r="B348" s="82"/>
    </row>
    <row r="349" spans="2:2" ht="15.75" customHeight="1" x14ac:dyDescent="0.25">
      <c r="B349" s="82"/>
    </row>
    <row r="350" spans="2:2" ht="15.75" customHeight="1" x14ac:dyDescent="0.25">
      <c r="B350" s="82"/>
    </row>
    <row r="351" spans="2:2" ht="15.75" customHeight="1" x14ac:dyDescent="0.25">
      <c r="B351" s="82"/>
    </row>
    <row r="352" spans="2:2" ht="15.75" customHeight="1" x14ac:dyDescent="0.25">
      <c r="B352" s="82"/>
    </row>
    <row r="353" spans="2:2" ht="15.75" customHeight="1" x14ac:dyDescent="0.25">
      <c r="B353" s="82"/>
    </row>
    <row r="354" spans="2:2" ht="15.75" customHeight="1" x14ac:dyDescent="0.25">
      <c r="B354" s="82"/>
    </row>
    <row r="355" spans="2:2" ht="15.75" customHeight="1" x14ac:dyDescent="0.25">
      <c r="B355" s="82"/>
    </row>
    <row r="356" spans="2:2" ht="15.75" customHeight="1" x14ac:dyDescent="0.25">
      <c r="B356" s="82"/>
    </row>
    <row r="357" spans="2:2" ht="15.75" customHeight="1" x14ac:dyDescent="0.25">
      <c r="B357" s="82"/>
    </row>
    <row r="358" spans="2:2" ht="15.75" customHeight="1" x14ac:dyDescent="0.25">
      <c r="B358" s="82"/>
    </row>
    <row r="359" spans="2:2" ht="15.75" customHeight="1" x14ac:dyDescent="0.25">
      <c r="B359" s="82"/>
    </row>
    <row r="360" spans="2:2" ht="15.75" customHeight="1" x14ac:dyDescent="0.25">
      <c r="B360" s="82"/>
    </row>
    <row r="361" spans="2:2" ht="15.75" customHeight="1" x14ac:dyDescent="0.25">
      <c r="B361" s="82"/>
    </row>
    <row r="362" spans="2:2" ht="15.75" customHeight="1" x14ac:dyDescent="0.25">
      <c r="B362" s="82"/>
    </row>
    <row r="363" spans="2:2" ht="15.75" customHeight="1" x14ac:dyDescent="0.25">
      <c r="B363" s="82"/>
    </row>
    <row r="364" spans="2:2" ht="15.75" customHeight="1" x14ac:dyDescent="0.25">
      <c r="B364" s="82"/>
    </row>
    <row r="365" spans="2:2" ht="15.75" customHeight="1" x14ac:dyDescent="0.25">
      <c r="B365" s="82"/>
    </row>
    <row r="366" spans="2:2" ht="15.75" customHeight="1" x14ac:dyDescent="0.25">
      <c r="B366" s="82"/>
    </row>
    <row r="367" spans="2:2" ht="15.75" customHeight="1" x14ac:dyDescent="0.25">
      <c r="B367" s="82"/>
    </row>
    <row r="368" spans="2:2" ht="15.75" customHeight="1" x14ac:dyDescent="0.25">
      <c r="B368" s="82"/>
    </row>
    <row r="369" spans="2:2" ht="15.75" customHeight="1" x14ac:dyDescent="0.25">
      <c r="B369" s="82"/>
    </row>
    <row r="370" spans="2:2" ht="15.75" customHeight="1" x14ac:dyDescent="0.25">
      <c r="B370" s="82"/>
    </row>
    <row r="371" spans="2:2" ht="15.75" customHeight="1" x14ac:dyDescent="0.25">
      <c r="B371" s="82"/>
    </row>
    <row r="372" spans="2:2" ht="15.75" customHeight="1" x14ac:dyDescent="0.25">
      <c r="B372" s="82"/>
    </row>
    <row r="373" spans="2:2" ht="15.75" customHeight="1" x14ac:dyDescent="0.25">
      <c r="B373" s="82"/>
    </row>
    <row r="374" spans="2:2" ht="15.75" customHeight="1" x14ac:dyDescent="0.25">
      <c r="B374" s="82"/>
    </row>
    <row r="375" spans="2:2" ht="15.75" customHeight="1" x14ac:dyDescent="0.25">
      <c r="B375" s="82"/>
    </row>
    <row r="376" spans="2:2" ht="15.75" customHeight="1" x14ac:dyDescent="0.25">
      <c r="B376" s="82"/>
    </row>
    <row r="377" spans="2:2" ht="15.75" customHeight="1" x14ac:dyDescent="0.25">
      <c r="B377" s="82"/>
    </row>
    <row r="378" spans="2:2" ht="15.75" customHeight="1" x14ac:dyDescent="0.25">
      <c r="B378" s="82"/>
    </row>
    <row r="379" spans="2:2" ht="15.75" customHeight="1" x14ac:dyDescent="0.25">
      <c r="B379" s="82"/>
    </row>
    <row r="380" spans="2:2" ht="15.75" customHeight="1" x14ac:dyDescent="0.25">
      <c r="B380" s="82"/>
    </row>
    <row r="381" spans="2:2" ht="15.75" customHeight="1" x14ac:dyDescent="0.25">
      <c r="B381" s="82"/>
    </row>
    <row r="382" spans="2:2" ht="15.75" customHeight="1" x14ac:dyDescent="0.25">
      <c r="B382" s="82"/>
    </row>
    <row r="383" spans="2:2" ht="15.75" customHeight="1" x14ac:dyDescent="0.25">
      <c r="B383" s="82"/>
    </row>
    <row r="384" spans="2:2" ht="15.75" customHeight="1" x14ac:dyDescent="0.25">
      <c r="B384" s="82"/>
    </row>
    <row r="385" spans="2:2" ht="15.75" customHeight="1" x14ac:dyDescent="0.25">
      <c r="B385" s="82"/>
    </row>
    <row r="386" spans="2:2" ht="15.75" customHeight="1" x14ac:dyDescent="0.25">
      <c r="B386" s="82"/>
    </row>
    <row r="387" spans="2:2" ht="15.75" customHeight="1" x14ac:dyDescent="0.25">
      <c r="B387" s="82"/>
    </row>
    <row r="388" spans="2:2" ht="15.75" customHeight="1" x14ac:dyDescent="0.25">
      <c r="B388" s="82"/>
    </row>
    <row r="389" spans="2:2" ht="15.75" customHeight="1" x14ac:dyDescent="0.25">
      <c r="B389" s="82"/>
    </row>
    <row r="390" spans="2:2" ht="15.75" customHeight="1" x14ac:dyDescent="0.25">
      <c r="B390" s="82"/>
    </row>
    <row r="391" spans="2:2" ht="15.75" customHeight="1" x14ac:dyDescent="0.25">
      <c r="B391" s="82"/>
    </row>
    <row r="392" spans="2:2" ht="15.75" customHeight="1" x14ac:dyDescent="0.25">
      <c r="B392" s="82"/>
    </row>
    <row r="393" spans="2:2" ht="15.75" customHeight="1" x14ac:dyDescent="0.25">
      <c r="B393" s="82"/>
    </row>
    <row r="394" spans="2:2" ht="15.75" customHeight="1" x14ac:dyDescent="0.25">
      <c r="B394" s="82"/>
    </row>
    <row r="395" spans="2:2" ht="15.75" customHeight="1" x14ac:dyDescent="0.25">
      <c r="B395" s="82"/>
    </row>
    <row r="396" spans="2:2" ht="15.75" customHeight="1" x14ac:dyDescent="0.25">
      <c r="B396" s="82"/>
    </row>
    <row r="397" spans="2:2" ht="15.75" customHeight="1" x14ac:dyDescent="0.25">
      <c r="B397" s="82"/>
    </row>
    <row r="398" spans="2:2" ht="15.75" customHeight="1" x14ac:dyDescent="0.25">
      <c r="B398" s="82"/>
    </row>
    <row r="399" spans="2:2" ht="15.75" customHeight="1" x14ac:dyDescent="0.25">
      <c r="B399" s="82"/>
    </row>
    <row r="400" spans="2:2" ht="15.75" customHeight="1" x14ac:dyDescent="0.25">
      <c r="B400" s="82"/>
    </row>
    <row r="401" spans="2:2" ht="15.75" customHeight="1" x14ac:dyDescent="0.25">
      <c r="B401" s="82"/>
    </row>
    <row r="402" spans="2:2" ht="15.75" customHeight="1" x14ac:dyDescent="0.25">
      <c r="B402" s="82"/>
    </row>
    <row r="403" spans="2:2" ht="15.75" customHeight="1" x14ac:dyDescent="0.25">
      <c r="B403" s="82"/>
    </row>
    <row r="404" spans="2:2" ht="15.75" customHeight="1" x14ac:dyDescent="0.25">
      <c r="B404" s="82"/>
    </row>
    <row r="405" spans="2:2" ht="15.75" customHeight="1" x14ac:dyDescent="0.25">
      <c r="B405" s="82"/>
    </row>
    <row r="406" spans="2:2" ht="15.75" customHeight="1" x14ac:dyDescent="0.25">
      <c r="B406" s="82"/>
    </row>
    <row r="407" spans="2:2" ht="15.75" customHeight="1" x14ac:dyDescent="0.25">
      <c r="B407" s="82"/>
    </row>
    <row r="408" spans="2:2" ht="15.75" customHeight="1" x14ac:dyDescent="0.25">
      <c r="B408" s="82"/>
    </row>
    <row r="409" spans="2:2" ht="15.75" customHeight="1" x14ac:dyDescent="0.25">
      <c r="B409" s="82"/>
    </row>
    <row r="410" spans="2:2" ht="15.75" customHeight="1" x14ac:dyDescent="0.25">
      <c r="B410" s="82"/>
    </row>
    <row r="411" spans="2:2" ht="15.75" customHeight="1" x14ac:dyDescent="0.25">
      <c r="B411" s="82"/>
    </row>
    <row r="412" spans="2:2" ht="15.75" customHeight="1" x14ac:dyDescent="0.25">
      <c r="B412" s="82"/>
    </row>
    <row r="413" spans="2:2" ht="15.75" customHeight="1" x14ac:dyDescent="0.25">
      <c r="B413" s="82"/>
    </row>
    <row r="414" spans="2:2" ht="15.75" customHeight="1" x14ac:dyDescent="0.25">
      <c r="B414" s="82"/>
    </row>
    <row r="415" spans="2:2" ht="15.75" customHeight="1" x14ac:dyDescent="0.25">
      <c r="B415" s="82"/>
    </row>
    <row r="416" spans="2:2" ht="15.75" customHeight="1" x14ac:dyDescent="0.25">
      <c r="B416" s="82"/>
    </row>
    <row r="417" spans="2:2" ht="15.75" customHeight="1" x14ac:dyDescent="0.25">
      <c r="B417" s="82"/>
    </row>
    <row r="418" spans="2:2" ht="15.75" customHeight="1" x14ac:dyDescent="0.25">
      <c r="B418" s="82"/>
    </row>
    <row r="419" spans="2:2" ht="15.75" customHeight="1" x14ac:dyDescent="0.25">
      <c r="B419" s="82"/>
    </row>
    <row r="420" spans="2:2" ht="15.75" customHeight="1" x14ac:dyDescent="0.25">
      <c r="B420" s="82"/>
    </row>
    <row r="421" spans="2:2" ht="15.75" customHeight="1" x14ac:dyDescent="0.25">
      <c r="B421" s="82"/>
    </row>
    <row r="422" spans="2:2" ht="15.75" customHeight="1" x14ac:dyDescent="0.25">
      <c r="B422" s="82"/>
    </row>
    <row r="423" spans="2:2" ht="15.75" customHeight="1" x14ac:dyDescent="0.25">
      <c r="B423" s="82"/>
    </row>
    <row r="424" spans="2:2" ht="15.75" customHeight="1" x14ac:dyDescent="0.25">
      <c r="B424" s="82"/>
    </row>
    <row r="425" spans="2:2" ht="15.75" customHeight="1" x14ac:dyDescent="0.25">
      <c r="B425" s="82"/>
    </row>
    <row r="426" spans="2:2" ht="15.75" customHeight="1" x14ac:dyDescent="0.25">
      <c r="B426" s="82"/>
    </row>
    <row r="427" spans="2:2" ht="15.75" customHeight="1" x14ac:dyDescent="0.25">
      <c r="B427" s="82"/>
    </row>
    <row r="428" spans="2:2" ht="15.75" customHeight="1" x14ac:dyDescent="0.25">
      <c r="B428" s="82"/>
    </row>
    <row r="429" spans="2:2" ht="15.75" customHeight="1" x14ac:dyDescent="0.25">
      <c r="B429" s="82"/>
    </row>
    <row r="430" spans="2:2" ht="15.75" customHeight="1" x14ac:dyDescent="0.25">
      <c r="B430" s="82"/>
    </row>
    <row r="431" spans="2:2" ht="15.75" customHeight="1" x14ac:dyDescent="0.25">
      <c r="B431" s="82"/>
    </row>
    <row r="432" spans="2:2" ht="15.75" customHeight="1" x14ac:dyDescent="0.25">
      <c r="B432" s="82"/>
    </row>
    <row r="433" spans="2:2" ht="15.75" customHeight="1" x14ac:dyDescent="0.25">
      <c r="B433" s="82"/>
    </row>
    <row r="434" spans="2:2" ht="15.75" customHeight="1" x14ac:dyDescent="0.25">
      <c r="B434" s="82"/>
    </row>
    <row r="435" spans="2:2" ht="15.75" customHeight="1" x14ac:dyDescent="0.25">
      <c r="B435" s="82"/>
    </row>
    <row r="436" spans="2:2" ht="15.75" customHeight="1" x14ac:dyDescent="0.25">
      <c r="B436" s="82"/>
    </row>
    <row r="437" spans="2:2" ht="15.75" customHeight="1" x14ac:dyDescent="0.25">
      <c r="B437" s="82"/>
    </row>
    <row r="438" spans="2:2" ht="15.75" customHeight="1" x14ac:dyDescent="0.25">
      <c r="B438" s="82"/>
    </row>
    <row r="439" spans="2:2" ht="15.75" customHeight="1" x14ac:dyDescent="0.25">
      <c r="B439" s="82"/>
    </row>
    <row r="440" spans="2:2" ht="15.75" customHeight="1" x14ac:dyDescent="0.25">
      <c r="B440" s="82"/>
    </row>
    <row r="441" spans="2:2" ht="15.75" customHeight="1" x14ac:dyDescent="0.25">
      <c r="B441" s="82"/>
    </row>
    <row r="442" spans="2:2" ht="15.75" customHeight="1" x14ac:dyDescent="0.25">
      <c r="B442" s="82"/>
    </row>
    <row r="443" spans="2:2" ht="15.75" customHeight="1" x14ac:dyDescent="0.25">
      <c r="B443" s="82"/>
    </row>
    <row r="444" spans="2:2" ht="15.75" customHeight="1" x14ac:dyDescent="0.25">
      <c r="B444" s="82"/>
    </row>
    <row r="445" spans="2:2" ht="15.75" customHeight="1" x14ac:dyDescent="0.25">
      <c r="B445" s="82"/>
    </row>
    <row r="446" spans="2:2" ht="15.75" customHeight="1" x14ac:dyDescent="0.25">
      <c r="B446" s="82"/>
    </row>
    <row r="447" spans="2:2" ht="15.75" customHeight="1" x14ac:dyDescent="0.25">
      <c r="B447" s="82"/>
    </row>
    <row r="448" spans="2:2" ht="15.75" customHeight="1" x14ac:dyDescent="0.25">
      <c r="B448" s="82"/>
    </row>
    <row r="449" spans="2:2" ht="15.75" customHeight="1" x14ac:dyDescent="0.25">
      <c r="B449" s="82"/>
    </row>
    <row r="450" spans="2:2" ht="15.75" customHeight="1" x14ac:dyDescent="0.25">
      <c r="B450" s="82"/>
    </row>
    <row r="451" spans="2:2" ht="15.75" customHeight="1" x14ac:dyDescent="0.25">
      <c r="B451" s="82"/>
    </row>
    <row r="452" spans="2:2" ht="15.75" customHeight="1" x14ac:dyDescent="0.25">
      <c r="B452" s="82"/>
    </row>
    <row r="453" spans="2:2" ht="15.75" customHeight="1" x14ac:dyDescent="0.25">
      <c r="B453" s="82"/>
    </row>
    <row r="454" spans="2:2" ht="15.75" customHeight="1" x14ac:dyDescent="0.25">
      <c r="B454" s="82"/>
    </row>
    <row r="455" spans="2:2" ht="15.75" customHeight="1" x14ac:dyDescent="0.25">
      <c r="B455" s="82"/>
    </row>
    <row r="456" spans="2:2" ht="15.75" customHeight="1" x14ac:dyDescent="0.25">
      <c r="B456" s="82"/>
    </row>
    <row r="457" spans="2:2" ht="15.75" customHeight="1" x14ac:dyDescent="0.25">
      <c r="B457" s="82"/>
    </row>
    <row r="458" spans="2:2" ht="15.75" customHeight="1" x14ac:dyDescent="0.25">
      <c r="B458" s="82"/>
    </row>
    <row r="459" spans="2:2" ht="15.75" customHeight="1" x14ac:dyDescent="0.25">
      <c r="B459" s="82"/>
    </row>
    <row r="460" spans="2:2" ht="15.75" customHeight="1" x14ac:dyDescent="0.25">
      <c r="B460" s="82"/>
    </row>
    <row r="461" spans="2:2" ht="15.75" customHeight="1" x14ac:dyDescent="0.25">
      <c r="B461" s="82"/>
    </row>
    <row r="462" spans="2:2" ht="15.75" customHeight="1" x14ac:dyDescent="0.25">
      <c r="B462" s="82"/>
    </row>
    <row r="463" spans="2:2" ht="15.75" customHeight="1" x14ac:dyDescent="0.25">
      <c r="B463" s="82"/>
    </row>
    <row r="464" spans="2:2" ht="15.75" customHeight="1" x14ac:dyDescent="0.25">
      <c r="B464" s="82"/>
    </row>
    <row r="465" spans="2:2" ht="15.75" customHeight="1" x14ac:dyDescent="0.25">
      <c r="B465" s="82"/>
    </row>
    <row r="466" spans="2:2" ht="15.75" customHeight="1" x14ac:dyDescent="0.25">
      <c r="B466" s="82"/>
    </row>
    <row r="467" spans="2:2" ht="15.75" customHeight="1" x14ac:dyDescent="0.25">
      <c r="B467" s="82"/>
    </row>
    <row r="468" spans="2:2" ht="15.75" customHeight="1" x14ac:dyDescent="0.25">
      <c r="B468" s="82"/>
    </row>
    <row r="469" spans="2:2" ht="15.75" customHeight="1" x14ac:dyDescent="0.25">
      <c r="B469" s="82"/>
    </row>
    <row r="470" spans="2:2" ht="15.75" customHeight="1" x14ac:dyDescent="0.25">
      <c r="B470" s="82"/>
    </row>
    <row r="471" spans="2:2" ht="15.75" customHeight="1" x14ac:dyDescent="0.25">
      <c r="B471" s="82"/>
    </row>
    <row r="472" spans="2:2" ht="15.75" customHeight="1" x14ac:dyDescent="0.25">
      <c r="B472" s="82"/>
    </row>
    <row r="473" spans="2:2" ht="15.75" customHeight="1" x14ac:dyDescent="0.25">
      <c r="B473" s="82"/>
    </row>
    <row r="474" spans="2:2" ht="15.75" customHeight="1" x14ac:dyDescent="0.25">
      <c r="B474" s="82"/>
    </row>
    <row r="475" spans="2:2" ht="15.75" customHeight="1" x14ac:dyDescent="0.25">
      <c r="B475" s="82"/>
    </row>
    <row r="476" spans="2:2" ht="15.75" customHeight="1" x14ac:dyDescent="0.25">
      <c r="B476" s="82"/>
    </row>
    <row r="477" spans="2:2" ht="15.75" customHeight="1" x14ac:dyDescent="0.25">
      <c r="B477" s="82"/>
    </row>
    <row r="478" spans="2:2" ht="15.75" customHeight="1" x14ac:dyDescent="0.25">
      <c r="B478" s="82"/>
    </row>
    <row r="479" spans="2:2" ht="15.75" customHeight="1" x14ac:dyDescent="0.25">
      <c r="B479" s="82"/>
    </row>
    <row r="480" spans="2:2" ht="15.75" customHeight="1" x14ac:dyDescent="0.25">
      <c r="B480" s="82"/>
    </row>
    <row r="481" spans="2:2" ht="15.75" customHeight="1" x14ac:dyDescent="0.25">
      <c r="B481" s="82"/>
    </row>
    <row r="482" spans="2:2" ht="15.75" customHeight="1" x14ac:dyDescent="0.25">
      <c r="B482" s="82"/>
    </row>
    <row r="483" spans="2:2" ht="15.75" customHeight="1" x14ac:dyDescent="0.25">
      <c r="B483" s="82"/>
    </row>
    <row r="484" spans="2:2" ht="15.75" customHeight="1" x14ac:dyDescent="0.25">
      <c r="B484" s="82"/>
    </row>
    <row r="485" spans="2:2" ht="15.75" customHeight="1" x14ac:dyDescent="0.25">
      <c r="B485" s="82"/>
    </row>
    <row r="486" spans="2:2" ht="15.75" customHeight="1" x14ac:dyDescent="0.25">
      <c r="B486" s="82"/>
    </row>
    <row r="487" spans="2:2" ht="15.75" customHeight="1" x14ac:dyDescent="0.25">
      <c r="B487" s="82"/>
    </row>
    <row r="488" spans="2:2" ht="15.75" customHeight="1" x14ac:dyDescent="0.25">
      <c r="B488" s="82"/>
    </row>
    <row r="489" spans="2:2" ht="15.75" customHeight="1" x14ac:dyDescent="0.25">
      <c r="B489" s="82"/>
    </row>
    <row r="490" spans="2:2" ht="15.75" customHeight="1" x14ac:dyDescent="0.25">
      <c r="B490" s="82"/>
    </row>
    <row r="491" spans="2:2" ht="15.75" customHeight="1" x14ac:dyDescent="0.25">
      <c r="B491" s="82"/>
    </row>
    <row r="492" spans="2:2" ht="15.75" customHeight="1" x14ac:dyDescent="0.25">
      <c r="B492" s="82"/>
    </row>
    <row r="493" spans="2:2" ht="15.75" customHeight="1" x14ac:dyDescent="0.25">
      <c r="B493" s="82"/>
    </row>
    <row r="494" spans="2:2" ht="15.75" customHeight="1" x14ac:dyDescent="0.25">
      <c r="B494" s="82"/>
    </row>
    <row r="495" spans="2:2" ht="15.75" customHeight="1" x14ac:dyDescent="0.25">
      <c r="B495" s="82"/>
    </row>
    <row r="496" spans="2:2" ht="15.75" customHeight="1" x14ac:dyDescent="0.25">
      <c r="B496" s="82"/>
    </row>
    <row r="497" spans="2:2" ht="15.75" customHeight="1" x14ac:dyDescent="0.25">
      <c r="B497" s="82"/>
    </row>
    <row r="498" spans="2:2" ht="15.75" customHeight="1" x14ac:dyDescent="0.25">
      <c r="B498" s="82"/>
    </row>
    <row r="499" spans="2:2" ht="15.75" customHeight="1" x14ac:dyDescent="0.25">
      <c r="B499" s="82"/>
    </row>
    <row r="500" spans="2:2" ht="15.75" customHeight="1" x14ac:dyDescent="0.25">
      <c r="B500" s="82"/>
    </row>
    <row r="501" spans="2:2" ht="15.75" customHeight="1" x14ac:dyDescent="0.25">
      <c r="B501" s="82"/>
    </row>
    <row r="502" spans="2:2" ht="15.75" customHeight="1" x14ac:dyDescent="0.25">
      <c r="B502" s="82"/>
    </row>
    <row r="503" spans="2:2" ht="15.75" customHeight="1" x14ac:dyDescent="0.25">
      <c r="B503" s="82"/>
    </row>
    <row r="504" spans="2:2" ht="15.75" customHeight="1" x14ac:dyDescent="0.25">
      <c r="B504" s="82"/>
    </row>
    <row r="505" spans="2:2" ht="15.75" customHeight="1" x14ac:dyDescent="0.25">
      <c r="B505" s="82"/>
    </row>
    <row r="506" spans="2:2" ht="15.75" customHeight="1" x14ac:dyDescent="0.25">
      <c r="B506" s="82"/>
    </row>
    <row r="507" spans="2:2" ht="15.75" customHeight="1" x14ac:dyDescent="0.25">
      <c r="B507" s="82"/>
    </row>
    <row r="508" spans="2:2" ht="15.75" customHeight="1" x14ac:dyDescent="0.25">
      <c r="B508" s="82"/>
    </row>
    <row r="509" spans="2:2" ht="15.75" customHeight="1" x14ac:dyDescent="0.25">
      <c r="B509" s="82"/>
    </row>
    <row r="510" spans="2:2" ht="15.75" customHeight="1" x14ac:dyDescent="0.25">
      <c r="B510" s="82"/>
    </row>
    <row r="511" spans="2:2" ht="15.75" customHeight="1" x14ac:dyDescent="0.25">
      <c r="B511" s="82"/>
    </row>
    <row r="512" spans="2:2" ht="15.75" customHeight="1" x14ac:dyDescent="0.25">
      <c r="B512" s="82"/>
    </row>
    <row r="513" spans="2:2" ht="15.75" customHeight="1" x14ac:dyDescent="0.25">
      <c r="B513" s="82"/>
    </row>
    <row r="514" spans="2:2" ht="15.75" customHeight="1" x14ac:dyDescent="0.25">
      <c r="B514" s="82"/>
    </row>
    <row r="515" spans="2:2" ht="15.75" customHeight="1" x14ac:dyDescent="0.25">
      <c r="B515" s="82"/>
    </row>
    <row r="516" spans="2:2" ht="15.75" customHeight="1" x14ac:dyDescent="0.25">
      <c r="B516" s="82"/>
    </row>
    <row r="517" spans="2:2" ht="15.75" customHeight="1" x14ac:dyDescent="0.25">
      <c r="B517" s="82"/>
    </row>
    <row r="518" spans="2:2" ht="15.75" customHeight="1" x14ac:dyDescent="0.25">
      <c r="B518" s="82"/>
    </row>
    <row r="519" spans="2:2" ht="15.75" customHeight="1" x14ac:dyDescent="0.25">
      <c r="B519" s="82"/>
    </row>
    <row r="520" spans="2:2" ht="15.75" customHeight="1" x14ac:dyDescent="0.25">
      <c r="B520" s="82"/>
    </row>
    <row r="521" spans="2:2" ht="15.75" customHeight="1" x14ac:dyDescent="0.25">
      <c r="B521" s="82"/>
    </row>
    <row r="522" spans="2:2" ht="15.75" customHeight="1" x14ac:dyDescent="0.25">
      <c r="B522" s="82"/>
    </row>
    <row r="523" spans="2:2" ht="15.75" customHeight="1" x14ac:dyDescent="0.25">
      <c r="B523" s="82"/>
    </row>
    <row r="524" spans="2:2" ht="15.75" customHeight="1" x14ac:dyDescent="0.25">
      <c r="B524" s="82"/>
    </row>
    <row r="525" spans="2:2" ht="15.75" customHeight="1" x14ac:dyDescent="0.25">
      <c r="B525" s="82"/>
    </row>
    <row r="526" spans="2:2" ht="15.75" customHeight="1" x14ac:dyDescent="0.25">
      <c r="B526" s="82"/>
    </row>
    <row r="527" spans="2:2" ht="15.75" customHeight="1" x14ac:dyDescent="0.25">
      <c r="B527" s="82"/>
    </row>
    <row r="528" spans="2:2" ht="15.75" customHeight="1" x14ac:dyDescent="0.25">
      <c r="B528" s="82"/>
    </row>
    <row r="529" spans="2:2" ht="15.75" customHeight="1" x14ac:dyDescent="0.25">
      <c r="B529" s="82"/>
    </row>
    <row r="530" spans="2:2" ht="15.75" customHeight="1" x14ac:dyDescent="0.25">
      <c r="B530" s="82"/>
    </row>
    <row r="531" spans="2:2" ht="15.75" customHeight="1" x14ac:dyDescent="0.25">
      <c r="B531" s="82"/>
    </row>
    <row r="532" spans="2:2" ht="15.75" customHeight="1" x14ac:dyDescent="0.25">
      <c r="B532" s="82"/>
    </row>
    <row r="533" spans="2:2" ht="15.75" customHeight="1" x14ac:dyDescent="0.25">
      <c r="B533" s="82"/>
    </row>
    <row r="534" spans="2:2" ht="15.75" customHeight="1" x14ac:dyDescent="0.25">
      <c r="B534" s="82"/>
    </row>
    <row r="535" spans="2:2" ht="15.75" customHeight="1" x14ac:dyDescent="0.25">
      <c r="B535" s="82"/>
    </row>
    <row r="536" spans="2:2" ht="15.75" customHeight="1" x14ac:dyDescent="0.25">
      <c r="B536" s="82"/>
    </row>
    <row r="537" spans="2:2" ht="15.75" customHeight="1" x14ac:dyDescent="0.25">
      <c r="B537" s="82"/>
    </row>
    <row r="538" spans="2:2" ht="15.75" customHeight="1" x14ac:dyDescent="0.25">
      <c r="B538" s="82"/>
    </row>
    <row r="539" spans="2:2" ht="15.75" customHeight="1" x14ac:dyDescent="0.25">
      <c r="B539" s="82"/>
    </row>
    <row r="540" spans="2:2" ht="15.75" customHeight="1" x14ac:dyDescent="0.25">
      <c r="B540" s="82"/>
    </row>
    <row r="541" spans="2:2" ht="15.75" customHeight="1" x14ac:dyDescent="0.25">
      <c r="B541" s="82"/>
    </row>
    <row r="542" spans="2:2" ht="15.75" customHeight="1" x14ac:dyDescent="0.25">
      <c r="B542" s="82"/>
    </row>
    <row r="543" spans="2:2" ht="15.75" customHeight="1" x14ac:dyDescent="0.25">
      <c r="B543" s="82"/>
    </row>
    <row r="544" spans="2:2" ht="15.75" customHeight="1" x14ac:dyDescent="0.25">
      <c r="B544" s="82"/>
    </row>
    <row r="545" spans="2:2" ht="15.75" customHeight="1" x14ac:dyDescent="0.25">
      <c r="B545" s="82"/>
    </row>
    <row r="546" spans="2:2" ht="15.75" customHeight="1" x14ac:dyDescent="0.25">
      <c r="B546" s="82"/>
    </row>
    <row r="547" spans="2:2" ht="15.75" customHeight="1" x14ac:dyDescent="0.25">
      <c r="B547" s="82"/>
    </row>
    <row r="548" spans="2:2" ht="15.75" customHeight="1" x14ac:dyDescent="0.25">
      <c r="B548" s="82"/>
    </row>
    <row r="549" spans="2:2" ht="15.75" customHeight="1" x14ac:dyDescent="0.25">
      <c r="B549" s="82"/>
    </row>
    <row r="550" spans="2:2" ht="15.75" customHeight="1" x14ac:dyDescent="0.25">
      <c r="B550" s="82"/>
    </row>
    <row r="551" spans="2:2" ht="15.75" customHeight="1" x14ac:dyDescent="0.25">
      <c r="B551" s="82"/>
    </row>
    <row r="552" spans="2:2" ht="15.75" customHeight="1" x14ac:dyDescent="0.25">
      <c r="B552" s="82"/>
    </row>
    <row r="553" spans="2:2" ht="15.75" customHeight="1" x14ac:dyDescent="0.25">
      <c r="B553" s="82"/>
    </row>
    <row r="554" spans="2:2" ht="15.75" customHeight="1" x14ac:dyDescent="0.25">
      <c r="B554" s="82"/>
    </row>
    <row r="555" spans="2:2" ht="15.75" customHeight="1" x14ac:dyDescent="0.25">
      <c r="B555" s="82"/>
    </row>
    <row r="556" spans="2:2" ht="15.75" customHeight="1" x14ac:dyDescent="0.25">
      <c r="B556" s="82"/>
    </row>
    <row r="557" spans="2:2" ht="15.75" customHeight="1" x14ac:dyDescent="0.25">
      <c r="B557" s="82"/>
    </row>
    <row r="558" spans="2:2" ht="15.75" customHeight="1" x14ac:dyDescent="0.25">
      <c r="B558" s="82"/>
    </row>
    <row r="559" spans="2:2" ht="15.75" customHeight="1" x14ac:dyDescent="0.25">
      <c r="B559" s="82"/>
    </row>
    <row r="560" spans="2:2" ht="15.75" customHeight="1" x14ac:dyDescent="0.25">
      <c r="B560" s="82"/>
    </row>
    <row r="561" spans="2:2" ht="15.75" customHeight="1" x14ac:dyDescent="0.25">
      <c r="B561" s="82"/>
    </row>
    <row r="562" spans="2:2" ht="15.75" customHeight="1" x14ac:dyDescent="0.25">
      <c r="B562" s="82"/>
    </row>
    <row r="563" spans="2:2" ht="15.75" customHeight="1" x14ac:dyDescent="0.25">
      <c r="B563" s="82"/>
    </row>
    <row r="564" spans="2:2" ht="15.75" customHeight="1" x14ac:dyDescent="0.25">
      <c r="B564" s="82"/>
    </row>
    <row r="565" spans="2:2" ht="15.75" customHeight="1" x14ac:dyDescent="0.25">
      <c r="B565" s="82"/>
    </row>
    <row r="566" spans="2:2" ht="15.75" customHeight="1" x14ac:dyDescent="0.25">
      <c r="B566" s="82"/>
    </row>
    <row r="567" spans="2:2" ht="15.75" customHeight="1" x14ac:dyDescent="0.25">
      <c r="B567" s="82"/>
    </row>
    <row r="568" spans="2:2" ht="15.75" customHeight="1" x14ac:dyDescent="0.25">
      <c r="B568" s="82"/>
    </row>
    <row r="569" spans="2:2" ht="15.75" customHeight="1" x14ac:dyDescent="0.25">
      <c r="B569" s="82"/>
    </row>
    <row r="570" spans="2:2" ht="15.75" customHeight="1" x14ac:dyDescent="0.25">
      <c r="B570" s="82"/>
    </row>
    <row r="571" spans="2:2" ht="15.75" customHeight="1" x14ac:dyDescent="0.25">
      <c r="B571" s="82"/>
    </row>
    <row r="572" spans="2:2" ht="15.75" customHeight="1" x14ac:dyDescent="0.25">
      <c r="B572" s="82"/>
    </row>
    <row r="573" spans="2:2" ht="15.75" customHeight="1" x14ac:dyDescent="0.25">
      <c r="B573" s="82"/>
    </row>
    <row r="574" spans="2:2" ht="15.75" customHeight="1" x14ac:dyDescent="0.25">
      <c r="B574" s="82"/>
    </row>
    <row r="575" spans="2:2" ht="15.75" customHeight="1" x14ac:dyDescent="0.25">
      <c r="B575" s="82"/>
    </row>
    <row r="576" spans="2:2" ht="15.75" customHeight="1" x14ac:dyDescent="0.25">
      <c r="B576" s="82"/>
    </row>
    <row r="577" spans="2:2" ht="15.75" customHeight="1" x14ac:dyDescent="0.25">
      <c r="B577" s="82"/>
    </row>
    <row r="578" spans="2:2" ht="15.75" customHeight="1" x14ac:dyDescent="0.25">
      <c r="B578" s="82"/>
    </row>
    <row r="579" spans="2:2" ht="15.75" customHeight="1" x14ac:dyDescent="0.25">
      <c r="B579" s="82"/>
    </row>
    <row r="580" spans="2:2" ht="15.75" customHeight="1" x14ac:dyDescent="0.25">
      <c r="B580" s="82"/>
    </row>
    <row r="581" spans="2:2" ht="15.75" customHeight="1" x14ac:dyDescent="0.25">
      <c r="B581" s="82"/>
    </row>
    <row r="582" spans="2:2" ht="15.75" customHeight="1" x14ac:dyDescent="0.25">
      <c r="B582" s="82"/>
    </row>
    <row r="583" spans="2:2" ht="15.75" customHeight="1" x14ac:dyDescent="0.25">
      <c r="B583" s="82"/>
    </row>
    <row r="584" spans="2:2" ht="15.75" customHeight="1" x14ac:dyDescent="0.25">
      <c r="B584" s="82"/>
    </row>
    <row r="585" spans="2:2" ht="15.75" customHeight="1" x14ac:dyDescent="0.25">
      <c r="B585" s="82"/>
    </row>
    <row r="586" spans="2:2" ht="15.75" customHeight="1" x14ac:dyDescent="0.25">
      <c r="B586" s="82"/>
    </row>
    <row r="587" spans="2:2" ht="15.75" customHeight="1" x14ac:dyDescent="0.25">
      <c r="B587" s="82"/>
    </row>
    <row r="588" spans="2:2" ht="15.75" customHeight="1" x14ac:dyDescent="0.25">
      <c r="B588" s="82"/>
    </row>
    <row r="589" spans="2:2" ht="15.75" customHeight="1" x14ac:dyDescent="0.25">
      <c r="B589" s="82"/>
    </row>
    <row r="590" spans="2:2" ht="15.75" customHeight="1" x14ac:dyDescent="0.25">
      <c r="B590" s="82"/>
    </row>
    <row r="591" spans="2:2" ht="15.75" customHeight="1" x14ac:dyDescent="0.25">
      <c r="B591" s="82"/>
    </row>
    <row r="592" spans="2:2" ht="15.75" customHeight="1" x14ac:dyDescent="0.25">
      <c r="B592" s="82"/>
    </row>
    <row r="593" spans="2:2" ht="15.75" customHeight="1" x14ac:dyDescent="0.25">
      <c r="B593" s="82"/>
    </row>
    <row r="594" spans="2:2" ht="15.75" customHeight="1" x14ac:dyDescent="0.25">
      <c r="B594" s="82"/>
    </row>
    <row r="595" spans="2:2" ht="15.75" customHeight="1" x14ac:dyDescent="0.25">
      <c r="B595" s="82"/>
    </row>
    <row r="596" spans="2:2" ht="15.75" customHeight="1" x14ac:dyDescent="0.25">
      <c r="B596" s="82"/>
    </row>
    <row r="597" spans="2:2" ht="15.75" customHeight="1" x14ac:dyDescent="0.25">
      <c r="B597" s="82"/>
    </row>
    <row r="598" spans="2:2" ht="15.75" customHeight="1" x14ac:dyDescent="0.25">
      <c r="B598" s="82"/>
    </row>
    <row r="599" spans="2:2" ht="15.75" customHeight="1" x14ac:dyDescent="0.25">
      <c r="B599" s="82"/>
    </row>
    <row r="600" spans="2:2" ht="15.75" customHeight="1" x14ac:dyDescent="0.25">
      <c r="B600" s="82"/>
    </row>
    <row r="601" spans="2:2" ht="15.75" customHeight="1" x14ac:dyDescent="0.25">
      <c r="B601" s="82"/>
    </row>
    <row r="602" spans="2:2" ht="15.75" customHeight="1" x14ac:dyDescent="0.25">
      <c r="B602" s="82"/>
    </row>
    <row r="603" spans="2:2" ht="15.75" customHeight="1" x14ac:dyDescent="0.25">
      <c r="B603" s="82"/>
    </row>
    <row r="604" spans="2:2" ht="15.75" customHeight="1" x14ac:dyDescent="0.25">
      <c r="B604" s="82"/>
    </row>
    <row r="605" spans="2:2" ht="15.75" customHeight="1" x14ac:dyDescent="0.25">
      <c r="B605" s="82"/>
    </row>
    <row r="606" spans="2:2" ht="15.75" customHeight="1" x14ac:dyDescent="0.25">
      <c r="B606" s="82"/>
    </row>
    <row r="607" spans="2:2" ht="15.75" customHeight="1" x14ac:dyDescent="0.25">
      <c r="B607" s="82"/>
    </row>
    <row r="608" spans="2:2" ht="15.75" customHeight="1" x14ac:dyDescent="0.25">
      <c r="B608" s="82"/>
    </row>
    <row r="609" spans="2:2" ht="15.75" customHeight="1" x14ac:dyDescent="0.25">
      <c r="B609" s="82"/>
    </row>
    <row r="610" spans="2:2" ht="15.75" customHeight="1" x14ac:dyDescent="0.25">
      <c r="B610" s="82"/>
    </row>
    <row r="611" spans="2:2" ht="15.75" customHeight="1" x14ac:dyDescent="0.25">
      <c r="B611" s="82"/>
    </row>
    <row r="612" spans="2:2" ht="15.75" customHeight="1" x14ac:dyDescent="0.25">
      <c r="B612" s="82"/>
    </row>
    <row r="613" spans="2:2" ht="15.75" customHeight="1" x14ac:dyDescent="0.25">
      <c r="B613" s="82"/>
    </row>
    <row r="614" spans="2:2" ht="15.75" customHeight="1" x14ac:dyDescent="0.25">
      <c r="B614" s="82"/>
    </row>
    <row r="615" spans="2:2" ht="15.75" customHeight="1" x14ac:dyDescent="0.25">
      <c r="B615" s="82"/>
    </row>
    <row r="616" spans="2:2" ht="15.75" customHeight="1" x14ac:dyDescent="0.25">
      <c r="B616" s="82"/>
    </row>
    <row r="617" spans="2:2" ht="15.75" customHeight="1" x14ac:dyDescent="0.25">
      <c r="B617" s="82"/>
    </row>
    <row r="618" spans="2:2" ht="15.75" customHeight="1" x14ac:dyDescent="0.25">
      <c r="B618" s="82"/>
    </row>
    <row r="619" spans="2:2" ht="15.75" customHeight="1" x14ac:dyDescent="0.25">
      <c r="B619" s="82"/>
    </row>
    <row r="620" spans="2:2" ht="15.75" customHeight="1" x14ac:dyDescent="0.25">
      <c r="B620" s="82"/>
    </row>
    <row r="621" spans="2:2" ht="15.75" customHeight="1" x14ac:dyDescent="0.25">
      <c r="B621" s="82"/>
    </row>
    <row r="622" spans="2:2" ht="15.75" customHeight="1" x14ac:dyDescent="0.25">
      <c r="B622" s="82"/>
    </row>
    <row r="623" spans="2:2" ht="15.75" customHeight="1" x14ac:dyDescent="0.25">
      <c r="B623" s="82"/>
    </row>
    <row r="624" spans="2:2" ht="15.75" customHeight="1" x14ac:dyDescent="0.25">
      <c r="B624" s="82"/>
    </row>
    <row r="625" spans="2:2" ht="15.75" customHeight="1" x14ac:dyDescent="0.25">
      <c r="B625" s="82"/>
    </row>
    <row r="626" spans="2:2" ht="15.75" customHeight="1" x14ac:dyDescent="0.25">
      <c r="B626" s="82"/>
    </row>
    <row r="627" spans="2:2" ht="15.75" customHeight="1" x14ac:dyDescent="0.25">
      <c r="B627" s="82"/>
    </row>
    <row r="628" spans="2:2" ht="15.75" customHeight="1" x14ac:dyDescent="0.25">
      <c r="B628" s="82"/>
    </row>
    <row r="629" spans="2:2" ht="15.75" customHeight="1" x14ac:dyDescent="0.25">
      <c r="B629" s="82"/>
    </row>
    <row r="630" spans="2:2" ht="15.75" customHeight="1" x14ac:dyDescent="0.25">
      <c r="B630" s="82"/>
    </row>
    <row r="631" spans="2:2" ht="15.75" customHeight="1" x14ac:dyDescent="0.25">
      <c r="B631" s="82"/>
    </row>
    <row r="632" spans="2:2" ht="15.75" customHeight="1" x14ac:dyDescent="0.25">
      <c r="B632" s="82"/>
    </row>
    <row r="633" spans="2:2" ht="15.75" customHeight="1" x14ac:dyDescent="0.25">
      <c r="B633" s="82"/>
    </row>
    <row r="634" spans="2:2" ht="15.75" customHeight="1" x14ac:dyDescent="0.25">
      <c r="B634" s="82"/>
    </row>
    <row r="635" spans="2:2" ht="15.75" customHeight="1" x14ac:dyDescent="0.25">
      <c r="B635" s="82"/>
    </row>
    <row r="636" spans="2:2" ht="15.75" customHeight="1" x14ac:dyDescent="0.25">
      <c r="B636" s="82"/>
    </row>
    <row r="637" spans="2:2" ht="15.75" customHeight="1" x14ac:dyDescent="0.25">
      <c r="B637" s="82"/>
    </row>
    <row r="638" spans="2:2" ht="15.75" customHeight="1" x14ac:dyDescent="0.25">
      <c r="B638" s="82"/>
    </row>
    <row r="639" spans="2:2" ht="15.75" customHeight="1" x14ac:dyDescent="0.25">
      <c r="B639" s="82"/>
    </row>
    <row r="640" spans="2:2" ht="15.75" customHeight="1" x14ac:dyDescent="0.25">
      <c r="B640" s="82"/>
    </row>
    <row r="641" spans="2:2" ht="15.75" customHeight="1" x14ac:dyDescent="0.25">
      <c r="B641" s="82"/>
    </row>
    <row r="642" spans="2:2" ht="15.75" customHeight="1" x14ac:dyDescent="0.25">
      <c r="B642" s="82"/>
    </row>
    <row r="643" spans="2:2" ht="15.75" customHeight="1" x14ac:dyDescent="0.25">
      <c r="B643" s="82"/>
    </row>
    <row r="644" spans="2:2" ht="15.75" customHeight="1" x14ac:dyDescent="0.25">
      <c r="B644" s="82"/>
    </row>
    <row r="645" spans="2:2" ht="15.75" customHeight="1" x14ac:dyDescent="0.25">
      <c r="B645" s="82"/>
    </row>
    <row r="646" spans="2:2" ht="15.75" customHeight="1" x14ac:dyDescent="0.25">
      <c r="B646" s="82"/>
    </row>
    <row r="647" spans="2:2" ht="15.75" customHeight="1" x14ac:dyDescent="0.25">
      <c r="B647" s="82"/>
    </row>
    <row r="648" spans="2:2" ht="15.75" customHeight="1" x14ac:dyDescent="0.25">
      <c r="B648" s="82"/>
    </row>
    <row r="649" spans="2:2" ht="15.75" customHeight="1" x14ac:dyDescent="0.25">
      <c r="B649" s="82"/>
    </row>
    <row r="650" spans="2:2" ht="15.75" customHeight="1" x14ac:dyDescent="0.25">
      <c r="B650" s="82"/>
    </row>
    <row r="651" spans="2:2" ht="15.75" customHeight="1" x14ac:dyDescent="0.25">
      <c r="B651" s="82"/>
    </row>
    <row r="652" spans="2:2" ht="15.75" customHeight="1" x14ac:dyDescent="0.25">
      <c r="B652" s="82"/>
    </row>
    <row r="653" spans="2:2" ht="15.75" customHeight="1" x14ac:dyDescent="0.25">
      <c r="B653" s="82"/>
    </row>
    <row r="654" spans="2:2" ht="15.75" customHeight="1" x14ac:dyDescent="0.25">
      <c r="B654" s="82"/>
    </row>
    <row r="655" spans="2:2" ht="15.75" customHeight="1" x14ac:dyDescent="0.25">
      <c r="B655" s="82"/>
    </row>
    <row r="656" spans="2:2" ht="15.75" customHeight="1" x14ac:dyDescent="0.25">
      <c r="B656" s="82"/>
    </row>
    <row r="657" spans="2:2" ht="15.75" customHeight="1" x14ac:dyDescent="0.25">
      <c r="B657" s="82"/>
    </row>
    <row r="658" spans="2:2" ht="15.75" customHeight="1" x14ac:dyDescent="0.25">
      <c r="B658" s="82"/>
    </row>
    <row r="659" spans="2:2" ht="15.75" customHeight="1" x14ac:dyDescent="0.25">
      <c r="B659" s="82"/>
    </row>
    <row r="660" spans="2:2" ht="15.75" customHeight="1" x14ac:dyDescent="0.25">
      <c r="B660" s="82"/>
    </row>
    <row r="661" spans="2:2" ht="15.75" customHeight="1" x14ac:dyDescent="0.25">
      <c r="B661" s="82"/>
    </row>
    <row r="662" spans="2:2" ht="15.75" customHeight="1" x14ac:dyDescent="0.25">
      <c r="B662" s="82"/>
    </row>
    <row r="663" spans="2:2" ht="15.75" customHeight="1" x14ac:dyDescent="0.25">
      <c r="B663" s="82"/>
    </row>
    <row r="664" spans="2:2" ht="15.75" customHeight="1" x14ac:dyDescent="0.25">
      <c r="B664" s="82"/>
    </row>
    <row r="665" spans="2:2" ht="15.75" customHeight="1" x14ac:dyDescent="0.25">
      <c r="B665" s="82"/>
    </row>
    <row r="666" spans="2:2" ht="15.75" customHeight="1" x14ac:dyDescent="0.25">
      <c r="B666" s="82"/>
    </row>
    <row r="667" spans="2:2" ht="15.75" customHeight="1" x14ac:dyDescent="0.25">
      <c r="B667" s="82"/>
    </row>
    <row r="668" spans="2:2" ht="15.75" customHeight="1" x14ac:dyDescent="0.25">
      <c r="B668" s="82"/>
    </row>
    <row r="669" spans="2:2" ht="15.75" customHeight="1" x14ac:dyDescent="0.25">
      <c r="B669" s="82"/>
    </row>
    <row r="670" spans="2:2" ht="15.75" customHeight="1" x14ac:dyDescent="0.25">
      <c r="B670" s="82"/>
    </row>
    <row r="671" spans="2:2" ht="15.75" customHeight="1" x14ac:dyDescent="0.25">
      <c r="B671" s="82"/>
    </row>
    <row r="672" spans="2:2" ht="15.75" customHeight="1" x14ac:dyDescent="0.25">
      <c r="B672" s="82"/>
    </row>
    <row r="673" spans="2:2" ht="15.75" customHeight="1" x14ac:dyDescent="0.25">
      <c r="B673" s="82"/>
    </row>
    <row r="674" spans="2:2" ht="15.75" customHeight="1" x14ac:dyDescent="0.25">
      <c r="B674" s="82"/>
    </row>
    <row r="675" spans="2:2" ht="15.75" customHeight="1" x14ac:dyDescent="0.25">
      <c r="B675" s="82"/>
    </row>
    <row r="676" spans="2:2" ht="15.75" customHeight="1" x14ac:dyDescent="0.25">
      <c r="B676" s="82"/>
    </row>
    <row r="677" spans="2:2" ht="15.75" customHeight="1" x14ac:dyDescent="0.25">
      <c r="B677" s="82"/>
    </row>
    <row r="678" spans="2:2" ht="15.75" customHeight="1" x14ac:dyDescent="0.25">
      <c r="B678" s="82"/>
    </row>
    <row r="679" spans="2:2" ht="15.75" customHeight="1" x14ac:dyDescent="0.25">
      <c r="B679" s="82"/>
    </row>
    <row r="680" spans="2:2" ht="15.75" customHeight="1" x14ac:dyDescent="0.25">
      <c r="B680" s="82"/>
    </row>
    <row r="681" spans="2:2" ht="15.75" customHeight="1" x14ac:dyDescent="0.25">
      <c r="B681" s="82"/>
    </row>
    <row r="682" spans="2:2" ht="15.75" customHeight="1" x14ac:dyDescent="0.25">
      <c r="B682" s="82"/>
    </row>
    <row r="683" spans="2:2" ht="15.75" customHeight="1" x14ac:dyDescent="0.25">
      <c r="B683" s="82"/>
    </row>
    <row r="684" spans="2:2" ht="15.75" customHeight="1" x14ac:dyDescent="0.25">
      <c r="B684" s="82"/>
    </row>
    <row r="685" spans="2:2" ht="15.75" customHeight="1" x14ac:dyDescent="0.25">
      <c r="B685" s="82"/>
    </row>
    <row r="686" spans="2:2" ht="15.75" customHeight="1" x14ac:dyDescent="0.25">
      <c r="B686" s="82"/>
    </row>
    <row r="687" spans="2:2" ht="15.75" customHeight="1" x14ac:dyDescent="0.25">
      <c r="B687" s="82"/>
    </row>
    <row r="688" spans="2:2" ht="15.75" customHeight="1" x14ac:dyDescent="0.25">
      <c r="B688" s="82"/>
    </row>
    <row r="689" spans="2:2" ht="15.75" customHeight="1" x14ac:dyDescent="0.25">
      <c r="B689" s="82"/>
    </row>
    <row r="690" spans="2:2" ht="15.75" customHeight="1" x14ac:dyDescent="0.25">
      <c r="B690" s="82"/>
    </row>
    <row r="691" spans="2:2" ht="15.75" customHeight="1" x14ac:dyDescent="0.25">
      <c r="B691" s="82"/>
    </row>
    <row r="692" spans="2:2" ht="15.75" customHeight="1" x14ac:dyDescent="0.25">
      <c r="B692" s="82"/>
    </row>
    <row r="693" spans="2:2" ht="15.75" customHeight="1" x14ac:dyDescent="0.25">
      <c r="B693" s="82"/>
    </row>
    <row r="694" spans="2:2" ht="15.75" customHeight="1" x14ac:dyDescent="0.25">
      <c r="B694" s="82"/>
    </row>
    <row r="695" spans="2:2" ht="15.75" customHeight="1" x14ac:dyDescent="0.25">
      <c r="B695" s="82"/>
    </row>
    <row r="696" spans="2:2" ht="15.75" customHeight="1" x14ac:dyDescent="0.25">
      <c r="B696" s="82"/>
    </row>
    <row r="697" spans="2:2" ht="15.75" customHeight="1" x14ac:dyDescent="0.25">
      <c r="B697" s="82"/>
    </row>
    <row r="698" spans="2:2" ht="15.75" customHeight="1" x14ac:dyDescent="0.25">
      <c r="B698" s="82"/>
    </row>
    <row r="699" spans="2:2" ht="15.75" customHeight="1" x14ac:dyDescent="0.25">
      <c r="B699" s="82"/>
    </row>
    <row r="700" spans="2:2" ht="15.75" customHeight="1" x14ac:dyDescent="0.25">
      <c r="B700" s="82"/>
    </row>
    <row r="701" spans="2:2" ht="15.75" customHeight="1" x14ac:dyDescent="0.25">
      <c r="B701" s="82"/>
    </row>
    <row r="702" spans="2:2" ht="15.75" customHeight="1" x14ac:dyDescent="0.25">
      <c r="B702" s="82"/>
    </row>
    <row r="703" spans="2:2" ht="15.75" customHeight="1" x14ac:dyDescent="0.25">
      <c r="B703" s="82"/>
    </row>
    <row r="704" spans="2:2" ht="15.75" customHeight="1" x14ac:dyDescent="0.25">
      <c r="B704" s="82"/>
    </row>
    <row r="705" spans="2:2" ht="15.75" customHeight="1" x14ac:dyDescent="0.25">
      <c r="B705" s="82"/>
    </row>
    <row r="706" spans="2:2" ht="15.75" customHeight="1" x14ac:dyDescent="0.25">
      <c r="B706" s="82"/>
    </row>
    <row r="707" spans="2:2" ht="15.75" customHeight="1" x14ac:dyDescent="0.25">
      <c r="B707" s="82"/>
    </row>
    <row r="708" spans="2:2" ht="15.75" customHeight="1" x14ac:dyDescent="0.25">
      <c r="B708" s="82"/>
    </row>
    <row r="709" spans="2:2" ht="15.75" customHeight="1" x14ac:dyDescent="0.25">
      <c r="B709" s="82"/>
    </row>
    <row r="710" spans="2:2" ht="15.75" customHeight="1" x14ac:dyDescent="0.25">
      <c r="B710" s="82"/>
    </row>
    <row r="711" spans="2:2" ht="15.75" customHeight="1" x14ac:dyDescent="0.25">
      <c r="B711" s="82"/>
    </row>
    <row r="712" spans="2:2" ht="15.75" customHeight="1" x14ac:dyDescent="0.25">
      <c r="B712" s="82"/>
    </row>
    <row r="713" spans="2:2" ht="15.75" customHeight="1" x14ac:dyDescent="0.25">
      <c r="B713" s="82"/>
    </row>
    <row r="714" spans="2:2" ht="15.75" customHeight="1" x14ac:dyDescent="0.25">
      <c r="B714" s="82"/>
    </row>
    <row r="715" spans="2:2" ht="15.75" customHeight="1" x14ac:dyDescent="0.25">
      <c r="B715" s="82"/>
    </row>
    <row r="716" spans="2:2" ht="15.75" customHeight="1" x14ac:dyDescent="0.25">
      <c r="B716" s="82"/>
    </row>
    <row r="717" spans="2:2" ht="15.75" customHeight="1" x14ac:dyDescent="0.25">
      <c r="B717" s="82"/>
    </row>
    <row r="718" spans="2:2" ht="15.75" customHeight="1" x14ac:dyDescent="0.25">
      <c r="B718" s="82"/>
    </row>
    <row r="719" spans="2:2" ht="15.75" customHeight="1" x14ac:dyDescent="0.25">
      <c r="B719" s="82"/>
    </row>
    <row r="720" spans="2:2" ht="15.75" customHeight="1" x14ac:dyDescent="0.25">
      <c r="B720" s="82"/>
    </row>
    <row r="721" spans="2:2" ht="15.75" customHeight="1" x14ac:dyDescent="0.25">
      <c r="B721" s="82"/>
    </row>
    <row r="722" spans="2:2" ht="15.75" customHeight="1" x14ac:dyDescent="0.25">
      <c r="B722" s="82"/>
    </row>
    <row r="723" spans="2:2" ht="15.75" customHeight="1" x14ac:dyDescent="0.25">
      <c r="B723" s="82"/>
    </row>
    <row r="724" spans="2:2" ht="15.75" customHeight="1" x14ac:dyDescent="0.25">
      <c r="B724" s="82"/>
    </row>
    <row r="725" spans="2:2" ht="15.75" customHeight="1" x14ac:dyDescent="0.25">
      <c r="B725" s="82"/>
    </row>
    <row r="726" spans="2:2" ht="15.75" customHeight="1" x14ac:dyDescent="0.25">
      <c r="B726" s="82"/>
    </row>
    <row r="727" spans="2:2" ht="15.75" customHeight="1" x14ac:dyDescent="0.25">
      <c r="B727" s="82"/>
    </row>
    <row r="728" spans="2:2" ht="15.75" customHeight="1" x14ac:dyDescent="0.25">
      <c r="B728" s="82"/>
    </row>
    <row r="729" spans="2:2" ht="15.75" customHeight="1" x14ac:dyDescent="0.25">
      <c r="B729" s="82"/>
    </row>
    <row r="730" spans="2:2" ht="15.75" customHeight="1" x14ac:dyDescent="0.25">
      <c r="B730" s="82"/>
    </row>
    <row r="731" spans="2:2" ht="15.75" customHeight="1" x14ac:dyDescent="0.25">
      <c r="B731" s="82"/>
    </row>
    <row r="732" spans="2:2" ht="15.75" customHeight="1" x14ac:dyDescent="0.25">
      <c r="B732" s="82"/>
    </row>
    <row r="733" spans="2:2" ht="15.75" customHeight="1" x14ac:dyDescent="0.25">
      <c r="B733" s="82"/>
    </row>
    <row r="734" spans="2:2" ht="15.75" customHeight="1" x14ac:dyDescent="0.25">
      <c r="B734" s="82"/>
    </row>
    <row r="735" spans="2:2" ht="15.75" customHeight="1" x14ac:dyDescent="0.25">
      <c r="B735" s="82"/>
    </row>
    <row r="736" spans="2:2" ht="15.75" customHeight="1" x14ac:dyDescent="0.25">
      <c r="B736" s="82"/>
    </row>
    <row r="737" spans="2:2" ht="15.75" customHeight="1" x14ac:dyDescent="0.25">
      <c r="B737" s="82"/>
    </row>
    <row r="738" spans="2:2" ht="15.75" customHeight="1" x14ac:dyDescent="0.25">
      <c r="B738" s="82"/>
    </row>
    <row r="739" spans="2:2" ht="15.75" customHeight="1" x14ac:dyDescent="0.25">
      <c r="B739" s="82"/>
    </row>
    <row r="740" spans="2:2" ht="15.75" customHeight="1" x14ac:dyDescent="0.25">
      <c r="B740" s="82"/>
    </row>
    <row r="741" spans="2:2" ht="15.75" customHeight="1" x14ac:dyDescent="0.25">
      <c r="B741" s="82"/>
    </row>
    <row r="742" spans="2:2" ht="15.75" customHeight="1" x14ac:dyDescent="0.25">
      <c r="B742" s="82"/>
    </row>
    <row r="743" spans="2:2" ht="15.75" customHeight="1" x14ac:dyDescent="0.25">
      <c r="B743" s="82"/>
    </row>
    <row r="744" spans="2:2" ht="15.75" customHeight="1" x14ac:dyDescent="0.25">
      <c r="B744" s="82"/>
    </row>
    <row r="745" spans="2:2" ht="15.75" customHeight="1" x14ac:dyDescent="0.25">
      <c r="B745" s="82"/>
    </row>
    <row r="746" spans="2:2" ht="15.75" customHeight="1" x14ac:dyDescent="0.25">
      <c r="B746" s="82"/>
    </row>
    <row r="747" spans="2:2" ht="15.75" customHeight="1" x14ac:dyDescent="0.25">
      <c r="B747" s="82"/>
    </row>
    <row r="748" spans="2:2" ht="15.75" customHeight="1" x14ac:dyDescent="0.25">
      <c r="B748" s="82"/>
    </row>
    <row r="749" spans="2:2" ht="15.75" customHeight="1" x14ac:dyDescent="0.25">
      <c r="B749" s="82"/>
    </row>
    <row r="750" spans="2:2" ht="15.75" customHeight="1" x14ac:dyDescent="0.25">
      <c r="B750" s="82"/>
    </row>
    <row r="751" spans="2:2" ht="15.75" customHeight="1" x14ac:dyDescent="0.25">
      <c r="B751" s="82"/>
    </row>
    <row r="752" spans="2:2" ht="15.75" customHeight="1" x14ac:dyDescent="0.25">
      <c r="B752" s="82"/>
    </row>
    <row r="753" spans="2:2" ht="15.75" customHeight="1" x14ac:dyDescent="0.25">
      <c r="B753" s="82"/>
    </row>
    <row r="754" spans="2:2" ht="15.75" customHeight="1" x14ac:dyDescent="0.25">
      <c r="B754" s="82"/>
    </row>
    <row r="755" spans="2:2" ht="15.75" customHeight="1" x14ac:dyDescent="0.25">
      <c r="B755" s="82"/>
    </row>
    <row r="756" spans="2:2" ht="15.75" customHeight="1" x14ac:dyDescent="0.25">
      <c r="B756" s="82"/>
    </row>
    <row r="757" spans="2:2" ht="15.75" customHeight="1" x14ac:dyDescent="0.25">
      <c r="B757" s="82"/>
    </row>
    <row r="758" spans="2:2" ht="15.75" customHeight="1" x14ac:dyDescent="0.25">
      <c r="B758" s="82"/>
    </row>
    <row r="759" spans="2:2" ht="15.75" customHeight="1" x14ac:dyDescent="0.25">
      <c r="B759" s="82"/>
    </row>
    <row r="760" spans="2:2" ht="15.75" customHeight="1" x14ac:dyDescent="0.25">
      <c r="B760" s="82"/>
    </row>
    <row r="761" spans="2:2" ht="15.75" customHeight="1" x14ac:dyDescent="0.25">
      <c r="B761" s="82"/>
    </row>
    <row r="762" spans="2:2" ht="15.75" customHeight="1" x14ac:dyDescent="0.25">
      <c r="B762" s="82"/>
    </row>
    <row r="763" spans="2:2" ht="15.75" customHeight="1" x14ac:dyDescent="0.25">
      <c r="B763" s="82"/>
    </row>
    <row r="764" spans="2:2" ht="15.75" customHeight="1" x14ac:dyDescent="0.25">
      <c r="B764" s="82"/>
    </row>
    <row r="765" spans="2:2" ht="15.75" customHeight="1" x14ac:dyDescent="0.25">
      <c r="B765" s="82"/>
    </row>
    <row r="766" spans="2:2" ht="15.75" customHeight="1" x14ac:dyDescent="0.25">
      <c r="B766" s="82"/>
    </row>
    <row r="767" spans="2:2" ht="15.75" customHeight="1" x14ac:dyDescent="0.25">
      <c r="B767" s="82"/>
    </row>
    <row r="768" spans="2:2" ht="15.75" customHeight="1" x14ac:dyDescent="0.25">
      <c r="B768" s="82"/>
    </row>
    <row r="769" spans="2:2" ht="15.75" customHeight="1" x14ac:dyDescent="0.25">
      <c r="B769" s="82"/>
    </row>
    <row r="770" spans="2:2" ht="15.75" customHeight="1" x14ac:dyDescent="0.25">
      <c r="B770" s="82"/>
    </row>
    <row r="771" spans="2:2" ht="15.75" customHeight="1" x14ac:dyDescent="0.25">
      <c r="B771" s="82"/>
    </row>
    <row r="772" spans="2:2" ht="15.75" customHeight="1" x14ac:dyDescent="0.25">
      <c r="B772" s="82"/>
    </row>
    <row r="773" spans="2:2" ht="15.75" customHeight="1" x14ac:dyDescent="0.25">
      <c r="B773" s="82"/>
    </row>
    <row r="774" spans="2:2" ht="15.75" customHeight="1" x14ac:dyDescent="0.25">
      <c r="B774" s="82"/>
    </row>
    <row r="775" spans="2:2" ht="15.75" customHeight="1" x14ac:dyDescent="0.25">
      <c r="B775" s="82"/>
    </row>
    <row r="776" spans="2:2" ht="15.75" customHeight="1" x14ac:dyDescent="0.25">
      <c r="B776" s="82"/>
    </row>
    <row r="777" spans="2:2" ht="15.75" customHeight="1" x14ac:dyDescent="0.25">
      <c r="B777" s="82"/>
    </row>
    <row r="778" spans="2:2" ht="15.75" customHeight="1" x14ac:dyDescent="0.25">
      <c r="B778" s="82"/>
    </row>
    <row r="779" spans="2:2" ht="15.75" customHeight="1" x14ac:dyDescent="0.25">
      <c r="B779" s="82"/>
    </row>
    <row r="780" spans="2:2" ht="15.75" customHeight="1" x14ac:dyDescent="0.25">
      <c r="B780" s="82"/>
    </row>
    <row r="781" spans="2:2" ht="15.75" customHeight="1" x14ac:dyDescent="0.25">
      <c r="B781" s="82"/>
    </row>
    <row r="782" spans="2:2" ht="15.75" customHeight="1" x14ac:dyDescent="0.25">
      <c r="B782" s="82"/>
    </row>
    <row r="783" spans="2:2" ht="15.75" customHeight="1" x14ac:dyDescent="0.25">
      <c r="B783" s="82"/>
    </row>
    <row r="784" spans="2:2" ht="15.75" customHeight="1" x14ac:dyDescent="0.25">
      <c r="B784" s="82"/>
    </row>
    <row r="785" spans="2:2" ht="15.75" customHeight="1" x14ac:dyDescent="0.25">
      <c r="B785" s="82"/>
    </row>
    <row r="786" spans="2:2" ht="15.75" customHeight="1" x14ac:dyDescent="0.25">
      <c r="B786" s="82"/>
    </row>
    <row r="787" spans="2:2" ht="15.75" customHeight="1" x14ac:dyDescent="0.25">
      <c r="B787" s="82"/>
    </row>
    <row r="788" spans="2:2" ht="15.75" customHeight="1" x14ac:dyDescent="0.25">
      <c r="B788" s="82"/>
    </row>
    <row r="789" spans="2:2" ht="15.75" customHeight="1" x14ac:dyDescent="0.25">
      <c r="B789" s="82"/>
    </row>
    <row r="790" spans="2:2" ht="15.75" customHeight="1" x14ac:dyDescent="0.25">
      <c r="B790" s="82"/>
    </row>
    <row r="791" spans="2:2" ht="15.75" customHeight="1" x14ac:dyDescent="0.25">
      <c r="B791" s="82"/>
    </row>
    <row r="792" spans="2:2" ht="15.75" customHeight="1" x14ac:dyDescent="0.25">
      <c r="B792" s="82"/>
    </row>
    <row r="793" spans="2:2" ht="15.75" customHeight="1" x14ac:dyDescent="0.25">
      <c r="B793" s="82"/>
    </row>
    <row r="794" spans="2:2" ht="15.75" customHeight="1" x14ac:dyDescent="0.25">
      <c r="B794" s="82"/>
    </row>
    <row r="795" spans="2:2" ht="15.75" customHeight="1" x14ac:dyDescent="0.25">
      <c r="B795" s="82"/>
    </row>
    <row r="796" spans="2:2" ht="15.75" customHeight="1" x14ac:dyDescent="0.25">
      <c r="B796" s="82"/>
    </row>
    <row r="797" spans="2:2" ht="15.75" customHeight="1" x14ac:dyDescent="0.25">
      <c r="B797" s="82"/>
    </row>
    <row r="798" spans="2:2" ht="15.75" customHeight="1" x14ac:dyDescent="0.25">
      <c r="B798" s="82"/>
    </row>
    <row r="799" spans="2:2" ht="15.75" customHeight="1" x14ac:dyDescent="0.25">
      <c r="B799" s="82"/>
    </row>
    <row r="800" spans="2:2" ht="15.75" customHeight="1" x14ac:dyDescent="0.25">
      <c r="B800" s="82"/>
    </row>
    <row r="801" spans="2:2" ht="15.75" customHeight="1" x14ac:dyDescent="0.25">
      <c r="B801" s="82"/>
    </row>
    <row r="802" spans="2:2" ht="15.75" customHeight="1" x14ac:dyDescent="0.25">
      <c r="B802" s="82"/>
    </row>
    <row r="803" spans="2:2" ht="15.75" customHeight="1" x14ac:dyDescent="0.25">
      <c r="B803" s="82"/>
    </row>
    <row r="804" spans="2:2" ht="15.75" customHeight="1" x14ac:dyDescent="0.25">
      <c r="B804" s="82"/>
    </row>
    <row r="805" spans="2:2" ht="15.75" customHeight="1" x14ac:dyDescent="0.25">
      <c r="B805" s="82"/>
    </row>
    <row r="806" spans="2:2" ht="15.75" customHeight="1" x14ac:dyDescent="0.25">
      <c r="B806" s="82"/>
    </row>
    <row r="807" spans="2:2" ht="15.75" customHeight="1" x14ac:dyDescent="0.25">
      <c r="B807" s="82"/>
    </row>
    <row r="808" spans="2:2" ht="15.75" customHeight="1" x14ac:dyDescent="0.25">
      <c r="B808" s="82"/>
    </row>
    <row r="809" spans="2:2" ht="15.75" customHeight="1" x14ac:dyDescent="0.25">
      <c r="B809" s="82"/>
    </row>
    <row r="810" spans="2:2" ht="15.75" customHeight="1" x14ac:dyDescent="0.25">
      <c r="B810" s="82"/>
    </row>
    <row r="811" spans="2:2" ht="15.75" customHeight="1" x14ac:dyDescent="0.25">
      <c r="B811" s="82"/>
    </row>
    <row r="812" spans="2:2" ht="15.75" customHeight="1" x14ac:dyDescent="0.25">
      <c r="B812" s="82"/>
    </row>
    <row r="813" spans="2:2" ht="15.75" customHeight="1" x14ac:dyDescent="0.25">
      <c r="B813" s="82"/>
    </row>
    <row r="814" spans="2:2" ht="15.75" customHeight="1" x14ac:dyDescent="0.25">
      <c r="B814" s="82"/>
    </row>
    <row r="815" spans="2:2" ht="15.75" customHeight="1" x14ac:dyDescent="0.25">
      <c r="B815" s="82"/>
    </row>
    <row r="816" spans="2:2" ht="15.75" customHeight="1" x14ac:dyDescent="0.25">
      <c r="B816" s="82"/>
    </row>
    <row r="817" spans="2:2" ht="15.75" customHeight="1" x14ac:dyDescent="0.25">
      <c r="B817" s="82"/>
    </row>
    <row r="818" spans="2:2" ht="15.75" customHeight="1" x14ac:dyDescent="0.25">
      <c r="B818" s="82"/>
    </row>
    <row r="819" spans="2:2" ht="15.75" customHeight="1" x14ac:dyDescent="0.25">
      <c r="B819" s="82"/>
    </row>
    <row r="820" spans="2:2" ht="15.75" customHeight="1" x14ac:dyDescent="0.25">
      <c r="B820" s="82"/>
    </row>
    <row r="821" spans="2:2" ht="15.75" customHeight="1" x14ac:dyDescent="0.25">
      <c r="B821" s="82"/>
    </row>
    <row r="822" spans="2:2" ht="15.75" customHeight="1" x14ac:dyDescent="0.25">
      <c r="B822" s="82"/>
    </row>
    <row r="823" spans="2:2" ht="15.75" customHeight="1" x14ac:dyDescent="0.25">
      <c r="B823" s="82"/>
    </row>
    <row r="824" spans="2:2" ht="15.75" customHeight="1" x14ac:dyDescent="0.25">
      <c r="B824" s="82"/>
    </row>
    <row r="825" spans="2:2" ht="15.75" customHeight="1" x14ac:dyDescent="0.25">
      <c r="B825" s="82"/>
    </row>
    <row r="826" spans="2:2" ht="15.75" customHeight="1" x14ac:dyDescent="0.25">
      <c r="B826" s="82"/>
    </row>
    <row r="827" spans="2:2" ht="15.75" customHeight="1" x14ac:dyDescent="0.25">
      <c r="B827" s="82"/>
    </row>
    <row r="828" spans="2:2" ht="15.75" customHeight="1" x14ac:dyDescent="0.25">
      <c r="B828" s="82"/>
    </row>
    <row r="829" spans="2:2" ht="15.75" customHeight="1" x14ac:dyDescent="0.25">
      <c r="B829" s="82"/>
    </row>
    <row r="830" spans="2:2" ht="15.75" customHeight="1" x14ac:dyDescent="0.25">
      <c r="B830" s="82"/>
    </row>
    <row r="831" spans="2:2" ht="15.75" customHeight="1" x14ac:dyDescent="0.25">
      <c r="B831" s="82"/>
    </row>
    <row r="832" spans="2:2" ht="15.75" customHeight="1" x14ac:dyDescent="0.25">
      <c r="B832" s="82"/>
    </row>
    <row r="833" spans="2:2" ht="15.75" customHeight="1" x14ac:dyDescent="0.25">
      <c r="B833" s="82"/>
    </row>
    <row r="834" spans="2:2" ht="15.75" customHeight="1" x14ac:dyDescent="0.25">
      <c r="B834" s="82"/>
    </row>
    <row r="835" spans="2:2" ht="15.75" customHeight="1" x14ac:dyDescent="0.25">
      <c r="B835" s="82"/>
    </row>
    <row r="836" spans="2:2" ht="15.75" customHeight="1" x14ac:dyDescent="0.25">
      <c r="B836" s="82"/>
    </row>
    <row r="837" spans="2:2" ht="15.75" customHeight="1" x14ac:dyDescent="0.25">
      <c r="B837" s="82"/>
    </row>
    <row r="838" spans="2:2" ht="15.75" customHeight="1" x14ac:dyDescent="0.25">
      <c r="B838" s="82"/>
    </row>
    <row r="839" spans="2:2" ht="15.75" customHeight="1" x14ac:dyDescent="0.25">
      <c r="B839" s="82"/>
    </row>
    <row r="840" spans="2:2" ht="15.75" customHeight="1" x14ac:dyDescent="0.25">
      <c r="B840" s="82"/>
    </row>
    <row r="841" spans="2:2" ht="15.75" customHeight="1" x14ac:dyDescent="0.25">
      <c r="B841" s="82"/>
    </row>
    <row r="842" spans="2:2" ht="15.75" customHeight="1" x14ac:dyDescent="0.25">
      <c r="B842" s="82"/>
    </row>
    <row r="843" spans="2:2" ht="15.75" customHeight="1" x14ac:dyDescent="0.25">
      <c r="B843" s="82"/>
    </row>
    <row r="844" spans="2:2" ht="15.75" customHeight="1" x14ac:dyDescent="0.25">
      <c r="B844" s="82"/>
    </row>
    <row r="845" spans="2:2" ht="15.75" customHeight="1" x14ac:dyDescent="0.25">
      <c r="B845" s="82"/>
    </row>
    <row r="846" spans="2:2" ht="15.75" customHeight="1" x14ac:dyDescent="0.25">
      <c r="B846" s="82"/>
    </row>
    <row r="847" spans="2:2" ht="15.75" customHeight="1" x14ac:dyDescent="0.25">
      <c r="B847" s="82"/>
    </row>
    <row r="848" spans="2:2" ht="15.75" customHeight="1" x14ac:dyDescent="0.25">
      <c r="B848" s="82"/>
    </row>
    <row r="849" spans="2:2" ht="15.75" customHeight="1" x14ac:dyDescent="0.25">
      <c r="B849" s="82"/>
    </row>
    <row r="850" spans="2:2" ht="15.75" customHeight="1" x14ac:dyDescent="0.25">
      <c r="B850" s="82"/>
    </row>
    <row r="851" spans="2:2" ht="15.75" customHeight="1" x14ac:dyDescent="0.25">
      <c r="B851" s="82"/>
    </row>
    <row r="852" spans="2:2" ht="15.75" customHeight="1" x14ac:dyDescent="0.25">
      <c r="B852" s="82"/>
    </row>
    <row r="853" spans="2:2" ht="15.75" customHeight="1" x14ac:dyDescent="0.25">
      <c r="B853" s="82"/>
    </row>
    <row r="854" spans="2:2" ht="15.75" customHeight="1" x14ac:dyDescent="0.25">
      <c r="B854" s="82"/>
    </row>
    <row r="855" spans="2:2" ht="15.75" customHeight="1" x14ac:dyDescent="0.25">
      <c r="B855" s="82"/>
    </row>
    <row r="856" spans="2:2" ht="15.75" customHeight="1" x14ac:dyDescent="0.25">
      <c r="B856" s="82"/>
    </row>
    <row r="857" spans="2:2" ht="15.75" customHeight="1" x14ac:dyDescent="0.25">
      <c r="B857" s="82"/>
    </row>
    <row r="858" spans="2:2" ht="15.75" customHeight="1" x14ac:dyDescent="0.25">
      <c r="B858" s="82"/>
    </row>
    <row r="859" spans="2:2" ht="15.75" customHeight="1" x14ac:dyDescent="0.25">
      <c r="B859" s="82"/>
    </row>
    <row r="860" spans="2:2" ht="15.75" customHeight="1" x14ac:dyDescent="0.25">
      <c r="B860" s="82"/>
    </row>
    <row r="861" spans="2:2" ht="15.75" customHeight="1" x14ac:dyDescent="0.25">
      <c r="B861" s="82"/>
    </row>
    <row r="862" spans="2:2" ht="15.75" customHeight="1" x14ac:dyDescent="0.25">
      <c r="B862" s="82"/>
    </row>
    <row r="863" spans="2:2" ht="15.75" customHeight="1" x14ac:dyDescent="0.25">
      <c r="B863" s="82"/>
    </row>
    <row r="864" spans="2:2" ht="15.75" customHeight="1" x14ac:dyDescent="0.25">
      <c r="B864" s="82"/>
    </row>
    <row r="865" spans="2:2" ht="15.75" customHeight="1" x14ac:dyDescent="0.25">
      <c r="B865" s="82"/>
    </row>
    <row r="866" spans="2:2" ht="15.75" customHeight="1" x14ac:dyDescent="0.25">
      <c r="B866" s="82"/>
    </row>
    <row r="867" spans="2:2" ht="15.75" customHeight="1" x14ac:dyDescent="0.25">
      <c r="B867" s="82"/>
    </row>
    <row r="868" spans="2:2" ht="15.75" customHeight="1" x14ac:dyDescent="0.25">
      <c r="B868" s="82"/>
    </row>
    <row r="869" spans="2:2" ht="15.75" customHeight="1" x14ac:dyDescent="0.25">
      <c r="B869" s="82"/>
    </row>
    <row r="870" spans="2:2" ht="15.75" customHeight="1" x14ac:dyDescent="0.25">
      <c r="B870" s="82"/>
    </row>
    <row r="871" spans="2:2" ht="15.75" customHeight="1" x14ac:dyDescent="0.25">
      <c r="B871" s="82"/>
    </row>
    <row r="872" spans="2:2" ht="15.75" customHeight="1" x14ac:dyDescent="0.25">
      <c r="B872" s="82"/>
    </row>
    <row r="873" spans="2:2" ht="15.75" customHeight="1" x14ac:dyDescent="0.25">
      <c r="B873" s="82"/>
    </row>
    <row r="874" spans="2:2" ht="15.75" customHeight="1" x14ac:dyDescent="0.25">
      <c r="B874" s="82"/>
    </row>
    <row r="875" spans="2:2" ht="15.75" customHeight="1" x14ac:dyDescent="0.25">
      <c r="B875" s="82"/>
    </row>
    <row r="876" spans="2:2" ht="15.75" customHeight="1" x14ac:dyDescent="0.25">
      <c r="B876" s="82"/>
    </row>
    <row r="877" spans="2:2" ht="15.75" customHeight="1" x14ac:dyDescent="0.25">
      <c r="B877" s="82"/>
    </row>
    <row r="878" spans="2:2" ht="15.75" customHeight="1" x14ac:dyDescent="0.25">
      <c r="B878" s="82"/>
    </row>
    <row r="879" spans="2:2" ht="15.75" customHeight="1" x14ac:dyDescent="0.25">
      <c r="B879" s="82"/>
    </row>
    <row r="880" spans="2:2" ht="15.75" customHeight="1" x14ac:dyDescent="0.25">
      <c r="B880" s="82"/>
    </row>
    <row r="881" spans="2:2" ht="15.75" customHeight="1" x14ac:dyDescent="0.25">
      <c r="B881" s="82"/>
    </row>
    <row r="882" spans="2:2" ht="15.75" customHeight="1" x14ac:dyDescent="0.25">
      <c r="B882" s="82"/>
    </row>
    <row r="883" spans="2:2" ht="15.75" customHeight="1" x14ac:dyDescent="0.25">
      <c r="B883" s="82"/>
    </row>
    <row r="884" spans="2:2" ht="15.75" customHeight="1" x14ac:dyDescent="0.25">
      <c r="B884" s="82"/>
    </row>
    <row r="885" spans="2:2" ht="15.75" customHeight="1" x14ac:dyDescent="0.25">
      <c r="B885" s="82"/>
    </row>
    <row r="886" spans="2:2" ht="15.75" customHeight="1" x14ac:dyDescent="0.25">
      <c r="B886" s="82"/>
    </row>
    <row r="887" spans="2:2" ht="15.75" customHeight="1" x14ac:dyDescent="0.25">
      <c r="B887" s="82"/>
    </row>
    <row r="888" spans="2:2" ht="15.75" customHeight="1" x14ac:dyDescent="0.25">
      <c r="B888" s="82"/>
    </row>
    <row r="889" spans="2:2" ht="15.75" customHeight="1" x14ac:dyDescent="0.25">
      <c r="B889" s="82"/>
    </row>
    <row r="890" spans="2:2" ht="15.75" customHeight="1" x14ac:dyDescent="0.25">
      <c r="B890" s="82"/>
    </row>
    <row r="891" spans="2:2" ht="15.75" customHeight="1" x14ac:dyDescent="0.25">
      <c r="B891" s="82"/>
    </row>
    <row r="892" spans="2:2" ht="15.75" customHeight="1" x14ac:dyDescent="0.25">
      <c r="B892" s="82"/>
    </row>
    <row r="893" spans="2:2" ht="15.75" customHeight="1" x14ac:dyDescent="0.25">
      <c r="B893" s="82"/>
    </row>
    <row r="894" spans="2:2" ht="15.75" customHeight="1" x14ac:dyDescent="0.25">
      <c r="B894" s="82"/>
    </row>
    <row r="895" spans="2:2" ht="15.75" customHeight="1" x14ac:dyDescent="0.25">
      <c r="B895" s="82"/>
    </row>
    <row r="896" spans="2:2" ht="15.75" customHeight="1" x14ac:dyDescent="0.25">
      <c r="B896" s="82"/>
    </row>
    <row r="897" spans="2:2" ht="15.75" customHeight="1" x14ac:dyDescent="0.25">
      <c r="B897" s="82"/>
    </row>
    <row r="898" spans="2:2" ht="15.75" customHeight="1" x14ac:dyDescent="0.25">
      <c r="B898" s="82"/>
    </row>
    <row r="899" spans="2:2" ht="15.75" customHeight="1" x14ac:dyDescent="0.25">
      <c r="B899" s="82"/>
    </row>
    <row r="900" spans="2:2" ht="15.75" customHeight="1" x14ac:dyDescent="0.25">
      <c r="B900" s="82"/>
    </row>
    <row r="901" spans="2:2" ht="15.75" customHeight="1" x14ac:dyDescent="0.25">
      <c r="B901" s="82"/>
    </row>
    <row r="902" spans="2:2" ht="15.75" customHeight="1" x14ac:dyDescent="0.25">
      <c r="B902" s="82"/>
    </row>
    <row r="903" spans="2:2" ht="15.75" customHeight="1" x14ac:dyDescent="0.25">
      <c r="B903" s="82"/>
    </row>
    <row r="904" spans="2:2" ht="15.75" customHeight="1" x14ac:dyDescent="0.25">
      <c r="B904" s="82"/>
    </row>
    <row r="905" spans="2:2" ht="15.75" customHeight="1" x14ac:dyDescent="0.25">
      <c r="B905" s="82"/>
    </row>
    <row r="906" spans="2:2" ht="15.75" customHeight="1" x14ac:dyDescent="0.25">
      <c r="B906" s="82"/>
    </row>
    <row r="907" spans="2:2" ht="15.75" customHeight="1" x14ac:dyDescent="0.25">
      <c r="B907" s="82"/>
    </row>
    <row r="908" spans="2:2" ht="15.75" customHeight="1" x14ac:dyDescent="0.25">
      <c r="B908" s="82"/>
    </row>
    <row r="909" spans="2:2" ht="15.75" customHeight="1" x14ac:dyDescent="0.25">
      <c r="B909" s="82"/>
    </row>
    <row r="910" spans="2:2" ht="15.75" customHeight="1" x14ac:dyDescent="0.25">
      <c r="B910" s="82"/>
    </row>
    <row r="911" spans="2:2" ht="15.75" customHeight="1" x14ac:dyDescent="0.25">
      <c r="B911" s="82"/>
    </row>
    <row r="912" spans="2:2" ht="15.75" customHeight="1" x14ac:dyDescent="0.25">
      <c r="B912" s="82"/>
    </row>
    <row r="913" spans="2:2" ht="15.75" customHeight="1" x14ac:dyDescent="0.25">
      <c r="B913" s="82"/>
    </row>
    <row r="914" spans="2:2" ht="15.75" customHeight="1" x14ac:dyDescent="0.25">
      <c r="B914" s="82"/>
    </row>
    <row r="915" spans="2:2" ht="15.75" customHeight="1" x14ac:dyDescent="0.25">
      <c r="B915" s="82"/>
    </row>
    <row r="916" spans="2:2" ht="15.75" customHeight="1" x14ac:dyDescent="0.25">
      <c r="B916" s="82"/>
    </row>
    <row r="917" spans="2:2" ht="15.75" customHeight="1" x14ac:dyDescent="0.25">
      <c r="B917" s="82"/>
    </row>
    <row r="918" spans="2:2" ht="15.75" customHeight="1" x14ac:dyDescent="0.25">
      <c r="B918" s="82"/>
    </row>
    <row r="919" spans="2:2" ht="15.75" customHeight="1" x14ac:dyDescent="0.25">
      <c r="B919" s="82"/>
    </row>
    <row r="920" spans="2:2" ht="15.75" customHeight="1" x14ac:dyDescent="0.25">
      <c r="B920" s="82"/>
    </row>
    <row r="921" spans="2:2" ht="15.75" customHeight="1" x14ac:dyDescent="0.25">
      <c r="B921" s="82"/>
    </row>
    <row r="922" spans="2:2" ht="15.75" customHeight="1" x14ac:dyDescent="0.25">
      <c r="B922" s="82"/>
    </row>
    <row r="923" spans="2:2" ht="15.75" customHeight="1" x14ac:dyDescent="0.25">
      <c r="B923" s="82"/>
    </row>
    <row r="924" spans="2:2" ht="15.75" customHeight="1" x14ac:dyDescent="0.25">
      <c r="B924" s="82"/>
    </row>
    <row r="925" spans="2:2" ht="15.75" customHeight="1" x14ac:dyDescent="0.25">
      <c r="B925" s="82"/>
    </row>
    <row r="926" spans="2:2" ht="15.75" customHeight="1" x14ac:dyDescent="0.25">
      <c r="B926" s="82"/>
    </row>
    <row r="927" spans="2:2" ht="15.75" customHeight="1" x14ac:dyDescent="0.25">
      <c r="B927" s="82"/>
    </row>
    <row r="928" spans="2:2" ht="15.75" customHeight="1" x14ac:dyDescent="0.25">
      <c r="B928" s="82"/>
    </row>
    <row r="929" spans="2:2" ht="15.75" customHeight="1" x14ac:dyDescent="0.25">
      <c r="B929" s="82"/>
    </row>
    <row r="930" spans="2:2" ht="15.75" customHeight="1" x14ac:dyDescent="0.25">
      <c r="B930" s="82"/>
    </row>
    <row r="931" spans="2:2" ht="15.75" customHeight="1" x14ac:dyDescent="0.25">
      <c r="B931" s="82"/>
    </row>
    <row r="932" spans="2:2" ht="15.75" customHeight="1" x14ac:dyDescent="0.25">
      <c r="B932" s="82"/>
    </row>
    <row r="933" spans="2:2" ht="15.75" customHeight="1" x14ac:dyDescent="0.25">
      <c r="B933" s="82"/>
    </row>
    <row r="934" spans="2:2" ht="15.75" customHeight="1" x14ac:dyDescent="0.25">
      <c r="B934" s="82"/>
    </row>
    <row r="935" spans="2:2" ht="15.75" customHeight="1" x14ac:dyDescent="0.25">
      <c r="B935" s="82"/>
    </row>
    <row r="936" spans="2:2" ht="15.75" customHeight="1" x14ac:dyDescent="0.25">
      <c r="B936" s="82"/>
    </row>
    <row r="937" spans="2:2" ht="15.75" customHeight="1" x14ac:dyDescent="0.25">
      <c r="B937" s="82"/>
    </row>
    <row r="938" spans="2:2" ht="15.75" customHeight="1" x14ac:dyDescent="0.25">
      <c r="B938" s="82"/>
    </row>
    <row r="939" spans="2:2" ht="15.75" customHeight="1" x14ac:dyDescent="0.25">
      <c r="B939" s="82"/>
    </row>
    <row r="940" spans="2:2" ht="15.75" customHeight="1" x14ac:dyDescent="0.25">
      <c r="B940" s="82"/>
    </row>
    <row r="941" spans="2:2" ht="15.75" customHeight="1" x14ac:dyDescent="0.25">
      <c r="B941" s="82"/>
    </row>
    <row r="942" spans="2:2" ht="15.75" customHeight="1" x14ac:dyDescent="0.25">
      <c r="B942" s="82"/>
    </row>
    <row r="943" spans="2:2" ht="15.75" customHeight="1" x14ac:dyDescent="0.25">
      <c r="B943" s="82"/>
    </row>
    <row r="944" spans="2:2" ht="15.75" customHeight="1" x14ac:dyDescent="0.25">
      <c r="B944" s="82"/>
    </row>
    <row r="945" spans="2:2" ht="15.75" customHeight="1" x14ac:dyDescent="0.25">
      <c r="B945" s="82"/>
    </row>
    <row r="946" spans="2:2" ht="15.75" customHeight="1" x14ac:dyDescent="0.25">
      <c r="B946" s="82"/>
    </row>
    <row r="947" spans="2:2" ht="15.75" customHeight="1" x14ac:dyDescent="0.25">
      <c r="B947" s="82"/>
    </row>
    <row r="948" spans="2:2" ht="15.75" customHeight="1" x14ac:dyDescent="0.25">
      <c r="B948" s="82"/>
    </row>
    <row r="949" spans="2:2" ht="15.75" customHeight="1" x14ac:dyDescent="0.25">
      <c r="B949" s="82"/>
    </row>
    <row r="950" spans="2:2" ht="15.75" customHeight="1" x14ac:dyDescent="0.25">
      <c r="B950" s="82"/>
    </row>
    <row r="951" spans="2:2" ht="15.75" customHeight="1" x14ac:dyDescent="0.25">
      <c r="B951" s="82"/>
    </row>
    <row r="952" spans="2:2" ht="15.75" customHeight="1" x14ac:dyDescent="0.25">
      <c r="B952" s="82"/>
    </row>
    <row r="953" spans="2:2" ht="15.75" customHeight="1" x14ac:dyDescent="0.25">
      <c r="B953" s="82"/>
    </row>
    <row r="954" spans="2:2" ht="15.75" customHeight="1" x14ac:dyDescent="0.25">
      <c r="B954" s="82"/>
    </row>
    <row r="955" spans="2:2" ht="15.75" customHeight="1" x14ac:dyDescent="0.25">
      <c r="B955" s="82"/>
    </row>
    <row r="956" spans="2:2" ht="15.75" customHeight="1" x14ac:dyDescent="0.25">
      <c r="B956" s="82"/>
    </row>
    <row r="957" spans="2:2" ht="15.75" customHeight="1" x14ac:dyDescent="0.25">
      <c r="B957" s="82"/>
    </row>
    <row r="958" spans="2:2" ht="15.75" customHeight="1" x14ac:dyDescent="0.25">
      <c r="B958" s="82"/>
    </row>
    <row r="959" spans="2:2" ht="15.75" customHeight="1" x14ac:dyDescent="0.25">
      <c r="B959" s="82"/>
    </row>
    <row r="960" spans="2:2" ht="15.75" customHeight="1" x14ac:dyDescent="0.25">
      <c r="B960" s="82"/>
    </row>
    <row r="961" spans="2:2" ht="15.75" customHeight="1" x14ac:dyDescent="0.25">
      <c r="B961" s="82"/>
    </row>
    <row r="962" spans="2:2" ht="15.75" customHeight="1" x14ac:dyDescent="0.25">
      <c r="B962" s="82"/>
    </row>
    <row r="963" spans="2:2" ht="15.75" customHeight="1" x14ac:dyDescent="0.25">
      <c r="B963" s="82"/>
    </row>
    <row r="964" spans="2:2" ht="15.75" customHeight="1" x14ac:dyDescent="0.25">
      <c r="B964" s="82"/>
    </row>
    <row r="965" spans="2:2" ht="15.75" customHeight="1" x14ac:dyDescent="0.25">
      <c r="B965" s="82"/>
    </row>
    <row r="966" spans="2:2" ht="15.75" customHeight="1" x14ac:dyDescent="0.25">
      <c r="B966" s="82"/>
    </row>
    <row r="967" spans="2:2" ht="15.75" customHeight="1" x14ac:dyDescent="0.25">
      <c r="B967" s="82"/>
    </row>
    <row r="968" spans="2:2" ht="15.75" customHeight="1" x14ac:dyDescent="0.25">
      <c r="B968" s="82"/>
    </row>
    <row r="969" spans="2:2" ht="15.75" customHeight="1" x14ac:dyDescent="0.25">
      <c r="B969" s="82"/>
    </row>
    <row r="970" spans="2:2" ht="15.75" customHeight="1" x14ac:dyDescent="0.25">
      <c r="B970" s="82"/>
    </row>
    <row r="971" spans="2:2" ht="15.75" customHeight="1" x14ac:dyDescent="0.25">
      <c r="B971" s="82"/>
    </row>
    <row r="972" spans="2:2" ht="15.75" customHeight="1" x14ac:dyDescent="0.25">
      <c r="B972" s="82"/>
    </row>
    <row r="973" spans="2:2" ht="15.75" customHeight="1" x14ac:dyDescent="0.25">
      <c r="B973" s="82"/>
    </row>
    <row r="974" spans="2:2" ht="15.75" customHeight="1" x14ac:dyDescent="0.25">
      <c r="B974" s="82"/>
    </row>
    <row r="975" spans="2:2" ht="15.75" customHeight="1" x14ac:dyDescent="0.25">
      <c r="B975" s="82"/>
    </row>
    <row r="976" spans="2:2" ht="15.75" customHeight="1" x14ac:dyDescent="0.25">
      <c r="B976" s="82"/>
    </row>
    <row r="977" spans="2:2" ht="15.75" customHeight="1" x14ac:dyDescent="0.25">
      <c r="B977" s="82"/>
    </row>
    <row r="978" spans="2:2" ht="15.75" customHeight="1" x14ac:dyDescent="0.25">
      <c r="B978" s="82"/>
    </row>
    <row r="979" spans="2:2" ht="15.75" customHeight="1" x14ac:dyDescent="0.25">
      <c r="B979" s="82"/>
    </row>
    <row r="980" spans="2:2" ht="15.75" customHeight="1" x14ac:dyDescent="0.25">
      <c r="B980" s="82"/>
    </row>
    <row r="981" spans="2:2" ht="15.75" customHeight="1" x14ac:dyDescent="0.25">
      <c r="B981" s="82"/>
    </row>
    <row r="982" spans="2:2" ht="15.75" customHeight="1" x14ac:dyDescent="0.25">
      <c r="B982" s="82"/>
    </row>
    <row r="983" spans="2:2" ht="15.75" customHeight="1" x14ac:dyDescent="0.25">
      <c r="B983" s="82"/>
    </row>
    <row r="984" spans="2:2" ht="15.75" customHeight="1" x14ac:dyDescent="0.25">
      <c r="B984" s="82"/>
    </row>
    <row r="985" spans="2:2" ht="15.75" customHeight="1" x14ac:dyDescent="0.25">
      <c r="B985" s="82"/>
    </row>
    <row r="986" spans="2:2" ht="15.75" customHeight="1" x14ac:dyDescent="0.25">
      <c r="B986" s="82"/>
    </row>
    <row r="987" spans="2:2" ht="15.75" customHeight="1" x14ac:dyDescent="0.25">
      <c r="B987" s="82"/>
    </row>
    <row r="988" spans="2:2" ht="15.75" customHeight="1" x14ac:dyDescent="0.25">
      <c r="B988" s="82"/>
    </row>
    <row r="989" spans="2:2" ht="15.75" customHeight="1" x14ac:dyDescent="0.25">
      <c r="B989" s="82"/>
    </row>
    <row r="990" spans="2:2" ht="15.75" customHeight="1" x14ac:dyDescent="0.25">
      <c r="B990" s="82"/>
    </row>
    <row r="991" spans="2:2" ht="15.75" customHeight="1" x14ac:dyDescent="0.25">
      <c r="B991" s="82"/>
    </row>
    <row r="992" spans="2:2" ht="15.75" customHeight="1" x14ac:dyDescent="0.25">
      <c r="B992" s="82"/>
    </row>
    <row r="993" spans="2:2" ht="15.75" customHeight="1" x14ac:dyDescent="0.25">
      <c r="B993" s="82"/>
    </row>
    <row r="994" spans="2:2" ht="15.75" customHeight="1" x14ac:dyDescent="0.25">
      <c r="B994" s="82"/>
    </row>
    <row r="995" spans="2:2" ht="15.75" customHeight="1" x14ac:dyDescent="0.25">
      <c r="B995" s="82"/>
    </row>
    <row r="996" spans="2:2" ht="15.75" customHeight="1" x14ac:dyDescent="0.25">
      <c r="B996" s="82"/>
    </row>
    <row r="997" spans="2:2" ht="15.75" customHeight="1" x14ac:dyDescent="0.25">
      <c r="B997" s="82"/>
    </row>
    <row r="998" spans="2:2" ht="15.75" customHeight="1" x14ac:dyDescent="0.25">
      <c r="B998" s="82"/>
    </row>
    <row r="999" spans="2:2" ht="15.75" customHeight="1" x14ac:dyDescent="0.25">
      <c r="B999" s="82"/>
    </row>
    <row r="1000" spans="2:2" ht="15.75" customHeight="1" x14ac:dyDescent="0.25">
      <c r="B1000" s="82"/>
    </row>
  </sheetData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B1000"/>
  <sheetViews>
    <sheetView showGridLines="0" topLeftCell="C1" workbookViewId="0">
      <selection activeCell="J11" sqref="J11"/>
    </sheetView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18.85546875" customWidth="1"/>
    <col min="4" max="4" width="16.7109375" customWidth="1"/>
    <col min="5" max="5" width="10.7109375" customWidth="1"/>
    <col min="6" max="7" width="8.7109375" customWidth="1"/>
    <col min="8" max="8" width="15.85546875" customWidth="1"/>
    <col min="9" max="9" width="17.7109375" customWidth="1"/>
    <col min="10" max="10" width="17" customWidth="1"/>
    <col min="11" max="12" width="8.7109375" customWidth="1"/>
    <col min="13" max="13" width="13.28515625" customWidth="1"/>
    <col min="14" max="14" width="13.7109375" customWidth="1"/>
    <col min="15" max="28" width="8.7109375" customWidth="1"/>
  </cols>
  <sheetData>
    <row r="1" spans="1:28" ht="18.75" x14ac:dyDescent="0.25">
      <c r="A1" s="1" t="s">
        <v>0</v>
      </c>
      <c r="B1" s="88" t="s">
        <v>297</v>
      </c>
      <c r="C1" s="89" t="s">
        <v>298</v>
      </c>
      <c r="D1" s="90" t="s">
        <v>299</v>
      </c>
      <c r="H1" s="2" t="s">
        <v>300</v>
      </c>
    </row>
    <row r="2" spans="1:28" x14ac:dyDescent="0.25">
      <c r="A2" s="83">
        <v>22039</v>
      </c>
      <c r="B2" s="91" t="s">
        <v>301</v>
      </c>
      <c r="C2" s="92" t="s">
        <v>302</v>
      </c>
      <c r="D2" s="93" t="str">
        <f>INDEX(A2:C11,MATCH(A3,A2:A11,0),2)</f>
        <v>Abdul</v>
      </c>
      <c r="E2" s="9"/>
      <c r="F2" s="9"/>
    </row>
    <row r="3" spans="1:28" x14ac:dyDescent="0.25">
      <c r="A3" s="83">
        <v>132808</v>
      </c>
      <c r="B3" s="91" t="s">
        <v>303</v>
      </c>
      <c r="C3" s="92" t="s">
        <v>304</v>
      </c>
      <c r="D3" s="93" t="str">
        <f t="shared" ref="D3:D11" si="0">INDEX(A3:C12,MATCH(A4,A3:A12,0),2)</f>
        <v>Abdul</v>
      </c>
      <c r="E3" s="9"/>
      <c r="F3" s="9"/>
      <c r="H3" s="8" t="s">
        <v>305</v>
      </c>
      <c r="I3" s="8" t="s">
        <v>271</v>
      </c>
      <c r="K3" s="9"/>
      <c r="L3" s="9"/>
      <c r="M3" s="9"/>
    </row>
    <row r="4" spans="1:28" x14ac:dyDescent="0.25">
      <c r="A4" s="83">
        <v>39820</v>
      </c>
      <c r="B4" s="91" t="s">
        <v>303</v>
      </c>
      <c r="C4" s="92" t="s">
        <v>306</v>
      </c>
      <c r="D4" s="93" t="str">
        <f t="shared" si="0"/>
        <v>Abdul</v>
      </c>
      <c r="E4" s="9"/>
      <c r="F4" s="9"/>
      <c r="H4" s="8">
        <v>9</v>
      </c>
      <c r="I4" s="4">
        <f>INDEX(A2:A11,8,1)</f>
        <v>212</v>
      </c>
      <c r="J4" s="9"/>
    </row>
    <row r="5" spans="1:28" x14ac:dyDescent="0.25">
      <c r="A5" s="83">
        <v>20513</v>
      </c>
      <c r="B5" s="91" t="s">
        <v>303</v>
      </c>
      <c r="C5" s="92" t="s">
        <v>307</v>
      </c>
      <c r="D5" s="93" t="str">
        <f t="shared" si="0"/>
        <v>Aditi</v>
      </c>
      <c r="E5" s="9"/>
      <c r="F5" s="9"/>
      <c r="I5" s="9"/>
    </row>
    <row r="6" spans="1:28" x14ac:dyDescent="0.25">
      <c r="A6" s="83">
        <v>122186</v>
      </c>
      <c r="B6" s="91" t="s">
        <v>308</v>
      </c>
      <c r="C6" s="92" t="s">
        <v>309</v>
      </c>
      <c r="D6" s="93" t="str">
        <f t="shared" si="0"/>
        <v>Abul</v>
      </c>
      <c r="E6" s="9"/>
      <c r="F6" s="9"/>
      <c r="H6" s="8" t="s">
        <v>310</v>
      </c>
      <c r="I6" s="8" t="s">
        <v>311</v>
      </c>
      <c r="J6" s="8" t="s">
        <v>271</v>
      </c>
      <c r="W6" s="9" t="e">
        <f t="array" ref="W6:Y16">INDEX(A1:C11,0)</f>
        <v>#REF!</v>
      </c>
      <c r="X6" s="9" t="e">
        <v>#REF!</v>
      </c>
      <c r="Y6" s="9" t="e">
        <v>#REF!</v>
      </c>
      <c r="Z6" s="9" t="e">
        <f t="array" ref="Z6:AB11">INDEX(B5:D10,0)</f>
        <v>#REF!</v>
      </c>
      <c r="AA6" s="9" t="e">
        <v>#REF!</v>
      </c>
      <c r="AB6" s="9" t="e">
        <v>#REF!</v>
      </c>
    </row>
    <row r="7" spans="1:28" x14ac:dyDescent="0.25">
      <c r="A7" s="83">
        <v>128245</v>
      </c>
      <c r="B7" s="91" t="s">
        <v>312</v>
      </c>
      <c r="C7" s="92" t="s">
        <v>313</v>
      </c>
      <c r="D7" s="93" t="str">
        <f t="shared" si="0"/>
        <v>Abhay</v>
      </c>
      <c r="E7" s="9"/>
      <c r="F7" s="9"/>
      <c r="H7" s="8">
        <v>9</v>
      </c>
      <c r="I7" s="8">
        <v>3</v>
      </c>
      <c r="J7" s="4" t="e">
        <f>INDEX(C2:C11,8,2)</f>
        <v>#REF!</v>
      </c>
      <c r="L7" s="9"/>
      <c r="W7" s="9" t="e">
        <v>#REF!</v>
      </c>
      <c r="X7" s="9" t="e">
        <v>#REF!</v>
      </c>
      <c r="Y7" s="9" t="e">
        <v>#REF!</v>
      </c>
      <c r="Z7" s="9" t="e">
        <v>#REF!</v>
      </c>
      <c r="AA7" s="9" t="e">
        <v>#REF!</v>
      </c>
      <c r="AB7" s="9" t="e">
        <v>#REF!</v>
      </c>
    </row>
    <row r="8" spans="1:28" x14ac:dyDescent="0.25">
      <c r="A8" s="83">
        <v>22140</v>
      </c>
      <c r="B8" s="91" t="s">
        <v>314</v>
      </c>
      <c r="C8" s="92" t="s">
        <v>315</v>
      </c>
      <c r="D8" s="93" t="str">
        <f t="shared" si="0"/>
        <v>Anil</v>
      </c>
      <c r="E8" s="9"/>
      <c r="W8" s="9" t="e">
        <v>#REF!</v>
      </c>
      <c r="X8" s="9" t="e">
        <v>#REF!</v>
      </c>
      <c r="Y8" s="9" t="e">
        <v>#REF!</v>
      </c>
      <c r="Z8" s="9" t="e">
        <v>#REF!</v>
      </c>
      <c r="AA8" s="9" t="e">
        <v>#REF!</v>
      </c>
      <c r="AB8" s="9" t="e">
        <v>#REF!</v>
      </c>
    </row>
    <row r="9" spans="1:28" x14ac:dyDescent="0.25">
      <c r="A9" s="83">
        <v>212</v>
      </c>
      <c r="B9" s="91" t="s">
        <v>316</v>
      </c>
      <c r="C9" s="92" t="s">
        <v>317</v>
      </c>
      <c r="D9" s="93" t="str">
        <f t="shared" si="0"/>
        <v>Abhay</v>
      </c>
      <c r="E9" s="9"/>
      <c r="W9" s="9" t="e">
        <v>#REF!</v>
      </c>
      <c r="X9" s="9" t="e">
        <v>#REF!</v>
      </c>
      <c r="Y9" s="9" t="e">
        <v>#REF!</v>
      </c>
      <c r="Z9" s="9" t="e">
        <v>#REF!</v>
      </c>
      <c r="AA9" s="9" t="e">
        <v>#REF!</v>
      </c>
      <c r="AB9" s="9" t="e">
        <v>#REF!</v>
      </c>
    </row>
    <row r="10" spans="1:28" x14ac:dyDescent="0.25">
      <c r="A10" s="83">
        <v>125925</v>
      </c>
      <c r="B10" s="91" t="s">
        <v>314</v>
      </c>
      <c r="C10" s="92" t="s">
        <v>318</v>
      </c>
      <c r="D10" s="93" t="str">
        <f t="shared" si="0"/>
        <v>Ria</v>
      </c>
      <c r="E10" s="9"/>
      <c r="W10" s="9" t="e">
        <v>#REF!</v>
      </c>
      <c r="X10" s="9" t="e">
        <v>#REF!</v>
      </c>
      <c r="Y10" s="9" t="e">
        <v>#REF!</v>
      </c>
      <c r="Z10" s="9" t="e">
        <v>#REF!</v>
      </c>
      <c r="AA10" s="9" t="e">
        <v>#REF!</v>
      </c>
      <c r="AB10" s="9" t="e">
        <v>#REF!</v>
      </c>
    </row>
    <row r="11" spans="1:28" ht="18.75" x14ac:dyDescent="0.25">
      <c r="A11" s="94">
        <v>213</v>
      </c>
      <c r="B11" s="95" t="s">
        <v>319</v>
      </c>
      <c r="C11" s="96" t="s">
        <v>320</v>
      </c>
      <c r="D11" s="93" t="e">
        <f t="shared" si="0"/>
        <v>#N/A</v>
      </c>
      <c r="E11" s="9"/>
      <c r="H11" s="2" t="s">
        <v>321</v>
      </c>
      <c r="W11" s="9" t="e">
        <v>#REF!</v>
      </c>
      <c r="X11" s="9" t="e">
        <v>#REF!</v>
      </c>
      <c r="Y11" s="9" t="e">
        <v>#REF!</v>
      </c>
      <c r="Z11" s="9" t="e">
        <v>#REF!</v>
      </c>
      <c r="AA11" s="9" t="e">
        <v>#REF!</v>
      </c>
      <c r="AB11" s="9" t="e">
        <v>#REF!</v>
      </c>
    </row>
    <row r="12" spans="1:28" x14ac:dyDescent="0.25">
      <c r="C12" s="9"/>
      <c r="D12" s="9"/>
      <c r="E12" s="9"/>
      <c r="L12" s="87"/>
      <c r="W12" s="9" t="e">
        <v>#REF!</v>
      </c>
      <c r="X12" s="9" t="e">
        <v>#REF!</v>
      </c>
      <c r="Y12" s="9" t="e">
        <v>#REF!</v>
      </c>
    </row>
    <row r="13" spans="1:28" ht="18.75" x14ac:dyDescent="0.25">
      <c r="A13" s="97" t="s">
        <v>2</v>
      </c>
      <c r="B13" s="98" t="s">
        <v>3</v>
      </c>
      <c r="C13" s="99" t="s">
        <v>0</v>
      </c>
      <c r="D13" s="100" t="s">
        <v>4</v>
      </c>
      <c r="E13" s="101" t="s">
        <v>5</v>
      </c>
      <c r="H13" s="8" t="s">
        <v>0</v>
      </c>
      <c r="I13" s="8" t="s">
        <v>322</v>
      </c>
      <c r="W13" s="9" t="e">
        <v>#REF!</v>
      </c>
      <c r="X13" s="9" t="e">
        <v>#REF!</v>
      </c>
      <c r="Y13" s="9" t="e">
        <v>#REF!</v>
      </c>
    </row>
    <row r="14" spans="1:28" x14ac:dyDescent="0.25">
      <c r="A14" s="102">
        <v>31200</v>
      </c>
      <c r="B14" s="103" t="s">
        <v>16</v>
      </c>
      <c r="C14" s="104">
        <v>132808</v>
      </c>
      <c r="D14" s="105" t="s">
        <v>17</v>
      </c>
      <c r="E14" s="106" t="s">
        <v>18</v>
      </c>
      <c r="H14" s="4">
        <v>125925</v>
      </c>
      <c r="I14" s="8">
        <f>MATCH(H14,A1:A101,0)</f>
        <v>10</v>
      </c>
      <c r="W14" s="9" t="e">
        <v>#REF!</v>
      </c>
      <c r="X14" s="9" t="e">
        <v>#REF!</v>
      </c>
      <c r="Y14" s="9" t="e">
        <v>#REF!</v>
      </c>
    </row>
    <row r="15" spans="1:28" x14ac:dyDescent="0.25">
      <c r="A15" s="102">
        <v>29221</v>
      </c>
      <c r="B15" s="103" t="s">
        <v>21</v>
      </c>
      <c r="C15" s="104">
        <v>20513</v>
      </c>
      <c r="D15" s="105" t="s">
        <v>22</v>
      </c>
      <c r="E15" s="106" t="s">
        <v>23</v>
      </c>
      <c r="W15" s="9" t="e">
        <v>#REF!</v>
      </c>
      <c r="X15" s="9" t="e">
        <v>#REF!</v>
      </c>
      <c r="Y15" s="9" t="e">
        <v>#REF!</v>
      </c>
    </row>
    <row r="16" spans="1:28" x14ac:dyDescent="0.25">
      <c r="A16" s="102">
        <v>25324</v>
      </c>
      <c r="B16" s="103" t="s">
        <v>19</v>
      </c>
      <c r="C16" s="104">
        <v>39820</v>
      </c>
      <c r="D16" s="105" t="s">
        <v>20</v>
      </c>
      <c r="E16" s="106" t="s">
        <v>15</v>
      </c>
      <c r="H16" s="9"/>
      <c r="W16" s="9" t="e">
        <v>#REF!</v>
      </c>
      <c r="X16" s="9" t="e">
        <v>#REF!</v>
      </c>
      <c r="Y16" s="9" t="e">
        <v>#REF!</v>
      </c>
    </row>
    <row r="17" spans="1:5" x14ac:dyDescent="0.25">
      <c r="A17" s="102">
        <v>27853</v>
      </c>
      <c r="B17" s="103" t="s">
        <v>30</v>
      </c>
      <c r="C17" s="104">
        <v>24385</v>
      </c>
      <c r="D17" s="105" t="s">
        <v>20</v>
      </c>
      <c r="E17" s="106" t="s">
        <v>15</v>
      </c>
    </row>
    <row r="18" spans="1:5" x14ac:dyDescent="0.25">
      <c r="A18" s="102">
        <v>29664</v>
      </c>
      <c r="B18" s="103" t="s">
        <v>13</v>
      </c>
      <c r="C18" s="104">
        <v>22039</v>
      </c>
      <c r="D18" s="105" t="s">
        <v>14</v>
      </c>
      <c r="E18" s="106" t="s">
        <v>15</v>
      </c>
    </row>
    <row r="19" spans="1:5" x14ac:dyDescent="0.25">
      <c r="A19" s="102">
        <v>28642</v>
      </c>
      <c r="B19" s="103" t="s">
        <v>27</v>
      </c>
      <c r="C19" s="104">
        <v>128245</v>
      </c>
      <c r="D19" s="105" t="s">
        <v>28</v>
      </c>
      <c r="E19" s="106" t="s">
        <v>23</v>
      </c>
    </row>
    <row r="20" spans="1:5" x14ac:dyDescent="0.25">
      <c r="A20" s="102">
        <v>27397</v>
      </c>
      <c r="B20" s="91" t="s">
        <v>29</v>
      </c>
      <c r="C20" s="107">
        <v>22140</v>
      </c>
      <c r="D20" s="108" t="s">
        <v>14</v>
      </c>
      <c r="E20" s="106" t="s">
        <v>15</v>
      </c>
    </row>
    <row r="21" spans="1:5" ht="15.75" customHeight="1" x14ac:dyDescent="0.25">
      <c r="A21" s="102">
        <v>32248</v>
      </c>
      <c r="B21" s="91" t="s">
        <v>25</v>
      </c>
      <c r="C21" s="92">
        <v>122186</v>
      </c>
      <c r="D21" s="105" t="s">
        <v>26</v>
      </c>
      <c r="E21" s="106" t="s">
        <v>23</v>
      </c>
    </row>
    <row r="22" spans="1:5" ht="15.75" customHeight="1" x14ac:dyDescent="0.25">
      <c r="A22" s="109">
        <v>34247</v>
      </c>
      <c r="B22" s="110" t="s">
        <v>31</v>
      </c>
      <c r="C22" s="96">
        <v>125925</v>
      </c>
      <c r="D22" s="111" t="s">
        <v>20</v>
      </c>
      <c r="E22" s="112" t="s">
        <v>15</v>
      </c>
    </row>
    <row r="23" spans="1:5" ht="15.75" customHeight="1" x14ac:dyDescent="0.25">
      <c r="C23" s="9"/>
      <c r="D23" s="9"/>
    </row>
    <row r="24" spans="1:5" ht="15.75" customHeight="1" x14ac:dyDescent="0.25">
      <c r="C24" s="9"/>
      <c r="D24" s="9"/>
    </row>
    <row r="25" spans="1:5" ht="15.75" customHeight="1" x14ac:dyDescent="0.25">
      <c r="C25" s="9"/>
      <c r="D25" s="9"/>
    </row>
    <row r="26" spans="1:5" ht="15.75" customHeight="1" x14ac:dyDescent="0.25">
      <c r="C26" s="9"/>
      <c r="D26" s="9"/>
    </row>
    <row r="27" spans="1:5" ht="15.75" customHeight="1" x14ac:dyDescent="0.25">
      <c r="C27" s="9"/>
      <c r="D27" s="9"/>
    </row>
    <row r="28" spans="1:5" ht="15.75" customHeight="1" x14ac:dyDescent="0.25">
      <c r="C28" s="9"/>
      <c r="D28" s="9"/>
    </row>
    <row r="29" spans="1:5" ht="15.75" customHeight="1" x14ac:dyDescent="0.25">
      <c r="C29" s="9"/>
      <c r="D29" s="9"/>
    </row>
    <row r="30" spans="1:5" ht="15.75" customHeight="1" x14ac:dyDescent="0.25">
      <c r="C30" s="9"/>
      <c r="D30" s="9"/>
    </row>
    <row r="31" spans="1:5" ht="15.75" customHeight="1" x14ac:dyDescent="0.25">
      <c r="C31" s="9"/>
      <c r="D31" s="9"/>
    </row>
    <row r="32" spans="1:5" ht="15.75" customHeight="1" x14ac:dyDescent="0.25">
      <c r="C32" s="9"/>
      <c r="D32" s="9"/>
    </row>
    <row r="33" spans="3:4" ht="15.75" customHeight="1" x14ac:dyDescent="0.25">
      <c r="C33" s="9"/>
      <c r="D33" s="9"/>
    </row>
    <row r="34" spans="3:4" ht="15.75" customHeight="1" x14ac:dyDescent="0.25">
      <c r="C34" s="9"/>
      <c r="D34" s="9"/>
    </row>
    <row r="35" spans="3:4" ht="15.75" customHeight="1" x14ac:dyDescent="0.25">
      <c r="C35" s="9"/>
      <c r="D35" s="9"/>
    </row>
    <row r="36" spans="3:4" ht="15.75" customHeight="1" x14ac:dyDescent="0.25">
      <c r="C36" s="9"/>
      <c r="D36" s="9"/>
    </row>
    <row r="37" spans="3:4" ht="15.75" customHeight="1" x14ac:dyDescent="0.25">
      <c r="C37" s="9"/>
      <c r="D37" s="9"/>
    </row>
    <row r="38" spans="3:4" ht="15.75" customHeight="1" x14ac:dyDescent="0.25">
      <c r="C38" s="9"/>
      <c r="D38" s="9"/>
    </row>
    <row r="39" spans="3:4" ht="15.75" customHeight="1" x14ac:dyDescent="0.25">
      <c r="C39" s="9"/>
      <c r="D39" s="9"/>
    </row>
    <row r="40" spans="3:4" ht="15.75" customHeight="1" x14ac:dyDescent="0.25">
      <c r="C40" s="9"/>
      <c r="D40" s="9"/>
    </row>
    <row r="41" spans="3:4" ht="15.75" customHeight="1" x14ac:dyDescent="0.25">
      <c r="C41" s="9"/>
      <c r="D41" s="9"/>
    </row>
    <row r="42" spans="3:4" ht="15.75" customHeight="1" x14ac:dyDescent="0.25">
      <c r="C42" s="9"/>
      <c r="D42" s="9"/>
    </row>
    <row r="43" spans="3:4" ht="15.75" customHeight="1" x14ac:dyDescent="0.25">
      <c r="C43" s="9"/>
      <c r="D43" s="9"/>
    </row>
    <row r="44" spans="3:4" ht="15.75" customHeight="1" x14ac:dyDescent="0.25">
      <c r="C44" s="9"/>
      <c r="D44" s="9"/>
    </row>
    <row r="45" spans="3:4" ht="15.75" customHeight="1" x14ac:dyDescent="0.25">
      <c r="C45" s="9"/>
      <c r="D45" s="9"/>
    </row>
    <row r="46" spans="3:4" ht="15.75" customHeight="1" x14ac:dyDescent="0.25">
      <c r="C46" s="9"/>
      <c r="D46" s="9"/>
    </row>
    <row r="47" spans="3:4" ht="15.75" customHeight="1" x14ac:dyDescent="0.25">
      <c r="C47" s="9"/>
      <c r="D47" s="9"/>
    </row>
    <row r="48" spans="3:4" ht="15.75" customHeight="1" x14ac:dyDescent="0.25">
      <c r="C48" s="9"/>
      <c r="D48" s="9"/>
    </row>
    <row r="49" spans="3:4" ht="15.75" customHeight="1" x14ac:dyDescent="0.25">
      <c r="C49" s="9"/>
      <c r="D49" s="9"/>
    </row>
    <row r="50" spans="3:4" ht="15.75" customHeight="1" x14ac:dyDescent="0.25">
      <c r="C50" s="9"/>
      <c r="D50" s="9"/>
    </row>
    <row r="51" spans="3:4" ht="15.75" customHeight="1" x14ac:dyDescent="0.25">
      <c r="C51" s="9"/>
      <c r="D51" s="9"/>
    </row>
    <row r="52" spans="3:4" ht="15.75" customHeight="1" x14ac:dyDescent="0.25">
      <c r="C52" s="9"/>
      <c r="D52" s="9"/>
    </row>
    <row r="53" spans="3:4" ht="15.75" customHeight="1" x14ac:dyDescent="0.25">
      <c r="C53" s="9"/>
      <c r="D53" s="9"/>
    </row>
    <row r="54" spans="3:4" ht="15.75" customHeight="1" x14ac:dyDescent="0.25">
      <c r="C54" s="9"/>
      <c r="D54" s="9"/>
    </row>
    <row r="55" spans="3:4" ht="15.75" customHeight="1" x14ac:dyDescent="0.25">
      <c r="C55" s="9"/>
      <c r="D55" s="9"/>
    </row>
    <row r="56" spans="3:4" ht="15.75" customHeight="1" x14ac:dyDescent="0.25">
      <c r="C56" s="9"/>
      <c r="D56" s="9"/>
    </row>
    <row r="57" spans="3:4" ht="15.75" customHeight="1" x14ac:dyDescent="0.25">
      <c r="C57" s="9"/>
      <c r="D57" s="9"/>
    </row>
    <row r="58" spans="3:4" ht="15.75" customHeight="1" x14ac:dyDescent="0.25">
      <c r="C58" s="9"/>
      <c r="D58" s="9"/>
    </row>
    <row r="59" spans="3:4" ht="15.75" customHeight="1" x14ac:dyDescent="0.25">
      <c r="C59" s="9"/>
      <c r="D59" s="9"/>
    </row>
    <row r="60" spans="3:4" ht="15.75" customHeight="1" x14ac:dyDescent="0.25">
      <c r="C60" s="9"/>
      <c r="D60" s="9"/>
    </row>
    <row r="61" spans="3:4" ht="15.75" customHeight="1" x14ac:dyDescent="0.25">
      <c r="C61" s="9"/>
      <c r="D61" s="9"/>
    </row>
    <row r="62" spans="3:4" ht="15.75" customHeight="1" x14ac:dyDescent="0.25">
      <c r="C62" s="9"/>
      <c r="D62" s="9"/>
    </row>
    <row r="63" spans="3:4" ht="15.75" customHeight="1" x14ac:dyDescent="0.25">
      <c r="C63" s="9"/>
      <c r="D63" s="9"/>
    </row>
    <row r="64" spans="3:4" ht="15.75" customHeight="1" x14ac:dyDescent="0.25">
      <c r="C64" s="9"/>
      <c r="D64" s="9"/>
    </row>
    <row r="65" spans="3:4" ht="15.75" customHeight="1" x14ac:dyDescent="0.25">
      <c r="C65" s="9"/>
      <c r="D65" s="9"/>
    </row>
    <row r="66" spans="3:4" ht="15.75" customHeight="1" x14ac:dyDescent="0.25">
      <c r="C66" s="9"/>
      <c r="D66" s="9"/>
    </row>
    <row r="67" spans="3:4" ht="15.75" customHeight="1" x14ac:dyDescent="0.25">
      <c r="C67" s="9"/>
      <c r="D67" s="9"/>
    </row>
    <row r="68" spans="3:4" ht="15.75" customHeight="1" x14ac:dyDescent="0.25">
      <c r="C68" s="9"/>
      <c r="D68" s="9"/>
    </row>
    <row r="69" spans="3:4" ht="15.75" customHeight="1" x14ac:dyDescent="0.25">
      <c r="C69" s="9"/>
      <c r="D69" s="9"/>
    </row>
    <row r="70" spans="3:4" ht="15.75" customHeight="1" x14ac:dyDescent="0.25">
      <c r="C70" s="9"/>
      <c r="D70" s="9"/>
    </row>
    <row r="71" spans="3:4" ht="15.75" customHeight="1" x14ac:dyDescent="0.25">
      <c r="C71" s="9"/>
      <c r="D71" s="9"/>
    </row>
    <row r="72" spans="3:4" ht="15.75" customHeight="1" x14ac:dyDescent="0.25">
      <c r="C72" s="9"/>
      <c r="D72" s="9"/>
    </row>
    <row r="73" spans="3:4" ht="15.75" customHeight="1" x14ac:dyDescent="0.25">
      <c r="C73" s="9"/>
      <c r="D73" s="9"/>
    </row>
    <row r="74" spans="3:4" ht="15.75" customHeight="1" x14ac:dyDescent="0.25">
      <c r="C74" s="9"/>
      <c r="D74" s="9"/>
    </row>
    <row r="75" spans="3:4" ht="15.75" customHeight="1" x14ac:dyDescent="0.25">
      <c r="C75" s="9"/>
      <c r="D75" s="9"/>
    </row>
    <row r="76" spans="3:4" ht="15.75" customHeight="1" x14ac:dyDescent="0.25">
      <c r="C76" s="9"/>
      <c r="D76" s="9"/>
    </row>
    <row r="77" spans="3:4" ht="15.75" customHeight="1" x14ac:dyDescent="0.25">
      <c r="C77" s="9"/>
      <c r="D77" s="9"/>
    </row>
    <row r="78" spans="3:4" ht="15.75" customHeight="1" x14ac:dyDescent="0.25">
      <c r="C78" s="9"/>
      <c r="D78" s="9"/>
    </row>
    <row r="79" spans="3:4" ht="15.75" customHeight="1" x14ac:dyDescent="0.25">
      <c r="C79" s="9"/>
      <c r="D79" s="9"/>
    </row>
    <row r="80" spans="3:4" ht="15.75" customHeight="1" x14ac:dyDescent="0.25">
      <c r="C80" s="9"/>
      <c r="D80" s="9"/>
    </row>
    <row r="81" spans="3:4" ht="15.75" customHeight="1" x14ac:dyDescent="0.25">
      <c r="C81" s="9"/>
      <c r="D81" s="9"/>
    </row>
    <row r="82" spans="3:4" ht="15.75" customHeight="1" x14ac:dyDescent="0.25">
      <c r="C82" s="9"/>
      <c r="D82" s="9"/>
    </row>
    <row r="83" spans="3:4" ht="15.75" customHeight="1" x14ac:dyDescent="0.25">
      <c r="C83" s="9"/>
      <c r="D83" s="9"/>
    </row>
    <row r="84" spans="3:4" ht="15.75" customHeight="1" x14ac:dyDescent="0.25">
      <c r="C84" s="9"/>
      <c r="D84" s="9"/>
    </row>
    <row r="85" spans="3:4" ht="15.75" customHeight="1" x14ac:dyDescent="0.25">
      <c r="C85" s="9"/>
      <c r="D85" s="9"/>
    </row>
    <row r="86" spans="3:4" ht="15.75" customHeight="1" x14ac:dyDescent="0.25">
      <c r="C86" s="9"/>
      <c r="D86" s="9"/>
    </row>
    <row r="87" spans="3:4" ht="15.75" customHeight="1" x14ac:dyDescent="0.25">
      <c r="C87" s="9"/>
      <c r="D87" s="9"/>
    </row>
    <row r="88" spans="3:4" ht="15.75" customHeight="1" x14ac:dyDescent="0.25">
      <c r="C88" s="9"/>
      <c r="D88" s="9"/>
    </row>
    <row r="89" spans="3:4" ht="15.75" customHeight="1" x14ac:dyDescent="0.25">
      <c r="C89" s="9"/>
      <c r="D89" s="9"/>
    </row>
    <row r="90" spans="3:4" ht="15.75" customHeight="1" x14ac:dyDescent="0.25">
      <c r="C90" s="9"/>
      <c r="D90" s="9"/>
    </row>
    <row r="91" spans="3:4" ht="15.75" customHeight="1" x14ac:dyDescent="0.25">
      <c r="C91" s="9"/>
      <c r="D91" s="9"/>
    </row>
    <row r="92" spans="3:4" ht="15.75" customHeight="1" x14ac:dyDescent="0.25">
      <c r="C92" s="9"/>
      <c r="D92" s="9"/>
    </row>
    <row r="93" spans="3:4" ht="15.75" customHeight="1" x14ac:dyDescent="0.25">
      <c r="C93" s="9"/>
      <c r="D93" s="9"/>
    </row>
    <row r="94" spans="3:4" ht="15.75" customHeight="1" x14ac:dyDescent="0.25">
      <c r="C94" s="9"/>
      <c r="D94" s="9"/>
    </row>
    <row r="95" spans="3:4" ht="15.75" customHeight="1" x14ac:dyDescent="0.25">
      <c r="C95" s="9"/>
      <c r="D95" s="9"/>
    </row>
    <row r="96" spans="3:4" ht="15.75" customHeight="1" x14ac:dyDescent="0.25">
      <c r="C96" s="9"/>
      <c r="D96" s="9"/>
    </row>
    <row r="97" spans="3:4" ht="15.75" customHeight="1" x14ac:dyDescent="0.25">
      <c r="C97" s="9"/>
      <c r="D97" s="9"/>
    </row>
    <row r="98" spans="3:4" ht="15.75" customHeight="1" x14ac:dyDescent="0.25">
      <c r="C98" s="9"/>
      <c r="D98" s="9"/>
    </row>
    <row r="99" spans="3:4" ht="15.75" customHeight="1" x14ac:dyDescent="0.25">
      <c r="C99" s="9"/>
      <c r="D99" s="9"/>
    </row>
    <row r="100" spans="3:4" ht="15.75" customHeight="1" x14ac:dyDescent="0.25">
      <c r="C100" s="9"/>
      <c r="D100" s="9"/>
    </row>
    <row r="101" spans="3:4" ht="15.75" customHeight="1" x14ac:dyDescent="0.25">
      <c r="C101" s="9"/>
      <c r="D101" s="9"/>
    </row>
    <row r="102" spans="3:4" ht="15.75" customHeight="1" x14ac:dyDescent="0.25">
      <c r="C102" s="9"/>
      <c r="D102" s="9"/>
    </row>
    <row r="103" spans="3:4" ht="15.75" customHeight="1" x14ac:dyDescent="0.25">
      <c r="C103" s="9"/>
      <c r="D103" s="9"/>
    </row>
    <row r="104" spans="3:4" ht="15.75" customHeight="1" x14ac:dyDescent="0.25">
      <c r="C104" s="9"/>
      <c r="D104" s="9"/>
    </row>
    <row r="105" spans="3:4" ht="15.75" customHeight="1" x14ac:dyDescent="0.25">
      <c r="C105" s="9"/>
      <c r="D105" s="9"/>
    </row>
    <row r="106" spans="3:4" ht="15.75" customHeight="1" x14ac:dyDescent="0.25">
      <c r="C106" s="9"/>
      <c r="D106" s="9"/>
    </row>
    <row r="107" spans="3:4" ht="15.75" customHeight="1" x14ac:dyDescent="0.25">
      <c r="C107" s="9"/>
      <c r="D107" s="9"/>
    </row>
    <row r="108" spans="3:4" ht="15.75" customHeight="1" x14ac:dyDescent="0.25">
      <c r="C108" s="9"/>
      <c r="D108" s="9"/>
    </row>
    <row r="109" spans="3:4" ht="15.75" customHeight="1" x14ac:dyDescent="0.25">
      <c r="C109" s="9"/>
      <c r="D109" s="9"/>
    </row>
    <row r="110" spans="3:4" ht="15.75" customHeight="1" x14ac:dyDescent="0.25">
      <c r="C110" s="9"/>
      <c r="D110" s="9"/>
    </row>
    <row r="111" spans="3:4" ht="15.75" customHeight="1" x14ac:dyDescent="0.25">
      <c r="C111" s="9"/>
      <c r="D111" s="9"/>
    </row>
    <row r="112" spans="3:4" ht="15.75" customHeight="1" x14ac:dyDescent="0.25">
      <c r="C112" s="9"/>
      <c r="D112" s="9"/>
    </row>
    <row r="113" spans="3:4" ht="15.75" customHeight="1" x14ac:dyDescent="0.25">
      <c r="C113" s="9"/>
      <c r="D113" s="9"/>
    </row>
    <row r="114" spans="3:4" ht="15.75" customHeight="1" x14ac:dyDescent="0.25">
      <c r="C114" s="9"/>
      <c r="D114" s="9"/>
    </row>
    <row r="115" spans="3:4" ht="15.75" customHeight="1" x14ac:dyDescent="0.25">
      <c r="C115" s="9"/>
      <c r="D115" s="9"/>
    </row>
    <row r="116" spans="3:4" ht="15.75" customHeight="1" x14ac:dyDescent="0.25">
      <c r="C116" s="9"/>
      <c r="D116" s="9"/>
    </row>
    <row r="117" spans="3:4" ht="15.75" customHeight="1" x14ac:dyDescent="0.25">
      <c r="C117" s="9"/>
      <c r="D117" s="9"/>
    </row>
    <row r="118" spans="3:4" ht="15.75" customHeight="1" x14ac:dyDescent="0.25">
      <c r="C118" s="9"/>
      <c r="D118" s="9"/>
    </row>
    <row r="119" spans="3:4" ht="15.75" customHeight="1" x14ac:dyDescent="0.25">
      <c r="C119" s="9"/>
      <c r="D119" s="9"/>
    </row>
    <row r="120" spans="3:4" ht="15.75" customHeight="1" x14ac:dyDescent="0.25">
      <c r="C120" s="9"/>
      <c r="D120" s="9"/>
    </row>
    <row r="121" spans="3:4" ht="15.75" customHeight="1" x14ac:dyDescent="0.25">
      <c r="C121" s="9"/>
      <c r="D121" s="9"/>
    </row>
    <row r="122" spans="3:4" ht="15.75" customHeight="1" x14ac:dyDescent="0.25">
      <c r="C122" s="9"/>
      <c r="D122" s="9"/>
    </row>
    <row r="123" spans="3:4" ht="15.75" customHeight="1" x14ac:dyDescent="0.25">
      <c r="C123" s="9"/>
      <c r="D123" s="9"/>
    </row>
    <row r="124" spans="3:4" ht="15.75" customHeight="1" x14ac:dyDescent="0.25">
      <c r="C124" s="9"/>
      <c r="D124" s="9"/>
    </row>
    <row r="125" spans="3:4" ht="15.75" customHeight="1" x14ac:dyDescent="0.25">
      <c r="C125" s="9"/>
      <c r="D125" s="9"/>
    </row>
    <row r="126" spans="3:4" ht="15.75" customHeight="1" x14ac:dyDescent="0.25">
      <c r="C126" s="9"/>
      <c r="D126" s="9"/>
    </row>
    <row r="127" spans="3:4" ht="15.75" customHeight="1" x14ac:dyDescent="0.25">
      <c r="C127" s="9"/>
      <c r="D127" s="9"/>
    </row>
    <row r="128" spans="3:4" ht="15.75" customHeight="1" x14ac:dyDescent="0.25">
      <c r="C128" s="9"/>
      <c r="D128" s="9"/>
    </row>
    <row r="129" spans="3:4" ht="15.75" customHeight="1" x14ac:dyDescent="0.25">
      <c r="C129" s="9"/>
      <c r="D129" s="9"/>
    </row>
    <row r="130" spans="3:4" ht="15.75" customHeight="1" x14ac:dyDescent="0.25">
      <c r="C130" s="9"/>
      <c r="D130" s="9"/>
    </row>
    <row r="131" spans="3:4" ht="15.75" customHeight="1" x14ac:dyDescent="0.25">
      <c r="C131" s="9"/>
      <c r="D131" s="9"/>
    </row>
    <row r="132" spans="3:4" ht="15.75" customHeight="1" x14ac:dyDescent="0.25">
      <c r="C132" s="9"/>
      <c r="D132" s="9"/>
    </row>
    <row r="133" spans="3:4" ht="15.75" customHeight="1" x14ac:dyDescent="0.25">
      <c r="C133" s="9"/>
      <c r="D133" s="9"/>
    </row>
    <row r="134" spans="3:4" ht="15.75" customHeight="1" x14ac:dyDescent="0.25">
      <c r="C134" s="9"/>
      <c r="D134" s="9"/>
    </row>
    <row r="135" spans="3:4" ht="15.75" customHeight="1" x14ac:dyDescent="0.25">
      <c r="C135" s="9"/>
      <c r="D135" s="9"/>
    </row>
    <row r="136" spans="3:4" ht="15.75" customHeight="1" x14ac:dyDescent="0.25">
      <c r="C136" s="9"/>
      <c r="D136" s="9"/>
    </row>
    <row r="137" spans="3:4" ht="15.75" customHeight="1" x14ac:dyDescent="0.25">
      <c r="C137" s="9"/>
      <c r="D137" s="9"/>
    </row>
    <row r="138" spans="3:4" ht="15.75" customHeight="1" x14ac:dyDescent="0.25">
      <c r="C138" s="9"/>
      <c r="D138" s="9"/>
    </row>
    <row r="139" spans="3:4" ht="15.75" customHeight="1" x14ac:dyDescent="0.25">
      <c r="C139" s="9"/>
      <c r="D139" s="9"/>
    </row>
    <row r="140" spans="3:4" ht="15.75" customHeight="1" x14ac:dyDescent="0.25">
      <c r="C140" s="9"/>
      <c r="D140" s="9"/>
    </row>
    <row r="141" spans="3:4" ht="15.75" customHeight="1" x14ac:dyDescent="0.25">
      <c r="C141" s="9"/>
      <c r="D141" s="9"/>
    </row>
    <row r="142" spans="3:4" ht="15.75" customHeight="1" x14ac:dyDescent="0.25">
      <c r="C142" s="9"/>
      <c r="D142" s="9"/>
    </row>
    <row r="143" spans="3:4" ht="15.75" customHeight="1" x14ac:dyDescent="0.25">
      <c r="C143" s="9"/>
      <c r="D143" s="9"/>
    </row>
    <row r="144" spans="3:4" ht="15.75" customHeight="1" x14ac:dyDescent="0.25">
      <c r="C144" s="9"/>
      <c r="D144" s="9"/>
    </row>
    <row r="145" spans="3:4" ht="15.75" customHeight="1" x14ac:dyDescent="0.25">
      <c r="C145" s="9"/>
      <c r="D145" s="9"/>
    </row>
    <row r="146" spans="3:4" ht="15.75" customHeight="1" x14ac:dyDescent="0.25">
      <c r="C146" s="9"/>
      <c r="D146" s="9"/>
    </row>
    <row r="147" spans="3:4" ht="15.75" customHeight="1" x14ac:dyDescent="0.25">
      <c r="C147" s="9"/>
      <c r="D147" s="9"/>
    </row>
    <row r="148" spans="3:4" ht="15.75" customHeight="1" x14ac:dyDescent="0.25">
      <c r="C148" s="9"/>
      <c r="D148" s="9"/>
    </row>
    <row r="149" spans="3:4" ht="15.75" customHeight="1" x14ac:dyDescent="0.25">
      <c r="C149" s="9"/>
      <c r="D149" s="9"/>
    </row>
    <row r="150" spans="3:4" ht="15.75" customHeight="1" x14ac:dyDescent="0.25">
      <c r="C150" s="9"/>
      <c r="D150" s="9"/>
    </row>
    <row r="151" spans="3:4" ht="15.75" customHeight="1" x14ac:dyDescent="0.25">
      <c r="C151" s="9"/>
      <c r="D151" s="9"/>
    </row>
    <row r="152" spans="3:4" ht="15.75" customHeight="1" x14ac:dyDescent="0.25">
      <c r="C152" s="9"/>
      <c r="D152" s="9"/>
    </row>
    <row r="153" spans="3:4" ht="15.75" customHeight="1" x14ac:dyDescent="0.25">
      <c r="C153" s="9"/>
      <c r="D153" s="9"/>
    </row>
    <row r="154" spans="3:4" ht="15.75" customHeight="1" x14ac:dyDescent="0.25">
      <c r="C154" s="9"/>
      <c r="D154" s="9"/>
    </row>
    <row r="155" spans="3:4" ht="15.75" customHeight="1" x14ac:dyDescent="0.25">
      <c r="C155" s="9"/>
      <c r="D155" s="9"/>
    </row>
    <row r="156" spans="3:4" ht="15.75" customHeight="1" x14ac:dyDescent="0.25">
      <c r="C156" s="9"/>
      <c r="D156" s="9"/>
    </row>
    <row r="157" spans="3:4" ht="15.75" customHeight="1" x14ac:dyDescent="0.25">
      <c r="C157" s="9"/>
      <c r="D157" s="9"/>
    </row>
    <row r="158" spans="3:4" ht="15.75" customHeight="1" x14ac:dyDescent="0.25">
      <c r="C158" s="9"/>
      <c r="D158" s="9"/>
    </row>
    <row r="159" spans="3:4" ht="15.75" customHeight="1" x14ac:dyDescent="0.25">
      <c r="C159" s="9"/>
      <c r="D159" s="9"/>
    </row>
    <row r="160" spans="3:4" ht="15.75" customHeight="1" x14ac:dyDescent="0.25">
      <c r="C160" s="9"/>
      <c r="D160" s="9"/>
    </row>
    <row r="161" spans="3:4" ht="15.75" customHeight="1" x14ac:dyDescent="0.25">
      <c r="C161" s="9"/>
      <c r="D161" s="9"/>
    </row>
    <row r="162" spans="3:4" ht="15.75" customHeight="1" x14ac:dyDescent="0.25">
      <c r="C162" s="9"/>
      <c r="D162" s="9"/>
    </row>
    <row r="163" spans="3:4" ht="15.75" customHeight="1" x14ac:dyDescent="0.25">
      <c r="C163" s="9"/>
      <c r="D163" s="9"/>
    </row>
    <row r="164" spans="3:4" ht="15.75" customHeight="1" x14ac:dyDescent="0.25">
      <c r="C164" s="9"/>
      <c r="D164" s="9"/>
    </row>
    <row r="165" spans="3:4" ht="15.75" customHeight="1" x14ac:dyDescent="0.25">
      <c r="C165" s="9"/>
      <c r="D165" s="9"/>
    </row>
    <row r="166" spans="3:4" ht="15.75" customHeight="1" x14ac:dyDescent="0.25">
      <c r="C166" s="9"/>
      <c r="D166" s="9"/>
    </row>
    <row r="167" spans="3:4" ht="15.75" customHeight="1" x14ac:dyDescent="0.25">
      <c r="C167" s="9"/>
      <c r="D167" s="9"/>
    </row>
    <row r="168" spans="3:4" ht="15.75" customHeight="1" x14ac:dyDescent="0.25">
      <c r="C168" s="9"/>
      <c r="D168" s="9"/>
    </row>
    <row r="169" spans="3:4" ht="15.75" customHeight="1" x14ac:dyDescent="0.25">
      <c r="C169" s="9"/>
      <c r="D169" s="9"/>
    </row>
    <row r="170" spans="3:4" ht="15.75" customHeight="1" x14ac:dyDescent="0.25">
      <c r="C170" s="9"/>
      <c r="D170" s="9"/>
    </row>
    <row r="171" spans="3:4" ht="15.75" customHeight="1" x14ac:dyDescent="0.25">
      <c r="C171" s="9"/>
      <c r="D171" s="9"/>
    </row>
    <row r="172" spans="3:4" ht="15.75" customHeight="1" x14ac:dyDescent="0.25">
      <c r="C172" s="9"/>
      <c r="D172" s="9"/>
    </row>
    <row r="173" spans="3:4" ht="15.75" customHeight="1" x14ac:dyDescent="0.25">
      <c r="C173" s="9"/>
      <c r="D173" s="9"/>
    </row>
    <row r="174" spans="3:4" ht="15.75" customHeight="1" x14ac:dyDescent="0.25">
      <c r="C174" s="9"/>
      <c r="D174" s="9"/>
    </row>
    <row r="175" spans="3:4" ht="15.75" customHeight="1" x14ac:dyDescent="0.25">
      <c r="C175" s="9"/>
      <c r="D175" s="9"/>
    </row>
    <row r="176" spans="3:4" ht="15.75" customHeight="1" x14ac:dyDescent="0.25">
      <c r="C176" s="9"/>
      <c r="D176" s="9"/>
    </row>
    <row r="177" spans="3:4" ht="15.75" customHeight="1" x14ac:dyDescent="0.25">
      <c r="C177" s="9"/>
      <c r="D177" s="9"/>
    </row>
    <row r="178" spans="3:4" ht="15.75" customHeight="1" x14ac:dyDescent="0.25">
      <c r="C178" s="9"/>
      <c r="D178" s="9"/>
    </row>
    <row r="179" spans="3:4" ht="15.75" customHeight="1" x14ac:dyDescent="0.25">
      <c r="C179" s="9"/>
      <c r="D179" s="9"/>
    </row>
    <row r="180" spans="3:4" ht="15.75" customHeight="1" x14ac:dyDescent="0.25">
      <c r="C180" s="9"/>
      <c r="D180" s="9"/>
    </row>
    <row r="181" spans="3:4" ht="15.75" customHeight="1" x14ac:dyDescent="0.25">
      <c r="C181" s="9"/>
      <c r="D181" s="9"/>
    </row>
    <row r="182" spans="3:4" ht="15.75" customHeight="1" x14ac:dyDescent="0.25">
      <c r="C182" s="9"/>
      <c r="D182" s="9"/>
    </row>
    <row r="183" spans="3:4" ht="15.75" customHeight="1" x14ac:dyDescent="0.25">
      <c r="C183" s="9"/>
      <c r="D183" s="9"/>
    </row>
    <row r="184" spans="3:4" ht="15.75" customHeight="1" x14ac:dyDescent="0.25">
      <c r="C184" s="9"/>
      <c r="D184" s="9"/>
    </row>
    <row r="185" spans="3:4" ht="15.75" customHeight="1" x14ac:dyDescent="0.25">
      <c r="C185" s="9"/>
      <c r="D185" s="9"/>
    </row>
    <row r="186" spans="3:4" ht="15.75" customHeight="1" x14ac:dyDescent="0.25">
      <c r="C186" s="9"/>
      <c r="D186" s="9"/>
    </row>
    <row r="187" spans="3:4" ht="15.75" customHeight="1" x14ac:dyDescent="0.25">
      <c r="C187" s="9"/>
      <c r="D187" s="9"/>
    </row>
    <row r="188" spans="3:4" ht="15.75" customHeight="1" x14ac:dyDescent="0.25">
      <c r="C188" s="9"/>
      <c r="D188" s="9"/>
    </row>
    <row r="189" spans="3:4" ht="15.75" customHeight="1" x14ac:dyDescent="0.25">
      <c r="C189" s="9"/>
      <c r="D189" s="9"/>
    </row>
    <row r="190" spans="3:4" ht="15.75" customHeight="1" x14ac:dyDescent="0.25">
      <c r="C190" s="9"/>
      <c r="D190" s="9"/>
    </row>
    <row r="191" spans="3:4" ht="15.75" customHeight="1" x14ac:dyDescent="0.25">
      <c r="C191" s="9"/>
      <c r="D191" s="9"/>
    </row>
    <row r="192" spans="3:4" ht="15.75" customHeight="1" x14ac:dyDescent="0.25">
      <c r="C192" s="9"/>
      <c r="D192" s="9"/>
    </row>
    <row r="193" spans="3:4" ht="15.75" customHeight="1" x14ac:dyDescent="0.25">
      <c r="C193" s="9"/>
      <c r="D193" s="9"/>
    </row>
    <row r="194" spans="3:4" ht="15.75" customHeight="1" x14ac:dyDescent="0.25">
      <c r="C194" s="9"/>
      <c r="D194" s="9"/>
    </row>
    <row r="195" spans="3:4" ht="15.75" customHeight="1" x14ac:dyDescent="0.25">
      <c r="C195" s="9"/>
      <c r="D195" s="9"/>
    </row>
    <row r="196" spans="3:4" ht="15.75" customHeight="1" x14ac:dyDescent="0.25">
      <c r="C196" s="9"/>
      <c r="D196" s="9"/>
    </row>
    <row r="197" spans="3:4" ht="15.75" customHeight="1" x14ac:dyDescent="0.25">
      <c r="C197" s="9"/>
      <c r="D197" s="9"/>
    </row>
    <row r="198" spans="3:4" ht="15.75" customHeight="1" x14ac:dyDescent="0.25">
      <c r="C198" s="9"/>
      <c r="D198" s="9"/>
    </row>
    <row r="199" spans="3:4" ht="15.75" customHeight="1" x14ac:dyDescent="0.25">
      <c r="C199" s="9"/>
      <c r="D199" s="9"/>
    </row>
    <row r="200" spans="3:4" ht="15.75" customHeight="1" x14ac:dyDescent="0.25">
      <c r="C200" s="9"/>
      <c r="D200" s="9"/>
    </row>
    <row r="201" spans="3:4" ht="15.75" customHeight="1" x14ac:dyDescent="0.25">
      <c r="C201" s="9"/>
      <c r="D201" s="9"/>
    </row>
    <row r="202" spans="3:4" ht="15.75" customHeight="1" x14ac:dyDescent="0.25">
      <c r="C202" s="9"/>
      <c r="D202" s="9"/>
    </row>
    <row r="203" spans="3:4" ht="15.75" customHeight="1" x14ac:dyDescent="0.25">
      <c r="C203" s="9"/>
      <c r="D203" s="9"/>
    </row>
    <row r="204" spans="3:4" ht="15.75" customHeight="1" x14ac:dyDescent="0.25">
      <c r="C204" s="9"/>
      <c r="D204" s="9"/>
    </row>
    <row r="205" spans="3:4" ht="15.75" customHeight="1" x14ac:dyDescent="0.25">
      <c r="C205" s="9"/>
      <c r="D205" s="9"/>
    </row>
    <row r="206" spans="3:4" ht="15.75" customHeight="1" x14ac:dyDescent="0.25">
      <c r="C206" s="9"/>
      <c r="D206" s="9"/>
    </row>
    <row r="207" spans="3:4" ht="15.75" customHeight="1" x14ac:dyDescent="0.25">
      <c r="C207" s="9"/>
      <c r="D207" s="9"/>
    </row>
    <row r="208" spans="3:4" ht="15.75" customHeight="1" x14ac:dyDescent="0.25">
      <c r="C208" s="9"/>
      <c r="D208" s="9"/>
    </row>
    <row r="209" spans="3:4" ht="15.75" customHeight="1" x14ac:dyDescent="0.25">
      <c r="C209" s="9"/>
      <c r="D209" s="9"/>
    </row>
    <row r="210" spans="3:4" ht="15.75" customHeight="1" x14ac:dyDescent="0.25">
      <c r="C210" s="9"/>
      <c r="D210" s="9"/>
    </row>
    <row r="211" spans="3:4" ht="15.75" customHeight="1" x14ac:dyDescent="0.25">
      <c r="C211" s="9"/>
      <c r="D211" s="9"/>
    </row>
    <row r="212" spans="3:4" ht="15.75" customHeight="1" x14ac:dyDescent="0.25">
      <c r="C212" s="9"/>
      <c r="D212" s="9"/>
    </row>
    <row r="213" spans="3:4" ht="15.75" customHeight="1" x14ac:dyDescent="0.25">
      <c r="C213" s="9"/>
      <c r="D213" s="9"/>
    </row>
    <row r="214" spans="3:4" ht="15.75" customHeight="1" x14ac:dyDescent="0.25">
      <c r="C214" s="9"/>
      <c r="D214" s="9"/>
    </row>
    <row r="215" spans="3:4" ht="15.75" customHeight="1" x14ac:dyDescent="0.25">
      <c r="C215" s="9"/>
      <c r="D215" s="9"/>
    </row>
    <row r="216" spans="3:4" ht="15.75" customHeight="1" x14ac:dyDescent="0.25">
      <c r="C216" s="9"/>
      <c r="D216" s="9"/>
    </row>
    <row r="217" spans="3:4" ht="15.75" customHeight="1" x14ac:dyDescent="0.25">
      <c r="C217" s="9"/>
      <c r="D217" s="9"/>
    </row>
    <row r="218" spans="3:4" ht="15.75" customHeight="1" x14ac:dyDescent="0.25">
      <c r="C218" s="9"/>
      <c r="D218" s="9"/>
    </row>
    <row r="219" spans="3:4" ht="15.75" customHeight="1" x14ac:dyDescent="0.25">
      <c r="C219" s="9"/>
      <c r="D219" s="9"/>
    </row>
    <row r="220" spans="3:4" ht="15.75" customHeight="1" x14ac:dyDescent="0.25">
      <c r="C220" s="9"/>
      <c r="D220" s="9"/>
    </row>
    <row r="221" spans="3:4" ht="15.75" customHeight="1" x14ac:dyDescent="0.25">
      <c r="C221" s="9"/>
      <c r="D221" s="9"/>
    </row>
    <row r="222" spans="3:4" ht="15.75" customHeight="1" x14ac:dyDescent="0.25">
      <c r="C222" s="9"/>
      <c r="D222" s="9"/>
    </row>
    <row r="223" spans="3:4" ht="15.75" customHeight="1" x14ac:dyDescent="0.25">
      <c r="C223" s="9"/>
      <c r="D223" s="9"/>
    </row>
    <row r="224" spans="3:4" ht="15.75" customHeight="1" x14ac:dyDescent="0.25">
      <c r="C224" s="9"/>
      <c r="D224" s="9"/>
    </row>
    <row r="225" spans="3:4" ht="15.75" customHeight="1" x14ac:dyDescent="0.25">
      <c r="C225" s="9"/>
      <c r="D225" s="9"/>
    </row>
    <row r="226" spans="3:4" ht="15.75" customHeight="1" x14ac:dyDescent="0.25">
      <c r="C226" s="9"/>
      <c r="D226" s="9"/>
    </row>
    <row r="227" spans="3:4" ht="15.75" customHeight="1" x14ac:dyDescent="0.25">
      <c r="C227" s="9"/>
      <c r="D227" s="9"/>
    </row>
    <row r="228" spans="3:4" ht="15.75" customHeight="1" x14ac:dyDescent="0.25">
      <c r="C228" s="9"/>
      <c r="D228" s="9"/>
    </row>
    <row r="229" spans="3:4" ht="15.75" customHeight="1" x14ac:dyDescent="0.25">
      <c r="C229" s="9"/>
      <c r="D229" s="9"/>
    </row>
    <row r="230" spans="3:4" ht="15.75" customHeight="1" x14ac:dyDescent="0.25">
      <c r="C230" s="9"/>
      <c r="D230" s="9"/>
    </row>
    <row r="231" spans="3:4" ht="15.75" customHeight="1" x14ac:dyDescent="0.25">
      <c r="C231" s="9"/>
      <c r="D231" s="9"/>
    </row>
    <row r="232" spans="3:4" ht="15.75" customHeight="1" x14ac:dyDescent="0.25">
      <c r="C232" s="9"/>
      <c r="D232" s="9"/>
    </row>
    <row r="233" spans="3:4" ht="15.75" customHeight="1" x14ac:dyDescent="0.25">
      <c r="C233" s="9"/>
      <c r="D233" s="9"/>
    </row>
    <row r="234" spans="3:4" ht="15.75" customHeight="1" x14ac:dyDescent="0.25">
      <c r="C234" s="9"/>
      <c r="D234" s="9"/>
    </row>
    <row r="235" spans="3:4" ht="15.75" customHeight="1" x14ac:dyDescent="0.25">
      <c r="C235" s="9"/>
      <c r="D235" s="9"/>
    </row>
    <row r="236" spans="3:4" ht="15.75" customHeight="1" x14ac:dyDescent="0.25">
      <c r="C236" s="9"/>
      <c r="D236" s="9"/>
    </row>
    <row r="237" spans="3:4" ht="15.75" customHeight="1" x14ac:dyDescent="0.25">
      <c r="C237" s="9"/>
      <c r="D237" s="9"/>
    </row>
    <row r="238" spans="3:4" ht="15.75" customHeight="1" x14ac:dyDescent="0.25">
      <c r="C238" s="9"/>
      <c r="D238" s="9"/>
    </row>
    <row r="239" spans="3:4" ht="15.75" customHeight="1" x14ac:dyDescent="0.25">
      <c r="C239" s="9"/>
      <c r="D239" s="9"/>
    </row>
    <row r="240" spans="3:4" ht="15.75" customHeight="1" x14ac:dyDescent="0.25">
      <c r="C240" s="9"/>
      <c r="D240" s="9"/>
    </row>
    <row r="241" spans="3:4" ht="15.75" customHeight="1" x14ac:dyDescent="0.25">
      <c r="C241" s="9"/>
      <c r="D241" s="9"/>
    </row>
    <row r="242" spans="3:4" ht="15.75" customHeight="1" x14ac:dyDescent="0.25">
      <c r="C242" s="9"/>
      <c r="D242" s="9"/>
    </row>
    <row r="243" spans="3:4" ht="15.75" customHeight="1" x14ac:dyDescent="0.25">
      <c r="C243" s="9"/>
      <c r="D243" s="9"/>
    </row>
    <row r="244" spans="3:4" ht="15.75" customHeight="1" x14ac:dyDescent="0.25">
      <c r="C244" s="9"/>
      <c r="D244" s="9"/>
    </row>
    <row r="245" spans="3:4" ht="15.75" customHeight="1" x14ac:dyDescent="0.25">
      <c r="C245" s="9"/>
      <c r="D245" s="9"/>
    </row>
    <row r="246" spans="3:4" ht="15.75" customHeight="1" x14ac:dyDescent="0.25">
      <c r="C246" s="9"/>
      <c r="D246" s="9"/>
    </row>
    <row r="247" spans="3:4" ht="15.75" customHeight="1" x14ac:dyDescent="0.25">
      <c r="C247" s="9"/>
      <c r="D247" s="9"/>
    </row>
    <row r="248" spans="3:4" ht="15.75" customHeight="1" x14ac:dyDescent="0.25">
      <c r="C248" s="9"/>
      <c r="D248" s="9"/>
    </row>
    <row r="249" spans="3:4" ht="15.75" customHeight="1" x14ac:dyDescent="0.25">
      <c r="C249" s="9"/>
      <c r="D249" s="9"/>
    </row>
    <row r="250" spans="3:4" ht="15.75" customHeight="1" x14ac:dyDescent="0.25">
      <c r="C250" s="9"/>
      <c r="D250" s="9"/>
    </row>
    <row r="251" spans="3:4" ht="15.75" customHeight="1" x14ac:dyDescent="0.25">
      <c r="C251" s="9"/>
      <c r="D251" s="9"/>
    </row>
    <row r="252" spans="3:4" ht="15.75" customHeight="1" x14ac:dyDescent="0.25">
      <c r="C252" s="9"/>
      <c r="D252" s="9"/>
    </row>
    <row r="253" spans="3:4" ht="15.75" customHeight="1" x14ac:dyDescent="0.25">
      <c r="C253" s="9"/>
      <c r="D253" s="9"/>
    </row>
    <row r="254" spans="3:4" ht="15.75" customHeight="1" x14ac:dyDescent="0.25">
      <c r="C254" s="9"/>
      <c r="D254" s="9"/>
    </row>
    <row r="255" spans="3:4" ht="15.75" customHeight="1" x14ac:dyDescent="0.25">
      <c r="C255" s="9"/>
      <c r="D255" s="9"/>
    </row>
    <row r="256" spans="3:4" ht="15.75" customHeight="1" x14ac:dyDescent="0.25">
      <c r="C256" s="9"/>
      <c r="D256" s="9"/>
    </row>
    <row r="257" spans="3:4" ht="15.75" customHeight="1" x14ac:dyDescent="0.25">
      <c r="C257" s="9"/>
      <c r="D257" s="9"/>
    </row>
    <row r="258" spans="3:4" ht="15.75" customHeight="1" x14ac:dyDescent="0.25">
      <c r="C258" s="9"/>
      <c r="D258" s="9"/>
    </row>
    <row r="259" spans="3:4" ht="15.75" customHeight="1" x14ac:dyDescent="0.25">
      <c r="C259" s="9"/>
      <c r="D259" s="9"/>
    </row>
    <row r="260" spans="3:4" ht="15.75" customHeight="1" x14ac:dyDescent="0.25">
      <c r="C260" s="9"/>
      <c r="D260" s="9"/>
    </row>
    <row r="261" spans="3:4" ht="15.75" customHeight="1" x14ac:dyDescent="0.25">
      <c r="C261" s="9"/>
      <c r="D261" s="9"/>
    </row>
    <row r="262" spans="3:4" ht="15.75" customHeight="1" x14ac:dyDescent="0.25">
      <c r="C262" s="9"/>
      <c r="D262" s="9"/>
    </row>
    <row r="263" spans="3:4" ht="15.75" customHeight="1" x14ac:dyDescent="0.25">
      <c r="C263" s="9"/>
      <c r="D263" s="9"/>
    </row>
    <row r="264" spans="3:4" ht="15.75" customHeight="1" x14ac:dyDescent="0.25">
      <c r="C264" s="9"/>
      <c r="D264" s="9"/>
    </row>
    <row r="265" spans="3:4" ht="15.75" customHeight="1" x14ac:dyDescent="0.25">
      <c r="C265" s="9"/>
      <c r="D265" s="9"/>
    </row>
    <row r="266" spans="3:4" ht="15.75" customHeight="1" x14ac:dyDescent="0.25">
      <c r="C266" s="9"/>
      <c r="D266" s="9"/>
    </row>
    <row r="267" spans="3:4" ht="15.75" customHeight="1" x14ac:dyDescent="0.25">
      <c r="C267" s="9"/>
      <c r="D267" s="9"/>
    </row>
    <row r="268" spans="3:4" ht="15.75" customHeight="1" x14ac:dyDescent="0.25">
      <c r="C268" s="9"/>
      <c r="D268" s="9"/>
    </row>
    <row r="269" spans="3:4" ht="15.75" customHeight="1" x14ac:dyDescent="0.25">
      <c r="C269" s="9"/>
      <c r="D269" s="9"/>
    </row>
    <row r="270" spans="3:4" ht="15.75" customHeight="1" x14ac:dyDescent="0.25">
      <c r="C270" s="9"/>
      <c r="D270" s="9"/>
    </row>
    <row r="271" spans="3:4" ht="15.75" customHeight="1" x14ac:dyDescent="0.25">
      <c r="C271" s="9"/>
      <c r="D271" s="9"/>
    </row>
    <row r="272" spans="3:4" ht="15.75" customHeight="1" x14ac:dyDescent="0.25">
      <c r="C272" s="9"/>
      <c r="D272" s="9"/>
    </row>
    <row r="273" spans="3:4" ht="15.75" customHeight="1" x14ac:dyDescent="0.25">
      <c r="C273" s="9"/>
      <c r="D273" s="9"/>
    </row>
    <row r="274" spans="3:4" ht="15.75" customHeight="1" x14ac:dyDescent="0.25">
      <c r="C274" s="9"/>
      <c r="D274" s="9"/>
    </row>
    <row r="275" spans="3:4" ht="15.75" customHeight="1" x14ac:dyDescent="0.25">
      <c r="C275" s="9"/>
      <c r="D275" s="9"/>
    </row>
    <row r="276" spans="3:4" ht="15.75" customHeight="1" x14ac:dyDescent="0.25">
      <c r="C276" s="9"/>
      <c r="D276" s="9"/>
    </row>
    <row r="277" spans="3:4" ht="15.75" customHeight="1" x14ac:dyDescent="0.25">
      <c r="C277" s="9"/>
      <c r="D277" s="9"/>
    </row>
    <row r="278" spans="3:4" ht="15.75" customHeight="1" x14ac:dyDescent="0.25">
      <c r="C278" s="9"/>
      <c r="D278" s="9"/>
    </row>
    <row r="279" spans="3:4" ht="15.75" customHeight="1" x14ac:dyDescent="0.25">
      <c r="C279" s="9"/>
      <c r="D279" s="9"/>
    </row>
    <row r="280" spans="3:4" ht="15.75" customHeight="1" x14ac:dyDescent="0.25">
      <c r="C280" s="9"/>
      <c r="D280" s="9"/>
    </row>
    <row r="281" spans="3:4" ht="15.75" customHeight="1" x14ac:dyDescent="0.25">
      <c r="C281" s="9"/>
      <c r="D281" s="9"/>
    </row>
    <row r="282" spans="3:4" ht="15.75" customHeight="1" x14ac:dyDescent="0.25">
      <c r="C282" s="9"/>
      <c r="D282" s="9"/>
    </row>
    <row r="283" spans="3:4" ht="15.75" customHeight="1" x14ac:dyDescent="0.25">
      <c r="C283" s="9"/>
      <c r="D283" s="9"/>
    </row>
    <row r="284" spans="3:4" ht="15.75" customHeight="1" x14ac:dyDescent="0.25">
      <c r="C284" s="9"/>
      <c r="D284" s="9"/>
    </row>
    <row r="285" spans="3:4" ht="15.75" customHeight="1" x14ac:dyDescent="0.25">
      <c r="C285" s="9"/>
      <c r="D285" s="9"/>
    </row>
    <row r="286" spans="3:4" ht="15.75" customHeight="1" x14ac:dyDescent="0.25">
      <c r="C286" s="9"/>
      <c r="D286" s="9"/>
    </row>
    <row r="287" spans="3:4" ht="15.75" customHeight="1" x14ac:dyDescent="0.25">
      <c r="C287" s="9"/>
      <c r="D287" s="9"/>
    </row>
    <row r="288" spans="3:4" ht="15.75" customHeight="1" x14ac:dyDescent="0.25">
      <c r="C288" s="9"/>
      <c r="D288" s="9"/>
    </row>
    <row r="289" spans="3:4" ht="15.75" customHeight="1" x14ac:dyDescent="0.25">
      <c r="C289" s="9"/>
      <c r="D289" s="9"/>
    </row>
    <row r="290" spans="3:4" ht="15.75" customHeight="1" x14ac:dyDescent="0.25">
      <c r="C290" s="9"/>
      <c r="D290" s="9"/>
    </row>
    <row r="291" spans="3:4" ht="15.75" customHeight="1" x14ac:dyDescent="0.25">
      <c r="C291" s="9"/>
      <c r="D291" s="9"/>
    </row>
    <row r="292" spans="3:4" ht="15.75" customHeight="1" x14ac:dyDescent="0.25">
      <c r="C292" s="9"/>
      <c r="D292" s="9"/>
    </row>
    <row r="293" spans="3:4" ht="15.75" customHeight="1" x14ac:dyDescent="0.25">
      <c r="C293" s="9"/>
      <c r="D293" s="9"/>
    </row>
    <row r="294" spans="3:4" ht="15.75" customHeight="1" x14ac:dyDescent="0.25">
      <c r="C294" s="9"/>
      <c r="D294" s="9"/>
    </row>
    <row r="295" spans="3:4" ht="15.75" customHeight="1" x14ac:dyDescent="0.25">
      <c r="C295" s="9"/>
      <c r="D295" s="9"/>
    </row>
    <row r="296" spans="3:4" ht="15.75" customHeight="1" x14ac:dyDescent="0.25">
      <c r="C296" s="9"/>
      <c r="D296" s="9"/>
    </row>
    <row r="297" spans="3:4" ht="15.75" customHeight="1" x14ac:dyDescent="0.25">
      <c r="C297" s="9"/>
      <c r="D297" s="9"/>
    </row>
    <row r="298" spans="3:4" ht="15.75" customHeight="1" x14ac:dyDescent="0.25">
      <c r="C298" s="9"/>
      <c r="D298" s="9"/>
    </row>
    <row r="299" spans="3:4" ht="15.75" customHeight="1" x14ac:dyDescent="0.25">
      <c r="C299" s="9"/>
      <c r="D299" s="9"/>
    </row>
    <row r="300" spans="3:4" ht="15.75" customHeight="1" x14ac:dyDescent="0.25">
      <c r="C300" s="9"/>
      <c r="D300" s="9"/>
    </row>
    <row r="301" spans="3:4" ht="15.75" customHeight="1" x14ac:dyDescent="0.25">
      <c r="C301" s="9"/>
      <c r="D301" s="9"/>
    </row>
    <row r="302" spans="3:4" ht="15.75" customHeight="1" x14ac:dyDescent="0.25">
      <c r="C302" s="9"/>
      <c r="D302" s="9"/>
    </row>
    <row r="303" spans="3:4" ht="15.75" customHeight="1" x14ac:dyDescent="0.25">
      <c r="C303" s="9"/>
      <c r="D303" s="9"/>
    </row>
    <row r="304" spans="3:4" ht="15.75" customHeight="1" x14ac:dyDescent="0.25">
      <c r="C304" s="9"/>
      <c r="D304" s="9"/>
    </row>
    <row r="305" spans="3:4" ht="15.75" customHeight="1" x14ac:dyDescent="0.25">
      <c r="C305" s="9"/>
      <c r="D305" s="9"/>
    </row>
    <row r="306" spans="3:4" ht="15.75" customHeight="1" x14ac:dyDescent="0.25">
      <c r="C306" s="9"/>
      <c r="D306" s="9"/>
    </row>
    <row r="307" spans="3:4" ht="15.75" customHeight="1" x14ac:dyDescent="0.25">
      <c r="C307" s="9"/>
      <c r="D307" s="9"/>
    </row>
    <row r="308" spans="3:4" ht="15.75" customHeight="1" x14ac:dyDescent="0.25">
      <c r="C308" s="9"/>
      <c r="D308" s="9"/>
    </row>
    <row r="309" spans="3:4" ht="15.75" customHeight="1" x14ac:dyDescent="0.25">
      <c r="C309" s="9"/>
      <c r="D309" s="9"/>
    </row>
    <row r="310" spans="3:4" ht="15.75" customHeight="1" x14ac:dyDescent="0.25">
      <c r="C310" s="9"/>
      <c r="D310" s="9"/>
    </row>
    <row r="311" spans="3:4" ht="15.75" customHeight="1" x14ac:dyDescent="0.25">
      <c r="C311" s="9"/>
      <c r="D311" s="9"/>
    </row>
    <row r="312" spans="3:4" ht="15.75" customHeight="1" x14ac:dyDescent="0.25">
      <c r="C312" s="9"/>
      <c r="D312" s="9"/>
    </row>
    <row r="313" spans="3:4" ht="15.75" customHeight="1" x14ac:dyDescent="0.25">
      <c r="C313" s="9"/>
      <c r="D313" s="9"/>
    </row>
    <row r="314" spans="3:4" ht="15.75" customHeight="1" x14ac:dyDescent="0.25">
      <c r="C314" s="9"/>
      <c r="D314" s="9"/>
    </row>
    <row r="315" spans="3:4" ht="15.75" customHeight="1" x14ac:dyDescent="0.25">
      <c r="C315" s="9"/>
      <c r="D315" s="9"/>
    </row>
    <row r="316" spans="3:4" ht="15.75" customHeight="1" x14ac:dyDescent="0.25">
      <c r="C316" s="9"/>
      <c r="D316" s="9"/>
    </row>
    <row r="317" spans="3:4" ht="15.75" customHeight="1" x14ac:dyDescent="0.25">
      <c r="C317" s="9"/>
      <c r="D317" s="9"/>
    </row>
    <row r="318" spans="3:4" ht="15.75" customHeight="1" x14ac:dyDescent="0.25">
      <c r="C318" s="9"/>
      <c r="D318" s="9"/>
    </row>
    <row r="319" spans="3:4" ht="15.75" customHeight="1" x14ac:dyDescent="0.25">
      <c r="C319" s="9"/>
      <c r="D319" s="9"/>
    </row>
    <row r="320" spans="3:4" ht="15.75" customHeight="1" x14ac:dyDescent="0.25">
      <c r="C320" s="9"/>
      <c r="D320" s="9"/>
    </row>
    <row r="321" spans="3:4" ht="15.75" customHeight="1" x14ac:dyDescent="0.25">
      <c r="C321" s="9"/>
      <c r="D321" s="9"/>
    </row>
    <row r="322" spans="3:4" ht="15.75" customHeight="1" x14ac:dyDescent="0.25">
      <c r="C322" s="9"/>
      <c r="D322" s="9"/>
    </row>
    <row r="323" spans="3:4" ht="15.75" customHeight="1" x14ac:dyDescent="0.25">
      <c r="C323" s="9"/>
      <c r="D323" s="9"/>
    </row>
    <row r="324" spans="3:4" ht="15.75" customHeight="1" x14ac:dyDescent="0.25">
      <c r="C324" s="9"/>
      <c r="D324" s="9"/>
    </row>
    <row r="325" spans="3:4" ht="15.75" customHeight="1" x14ac:dyDescent="0.25">
      <c r="C325" s="9"/>
      <c r="D325" s="9"/>
    </row>
    <row r="326" spans="3:4" ht="15.75" customHeight="1" x14ac:dyDescent="0.25">
      <c r="C326" s="9"/>
      <c r="D326" s="9"/>
    </row>
    <row r="327" spans="3:4" ht="15.75" customHeight="1" x14ac:dyDescent="0.25">
      <c r="C327" s="9"/>
      <c r="D327" s="9"/>
    </row>
    <row r="328" spans="3:4" ht="15.75" customHeight="1" x14ac:dyDescent="0.25">
      <c r="C328" s="9"/>
      <c r="D328" s="9"/>
    </row>
    <row r="329" spans="3:4" ht="15.75" customHeight="1" x14ac:dyDescent="0.25">
      <c r="C329" s="9"/>
      <c r="D329" s="9"/>
    </row>
    <row r="330" spans="3:4" ht="15.75" customHeight="1" x14ac:dyDescent="0.25">
      <c r="C330" s="9"/>
      <c r="D330" s="9"/>
    </row>
    <row r="331" spans="3:4" ht="15.75" customHeight="1" x14ac:dyDescent="0.25">
      <c r="C331" s="9"/>
      <c r="D331" s="9"/>
    </row>
    <row r="332" spans="3:4" ht="15.75" customHeight="1" x14ac:dyDescent="0.25">
      <c r="C332" s="9"/>
      <c r="D332" s="9"/>
    </row>
    <row r="333" spans="3:4" ht="15.75" customHeight="1" x14ac:dyDescent="0.25">
      <c r="C333" s="9"/>
      <c r="D333" s="9"/>
    </row>
    <row r="334" spans="3:4" ht="15.75" customHeight="1" x14ac:dyDescent="0.25">
      <c r="C334" s="9"/>
      <c r="D334" s="9"/>
    </row>
    <row r="335" spans="3:4" ht="15.75" customHeight="1" x14ac:dyDescent="0.25">
      <c r="C335" s="9"/>
      <c r="D335" s="9"/>
    </row>
    <row r="336" spans="3:4" ht="15.75" customHeight="1" x14ac:dyDescent="0.25">
      <c r="C336" s="9"/>
      <c r="D336" s="9"/>
    </row>
    <row r="337" spans="3:4" ht="15.75" customHeight="1" x14ac:dyDescent="0.25">
      <c r="C337" s="9"/>
      <c r="D337" s="9"/>
    </row>
    <row r="338" spans="3:4" ht="15.75" customHeight="1" x14ac:dyDescent="0.25">
      <c r="C338" s="9"/>
      <c r="D338" s="9"/>
    </row>
    <row r="339" spans="3:4" ht="15.75" customHeight="1" x14ac:dyDescent="0.25">
      <c r="C339" s="9"/>
      <c r="D339" s="9"/>
    </row>
    <row r="340" spans="3:4" ht="15.75" customHeight="1" x14ac:dyDescent="0.25">
      <c r="C340" s="9"/>
      <c r="D340" s="9"/>
    </row>
    <row r="341" spans="3:4" ht="15.75" customHeight="1" x14ac:dyDescent="0.25">
      <c r="C341" s="9"/>
      <c r="D341" s="9"/>
    </row>
    <row r="342" spans="3:4" ht="15.75" customHeight="1" x14ac:dyDescent="0.25">
      <c r="C342" s="9"/>
      <c r="D342" s="9"/>
    </row>
    <row r="343" spans="3:4" ht="15.75" customHeight="1" x14ac:dyDescent="0.25">
      <c r="C343" s="9"/>
      <c r="D343" s="9"/>
    </row>
    <row r="344" spans="3:4" ht="15.75" customHeight="1" x14ac:dyDescent="0.25">
      <c r="C344" s="9"/>
      <c r="D344" s="9"/>
    </row>
    <row r="345" spans="3:4" ht="15.75" customHeight="1" x14ac:dyDescent="0.25">
      <c r="C345" s="9"/>
      <c r="D345" s="9"/>
    </row>
    <row r="346" spans="3:4" ht="15.75" customHeight="1" x14ac:dyDescent="0.25">
      <c r="C346" s="9"/>
      <c r="D346" s="9"/>
    </row>
    <row r="347" spans="3:4" ht="15.75" customHeight="1" x14ac:dyDescent="0.25">
      <c r="C347" s="9"/>
      <c r="D347" s="9"/>
    </row>
    <row r="348" spans="3:4" ht="15.75" customHeight="1" x14ac:dyDescent="0.25">
      <c r="C348" s="9"/>
      <c r="D348" s="9"/>
    </row>
    <row r="349" spans="3:4" ht="15.75" customHeight="1" x14ac:dyDescent="0.25">
      <c r="C349" s="9"/>
      <c r="D349" s="9"/>
    </row>
    <row r="350" spans="3:4" ht="15.75" customHeight="1" x14ac:dyDescent="0.25">
      <c r="C350" s="9"/>
      <c r="D350" s="9"/>
    </row>
    <row r="351" spans="3:4" ht="15.75" customHeight="1" x14ac:dyDescent="0.25">
      <c r="C351" s="9"/>
      <c r="D351" s="9"/>
    </row>
    <row r="352" spans="3:4" ht="15.75" customHeight="1" x14ac:dyDescent="0.25">
      <c r="C352" s="9"/>
      <c r="D352" s="9"/>
    </row>
    <row r="353" spans="3:4" ht="15.75" customHeight="1" x14ac:dyDescent="0.25">
      <c r="C353" s="9"/>
      <c r="D353" s="9"/>
    </row>
    <row r="354" spans="3:4" ht="15.75" customHeight="1" x14ac:dyDescent="0.25">
      <c r="C354" s="9"/>
      <c r="D354" s="9"/>
    </row>
    <row r="355" spans="3:4" ht="15.75" customHeight="1" x14ac:dyDescent="0.25">
      <c r="C355" s="9"/>
      <c r="D355" s="9"/>
    </row>
    <row r="356" spans="3:4" ht="15.75" customHeight="1" x14ac:dyDescent="0.25">
      <c r="C356" s="9"/>
      <c r="D356" s="9"/>
    </row>
    <row r="357" spans="3:4" ht="15.75" customHeight="1" x14ac:dyDescent="0.25">
      <c r="C357" s="9"/>
      <c r="D357" s="9"/>
    </row>
    <row r="358" spans="3:4" ht="15.75" customHeight="1" x14ac:dyDescent="0.25">
      <c r="C358" s="9"/>
      <c r="D358" s="9"/>
    </row>
    <row r="359" spans="3:4" ht="15.75" customHeight="1" x14ac:dyDescent="0.25">
      <c r="C359" s="9"/>
      <c r="D359" s="9"/>
    </row>
    <row r="360" spans="3:4" ht="15.75" customHeight="1" x14ac:dyDescent="0.25">
      <c r="C360" s="9"/>
      <c r="D360" s="9"/>
    </row>
    <row r="361" spans="3:4" ht="15.75" customHeight="1" x14ac:dyDescent="0.25">
      <c r="C361" s="9"/>
      <c r="D361" s="9"/>
    </row>
    <row r="362" spans="3:4" ht="15.75" customHeight="1" x14ac:dyDescent="0.25">
      <c r="C362" s="9"/>
      <c r="D362" s="9"/>
    </row>
    <row r="363" spans="3:4" ht="15.75" customHeight="1" x14ac:dyDescent="0.25">
      <c r="C363" s="9"/>
      <c r="D363" s="9"/>
    </row>
    <row r="364" spans="3:4" ht="15.75" customHeight="1" x14ac:dyDescent="0.25">
      <c r="C364" s="9"/>
      <c r="D364" s="9"/>
    </row>
    <row r="365" spans="3:4" ht="15.75" customHeight="1" x14ac:dyDescent="0.25">
      <c r="C365" s="9"/>
      <c r="D365" s="9"/>
    </row>
    <row r="366" spans="3:4" ht="15.75" customHeight="1" x14ac:dyDescent="0.25">
      <c r="C366" s="9"/>
      <c r="D366" s="9"/>
    </row>
    <row r="367" spans="3:4" ht="15.75" customHeight="1" x14ac:dyDescent="0.25">
      <c r="C367" s="9"/>
      <c r="D367" s="9"/>
    </row>
    <row r="368" spans="3:4" ht="15.75" customHeight="1" x14ac:dyDescent="0.25">
      <c r="C368" s="9"/>
      <c r="D368" s="9"/>
    </row>
    <row r="369" spans="3:4" ht="15.75" customHeight="1" x14ac:dyDescent="0.25">
      <c r="C369" s="9"/>
      <c r="D369" s="9"/>
    </row>
    <row r="370" spans="3:4" ht="15.75" customHeight="1" x14ac:dyDescent="0.25">
      <c r="C370" s="9"/>
      <c r="D370" s="9"/>
    </row>
    <row r="371" spans="3:4" ht="15.75" customHeight="1" x14ac:dyDescent="0.25">
      <c r="C371" s="9"/>
      <c r="D371" s="9"/>
    </row>
    <row r="372" spans="3:4" ht="15.75" customHeight="1" x14ac:dyDescent="0.25">
      <c r="C372" s="9"/>
      <c r="D372" s="9"/>
    </row>
    <row r="373" spans="3:4" ht="15.75" customHeight="1" x14ac:dyDescent="0.25">
      <c r="C373" s="9"/>
      <c r="D373" s="9"/>
    </row>
    <row r="374" spans="3:4" ht="15.75" customHeight="1" x14ac:dyDescent="0.25">
      <c r="C374" s="9"/>
      <c r="D374" s="9"/>
    </row>
    <row r="375" spans="3:4" ht="15.75" customHeight="1" x14ac:dyDescent="0.25">
      <c r="C375" s="9"/>
      <c r="D375" s="9"/>
    </row>
    <row r="376" spans="3:4" ht="15.75" customHeight="1" x14ac:dyDescent="0.25">
      <c r="C376" s="9"/>
      <c r="D376" s="9"/>
    </row>
    <row r="377" spans="3:4" ht="15.75" customHeight="1" x14ac:dyDescent="0.25">
      <c r="C377" s="9"/>
      <c r="D377" s="9"/>
    </row>
    <row r="378" spans="3:4" ht="15.75" customHeight="1" x14ac:dyDescent="0.25">
      <c r="C378" s="9"/>
      <c r="D378" s="9"/>
    </row>
    <row r="379" spans="3:4" ht="15.75" customHeight="1" x14ac:dyDescent="0.25">
      <c r="C379" s="9"/>
      <c r="D379" s="9"/>
    </row>
    <row r="380" spans="3:4" ht="15.75" customHeight="1" x14ac:dyDescent="0.25">
      <c r="C380" s="9"/>
      <c r="D380" s="9"/>
    </row>
    <row r="381" spans="3:4" ht="15.75" customHeight="1" x14ac:dyDescent="0.25">
      <c r="C381" s="9"/>
      <c r="D381" s="9"/>
    </row>
    <row r="382" spans="3:4" ht="15.75" customHeight="1" x14ac:dyDescent="0.25">
      <c r="C382" s="9"/>
      <c r="D382" s="9"/>
    </row>
    <row r="383" spans="3:4" ht="15.75" customHeight="1" x14ac:dyDescent="0.25">
      <c r="C383" s="9"/>
      <c r="D383" s="9"/>
    </row>
    <row r="384" spans="3:4" ht="15.75" customHeight="1" x14ac:dyDescent="0.25">
      <c r="C384" s="9"/>
      <c r="D384" s="9"/>
    </row>
    <row r="385" spans="3:4" ht="15.75" customHeight="1" x14ac:dyDescent="0.25">
      <c r="C385" s="9"/>
      <c r="D385" s="9"/>
    </row>
    <row r="386" spans="3:4" ht="15.75" customHeight="1" x14ac:dyDescent="0.25">
      <c r="C386" s="9"/>
      <c r="D386" s="9"/>
    </row>
    <row r="387" spans="3:4" ht="15.75" customHeight="1" x14ac:dyDescent="0.25">
      <c r="C387" s="9"/>
      <c r="D387" s="9"/>
    </row>
    <row r="388" spans="3:4" ht="15.75" customHeight="1" x14ac:dyDescent="0.25">
      <c r="C388" s="9"/>
      <c r="D388" s="9"/>
    </row>
    <row r="389" spans="3:4" ht="15.75" customHeight="1" x14ac:dyDescent="0.25">
      <c r="C389" s="9"/>
      <c r="D389" s="9"/>
    </row>
    <row r="390" spans="3:4" ht="15.75" customHeight="1" x14ac:dyDescent="0.25">
      <c r="C390" s="9"/>
      <c r="D390" s="9"/>
    </row>
    <row r="391" spans="3:4" ht="15.75" customHeight="1" x14ac:dyDescent="0.25">
      <c r="C391" s="9"/>
      <c r="D391" s="9"/>
    </row>
    <row r="392" spans="3:4" ht="15.75" customHeight="1" x14ac:dyDescent="0.25">
      <c r="C392" s="9"/>
      <c r="D392" s="9"/>
    </row>
    <row r="393" spans="3:4" ht="15.75" customHeight="1" x14ac:dyDescent="0.25">
      <c r="C393" s="9"/>
      <c r="D393" s="9"/>
    </row>
    <row r="394" spans="3:4" ht="15.75" customHeight="1" x14ac:dyDescent="0.25">
      <c r="C394" s="9"/>
      <c r="D394" s="9"/>
    </row>
    <row r="395" spans="3:4" ht="15.75" customHeight="1" x14ac:dyDescent="0.25">
      <c r="C395" s="9"/>
      <c r="D395" s="9"/>
    </row>
    <row r="396" spans="3:4" ht="15.75" customHeight="1" x14ac:dyDescent="0.25">
      <c r="C396" s="9"/>
      <c r="D396" s="9"/>
    </row>
    <row r="397" spans="3:4" ht="15.75" customHeight="1" x14ac:dyDescent="0.25">
      <c r="C397" s="9"/>
      <c r="D397" s="9"/>
    </row>
    <row r="398" spans="3:4" ht="15.75" customHeight="1" x14ac:dyDescent="0.25">
      <c r="C398" s="9"/>
      <c r="D398" s="9"/>
    </row>
    <row r="399" spans="3:4" ht="15.75" customHeight="1" x14ac:dyDescent="0.25">
      <c r="C399" s="9"/>
      <c r="D399" s="9"/>
    </row>
    <row r="400" spans="3:4" ht="15.75" customHeight="1" x14ac:dyDescent="0.25">
      <c r="C400" s="9"/>
      <c r="D400" s="9"/>
    </row>
    <row r="401" spans="3:4" ht="15.75" customHeight="1" x14ac:dyDescent="0.25">
      <c r="C401" s="9"/>
      <c r="D401" s="9"/>
    </row>
    <row r="402" spans="3:4" ht="15.75" customHeight="1" x14ac:dyDescent="0.25">
      <c r="C402" s="9"/>
      <c r="D402" s="9"/>
    </row>
    <row r="403" spans="3:4" ht="15.75" customHeight="1" x14ac:dyDescent="0.25">
      <c r="C403" s="9"/>
      <c r="D403" s="9"/>
    </row>
    <row r="404" spans="3:4" ht="15.75" customHeight="1" x14ac:dyDescent="0.25">
      <c r="C404" s="9"/>
      <c r="D404" s="9"/>
    </row>
    <row r="405" spans="3:4" ht="15.75" customHeight="1" x14ac:dyDescent="0.25">
      <c r="C405" s="9"/>
      <c r="D405" s="9"/>
    </row>
    <row r="406" spans="3:4" ht="15.75" customHeight="1" x14ac:dyDescent="0.25">
      <c r="C406" s="9"/>
      <c r="D406" s="9"/>
    </row>
    <row r="407" spans="3:4" ht="15.75" customHeight="1" x14ac:dyDescent="0.25">
      <c r="C407" s="9"/>
      <c r="D407" s="9"/>
    </row>
    <row r="408" spans="3:4" ht="15.75" customHeight="1" x14ac:dyDescent="0.25">
      <c r="C408" s="9"/>
      <c r="D408" s="9"/>
    </row>
    <row r="409" spans="3:4" ht="15.75" customHeight="1" x14ac:dyDescent="0.25">
      <c r="C409" s="9"/>
      <c r="D409" s="9"/>
    </row>
    <row r="410" spans="3:4" ht="15.75" customHeight="1" x14ac:dyDescent="0.25">
      <c r="C410" s="9"/>
      <c r="D410" s="9"/>
    </row>
    <row r="411" spans="3:4" ht="15.75" customHeight="1" x14ac:dyDescent="0.25">
      <c r="C411" s="9"/>
      <c r="D411" s="9"/>
    </row>
    <row r="412" spans="3:4" ht="15.75" customHeight="1" x14ac:dyDescent="0.25">
      <c r="C412" s="9"/>
      <c r="D412" s="9"/>
    </row>
    <row r="413" spans="3:4" ht="15.75" customHeight="1" x14ac:dyDescent="0.25">
      <c r="C413" s="9"/>
      <c r="D413" s="9"/>
    </row>
    <row r="414" spans="3:4" ht="15.75" customHeight="1" x14ac:dyDescent="0.25">
      <c r="C414" s="9"/>
      <c r="D414" s="9"/>
    </row>
    <row r="415" spans="3:4" ht="15.75" customHeight="1" x14ac:dyDescent="0.25">
      <c r="C415" s="9"/>
      <c r="D415" s="9"/>
    </row>
    <row r="416" spans="3:4" ht="15.75" customHeight="1" x14ac:dyDescent="0.25">
      <c r="C416" s="9"/>
      <c r="D416" s="9"/>
    </row>
    <row r="417" spans="3:4" ht="15.75" customHeight="1" x14ac:dyDescent="0.25">
      <c r="C417" s="9"/>
      <c r="D417" s="9"/>
    </row>
    <row r="418" spans="3:4" ht="15.75" customHeight="1" x14ac:dyDescent="0.25">
      <c r="C418" s="9"/>
      <c r="D418" s="9"/>
    </row>
    <row r="419" spans="3:4" ht="15.75" customHeight="1" x14ac:dyDescent="0.25">
      <c r="C419" s="9"/>
      <c r="D419" s="9"/>
    </row>
    <row r="420" spans="3:4" ht="15.75" customHeight="1" x14ac:dyDescent="0.25">
      <c r="C420" s="9"/>
      <c r="D420" s="9"/>
    </row>
    <row r="421" spans="3:4" ht="15.75" customHeight="1" x14ac:dyDescent="0.25">
      <c r="C421" s="9"/>
      <c r="D421" s="9"/>
    </row>
    <row r="422" spans="3:4" ht="15.75" customHeight="1" x14ac:dyDescent="0.25">
      <c r="C422" s="9"/>
      <c r="D422" s="9"/>
    </row>
    <row r="423" spans="3:4" ht="15.75" customHeight="1" x14ac:dyDescent="0.25">
      <c r="C423" s="9"/>
      <c r="D423" s="9"/>
    </row>
    <row r="424" spans="3:4" ht="15.75" customHeight="1" x14ac:dyDescent="0.25">
      <c r="C424" s="9"/>
      <c r="D424" s="9"/>
    </row>
    <row r="425" spans="3:4" ht="15.75" customHeight="1" x14ac:dyDescent="0.25">
      <c r="C425" s="9"/>
      <c r="D425" s="9"/>
    </row>
    <row r="426" spans="3:4" ht="15.75" customHeight="1" x14ac:dyDescent="0.25">
      <c r="C426" s="9"/>
      <c r="D426" s="9"/>
    </row>
    <row r="427" spans="3:4" ht="15.75" customHeight="1" x14ac:dyDescent="0.25">
      <c r="C427" s="9"/>
      <c r="D427" s="9"/>
    </row>
    <row r="428" spans="3:4" ht="15.75" customHeight="1" x14ac:dyDescent="0.25">
      <c r="C428" s="9"/>
      <c r="D428" s="9"/>
    </row>
    <row r="429" spans="3:4" ht="15.75" customHeight="1" x14ac:dyDescent="0.25">
      <c r="C429" s="9"/>
      <c r="D429" s="9"/>
    </row>
    <row r="430" spans="3:4" ht="15.75" customHeight="1" x14ac:dyDescent="0.25">
      <c r="C430" s="9"/>
      <c r="D430" s="9"/>
    </row>
    <row r="431" spans="3:4" ht="15.75" customHeight="1" x14ac:dyDescent="0.25">
      <c r="C431" s="9"/>
      <c r="D431" s="9"/>
    </row>
    <row r="432" spans="3:4" ht="15.75" customHeight="1" x14ac:dyDescent="0.25">
      <c r="C432" s="9"/>
      <c r="D432" s="9"/>
    </row>
    <row r="433" spans="3:4" ht="15.75" customHeight="1" x14ac:dyDescent="0.25">
      <c r="C433" s="9"/>
      <c r="D433" s="9"/>
    </row>
    <row r="434" spans="3:4" ht="15.75" customHeight="1" x14ac:dyDescent="0.25">
      <c r="C434" s="9"/>
      <c r="D434" s="9"/>
    </row>
    <row r="435" spans="3:4" ht="15.75" customHeight="1" x14ac:dyDescent="0.25">
      <c r="C435" s="9"/>
      <c r="D435" s="9"/>
    </row>
    <row r="436" spans="3:4" ht="15.75" customHeight="1" x14ac:dyDescent="0.25">
      <c r="C436" s="9"/>
      <c r="D436" s="9"/>
    </row>
    <row r="437" spans="3:4" ht="15.75" customHeight="1" x14ac:dyDescent="0.25">
      <c r="C437" s="9"/>
      <c r="D437" s="9"/>
    </row>
    <row r="438" spans="3:4" ht="15.75" customHeight="1" x14ac:dyDescent="0.25">
      <c r="C438" s="9"/>
      <c r="D438" s="9"/>
    </row>
    <row r="439" spans="3:4" ht="15.75" customHeight="1" x14ac:dyDescent="0.25">
      <c r="C439" s="9"/>
      <c r="D439" s="9"/>
    </row>
    <row r="440" spans="3:4" ht="15.75" customHeight="1" x14ac:dyDescent="0.25">
      <c r="C440" s="9"/>
      <c r="D440" s="9"/>
    </row>
    <row r="441" spans="3:4" ht="15.75" customHeight="1" x14ac:dyDescent="0.25">
      <c r="C441" s="9"/>
      <c r="D441" s="9"/>
    </row>
    <row r="442" spans="3:4" ht="15.75" customHeight="1" x14ac:dyDescent="0.25">
      <c r="C442" s="9"/>
      <c r="D442" s="9"/>
    </row>
    <row r="443" spans="3:4" ht="15.75" customHeight="1" x14ac:dyDescent="0.25">
      <c r="C443" s="9"/>
      <c r="D443" s="9"/>
    </row>
    <row r="444" spans="3:4" ht="15.75" customHeight="1" x14ac:dyDescent="0.25">
      <c r="C444" s="9"/>
      <c r="D444" s="9"/>
    </row>
    <row r="445" spans="3:4" ht="15.75" customHeight="1" x14ac:dyDescent="0.25">
      <c r="C445" s="9"/>
      <c r="D445" s="9"/>
    </row>
    <row r="446" spans="3:4" ht="15.75" customHeight="1" x14ac:dyDescent="0.25">
      <c r="C446" s="9"/>
      <c r="D446" s="9"/>
    </row>
    <row r="447" spans="3:4" ht="15.75" customHeight="1" x14ac:dyDescent="0.25">
      <c r="C447" s="9"/>
      <c r="D447" s="9"/>
    </row>
    <row r="448" spans="3:4" ht="15.75" customHeight="1" x14ac:dyDescent="0.25">
      <c r="C448" s="9"/>
      <c r="D448" s="9"/>
    </row>
    <row r="449" spans="3:4" ht="15.75" customHeight="1" x14ac:dyDescent="0.25">
      <c r="C449" s="9"/>
      <c r="D449" s="9"/>
    </row>
    <row r="450" spans="3:4" ht="15.75" customHeight="1" x14ac:dyDescent="0.25">
      <c r="C450" s="9"/>
      <c r="D450" s="9"/>
    </row>
    <row r="451" spans="3:4" ht="15.75" customHeight="1" x14ac:dyDescent="0.25">
      <c r="C451" s="9"/>
      <c r="D451" s="9"/>
    </row>
    <row r="452" spans="3:4" ht="15.75" customHeight="1" x14ac:dyDescent="0.25">
      <c r="C452" s="9"/>
      <c r="D452" s="9"/>
    </row>
    <row r="453" spans="3:4" ht="15.75" customHeight="1" x14ac:dyDescent="0.25">
      <c r="C453" s="9"/>
      <c r="D453" s="9"/>
    </row>
    <row r="454" spans="3:4" ht="15.75" customHeight="1" x14ac:dyDescent="0.25">
      <c r="C454" s="9"/>
      <c r="D454" s="9"/>
    </row>
    <row r="455" spans="3:4" ht="15.75" customHeight="1" x14ac:dyDescent="0.25">
      <c r="C455" s="9"/>
      <c r="D455" s="9"/>
    </row>
    <row r="456" spans="3:4" ht="15.75" customHeight="1" x14ac:dyDescent="0.25">
      <c r="C456" s="9"/>
      <c r="D456" s="9"/>
    </row>
    <row r="457" spans="3:4" ht="15.75" customHeight="1" x14ac:dyDescent="0.25">
      <c r="C457" s="9"/>
      <c r="D457" s="9"/>
    </row>
    <row r="458" spans="3:4" ht="15.75" customHeight="1" x14ac:dyDescent="0.25">
      <c r="C458" s="9"/>
      <c r="D458" s="9"/>
    </row>
    <row r="459" spans="3:4" ht="15.75" customHeight="1" x14ac:dyDescent="0.25">
      <c r="C459" s="9"/>
      <c r="D459" s="9"/>
    </row>
    <row r="460" spans="3:4" ht="15.75" customHeight="1" x14ac:dyDescent="0.25">
      <c r="C460" s="9"/>
      <c r="D460" s="9"/>
    </row>
    <row r="461" spans="3:4" ht="15.75" customHeight="1" x14ac:dyDescent="0.25">
      <c r="C461" s="9"/>
      <c r="D461" s="9"/>
    </row>
    <row r="462" spans="3:4" ht="15.75" customHeight="1" x14ac:dyDescent="0.25">
      <c r="C462" s="9"/>
      <c r="D462" s="9"/>
    </row>
    <row r="463" spans="3:4" ht="15.75" customHeight="1" x14ac:dyDescent="0.25">
      <c r="C463" s="9"/>
      <c r="D463" s="9"/>
    </row>
    <row r="464" spans="3:4" ht="15.75" customHeight="1" x14ac:dyDescent="0.25">
      <c r="D464" s="93"/>
    </row>
    <row r="465" spans="4:4" ht="15.75" customHeight="1" x14ac:dyDescent="0.25">
      <c r="D465" s="93"/>
    </row>
    <row r="466" spans="4:4" ht="15.75" customHeight="1" x14ac:dyDescent="0.25">
      <c r="D466" s="93"/>
    </row>
    <row r="467" spans="4:4" ht="15.75" customHeight="1" x14ac:dyDescent="0.25">
      <c r="D467" s="93"/>
    </row>
    <row r="468" spans="4:4" ht="15.75" customHeight="1" x14ac:dyDescent="0.25">
      <c r="D468" s="93"/>
    </row>
    <row r="469" spans="4:4" ht="15.75" customHeight="1" x14ac:dyDescent="0.25">
      <c r="D469" s="93"/>
    </row>
    <row r="470" spans="4:4" ht="15.75" customHeight="1" x14ac:dyDescent="0.25">
      <c r="D470" s="93"/>
    </row>
    <row r="471" spans="4:4" ht="15.75" customHeight="1" x14ac:dyDescent="0.25">
      <c r="D471" s="93"/>
    </row>
    <row r="472" spans="4:4" ht="15.75" customHeight="1" x14ac:dyDescent="0.25">
      <c r="D472" s="93"/>
    </row>
    <row r="473" spans="4:4" ht="15.75" customHeight="1" x14ac:dyDescent="0.25">
      <c r="D473" s="93"/>
    </row>
    <row r="474" spans="4:4" ht="15.75" customHeight="1" x14ac:dyDescent="0.25">
      <c r="D474" s="93"/>
    </row>
    <row r="475" spans="4:4" ht="15.75" customHeight="1" x14ac:dyDescent="0.25">
      <c r="D475" s="93"/>
    </row>
    <row r="476" spans="4:4" ht="15.75" customHeight="1" x14ac:dyDescent="0.25">
      <c r="D476" s="93"/>
    </row>
    <row r="477" spans="4:4" ht="15.75" customHeight="1" x14ac:dyDescent="0.25">
      <c r="D477" s="93"/>
    </row>
    <row r="478" spans="4:4" ht="15.75" customHeight="1" x14ac:dyDescent="0.25">
      <c r="D478" s="93"/>
    </row>
    <row r="479" spans="4:4" ht="15.75" customHeight="1" x14ac:dyDescent="0.25">
      <c r="D479" s="93"/>
    </row>
    <row r="480" spans="4:4" ht="15.75" customHeight="1" x14ac:dyDescent="0.25">
      <c r="D480" s="93"/>
    </row>
    <row r="481" spans="4:4" ht="15.75" customHeight="1" x14ac:dyDescent="0.25">
      <c r="D481" s="93"/>
    </row>
    <row r="482" spans="4:4" ht="15.75" customHeight="1" x14ac:dyDescent="0.25">
      <c r="D482" s="93"/>
    </row>
    <row r="483" spans="4:4" ht="15.75" customHeight="1" x14ac:dyDescent="0.25">
      <c r="D483" s="93"/>
    </row>
    <row r="484" spans="4:4" ht="15.75" customHeight="1" x14ac:dyDescent="0.25">
      <c r="D484" s="93"/>
    </row>
    <row r="485" spans="4:4" ht="15.75" customHeight="1" x14ac:dyDescent="0.25">
      <c r="D485" s="93"/>
    </row>
    <row r="486" spans="4:4" ht="15.75" customHeight="1" x14ac:dyDescent="0.25">
      <c r="D486" s="93"/>
    </row>
    <row r="487" spans="4:4" ht="15.75" customHeight="1" x14ac:dyDescent="0.25">
      <c r="D487" s="93"/>
    </row>
    <row r="488" spans="4:4" ht="15.75" customHeight="1" x14ac:dyDescent="0.25">
      <c r="D488" s="93"/>
    </row>
    <row r="489" spans="4:4" ht="15.75" customHeight="1" x14ac:dyDescent="0.25">
      <c r="D489" s="93"/>
    </row>
    <row r="490" spans="4:4" ht="15.75" customHeight="1" x14ac:dyDescent="0.25">
      <c r="D490" s="93"/>
    </row>
    <row r="491" spans="4:4" ht="15.75" customHeight="1" x14ac:dyDescent="0.25">
      <c r="D491" s="93"/>
    </row>
    <row r="492" spans="4:4" ht="15.75" customHeight="1" x14ac:dyDescent="0.25">
      <c r="D492" s="93"/>
    </row>
    <row r="493" spans="4:4" ht="15.75" customHeight="1" x14ac:dyDescent="0.25">
      <c r="D493" s="93"/>
    </row>
    <row r="494" spans="4:4" ht="15.75" customHeight="1" x14ac:dyDescent="0.25">
      <c r="D494" s="93"/>
    </row>
    <row r="495" spans="4:4" ht="15.75" customHeight="1" x14ac:dyDescent="0.25">
      <c r="D495" s="93"/>
    </row>
    <row r="496" spans="4:4" ht="15.75" customHeight="1" x14ac:dyDescent="0.25">
      <c r="D496" s="93"/>
    </row>
    <row r="497" spans="4:4" ht="15.75" customHeight="1" x14ac:dyDescent="0.25">
      <c r="D497" s="93"/>
    </row>
    <row r="498" spans="4:4" ht="15.75" customHeight="1" x14ac:dyDescent="0.25">
      <c r="D498" s="93"/>
    </row>
    <row r="499" spans="4:4" ht="15.75" customHeight="1" x14ac:dyDescent="0.25">
      <c r="D499" s="93"/>
    </row>
    <row r="500" spans="4:4" ht="15.75" customHeight="1" x14ac:dyDescent="0.25">
      <c r="D500" s="93"/>
    </row>
    <row r="501" spans="4:4" ht="15.75" customHeight="1" x14ac:dyDescent="0.25">
      <c r="D501" s="93"/>
    </row>
    <row r="502" spans="4:4" ht="15.75" customHeight="1" x14ac:dyDescent="0.25">
      <c r="D502" s="93"/>
    </row>
    <row r="503" spans="4:4" ht="15.75" customHeight="1" x14ac:dyDescent="0.25">
      <c r="D503" s="93"/>
    </row>
    <row r="504" spans="4:4" ht="15.75" customHeight="1" x14ac:dyDescent="0.25">
      <c r="D504" s="93"/>
    </row>
    <row r="505" spans="4:4" ht="15.75" customHeight="1" x14ac:dyDescent="0.25">
      <c r="D505" s="93"/>
    </row>
    <row r="506" spans="4:4" ht="15.75" customHeight="1" x14ac:dyDescent="0.25">
      <c r="D506" s="93"/>
    </row>
    <row r="507" spans="4:4" ht="15.75" customHeight="1" x14ac:dyDescent="0.25">
      <c r="D507" s="93"/>
    </row>
    <row r="508" spans="4:4" ht="15.75" customHeight="1" x14ac:dyDescent="0.25">
      <c r="D508" s="93"/>
    </row>
    <row r="509" spans="4:4" ht="15.75" customHeight="1" x14ac:dyDescent="0.25">
      <c r="D509" s="93"/>
    </row>
    <row r="510" spans="4:4" ht="15.75" customHeight="1" x14ac:dyDescent="0.25">
      <c r="D510" s="93"/>
    </row>
    <row r="511" spans="4:4" ht="15.75" customHeight="1" x14ac:dyDescent="0.25">
      <c r="D511" s="93"/>
    </row>
    <row r="512" spans="4:4" ht="15.75" customHeight="1" x14ac:dyDescent="0.25">
      <c r="D512" s="93"/>
    </row>
    <row r="513" spans="4:4" ht="15.75" customHeight="1" x14ac:dyDescent="0.25">
      <c r="D513" s="93"/>
    </row>
    <row r="514" spans="4:4" ht="15.75" customHeight="1" x14ac:dyDescent="0.25">
      <c r="D514" s="93"/>
    </row>
    <row r="515" spans="4:4" ht="15.75" customHeight="1" x14ac:dyDescent="0.25">
      <c r="D515" s="93"/>
    </row>
    <row r="516" spans="4:4" ht="15.75" customHeight="1" x14ac:dyDescent="0.25">
      <c r="D516" s="93"/>
    </row>
    <row r="517" spans="4:4" ht="15.75" customHeight="1" x14ac:dyDescent="0.25">
      <c r="D517" s="93"/>
    </row>
    <row r="518" spans="4:4" ht="15.75" customHeight="1" x14ac:dyDescent="0.25">
      <c r="D518" s="93"/>
    </row>
    <row r="519" spans="4:4" ht="15.75" customHeight="1" x14ac:dyDescent="0.25">
      <c r="D519" s="93"/>
    </row>
    <row r="520" spans="4:4" ht="15.75" customHeight="1" x14ac:dyDescent="0.25">
      <c r="D520" s="93"/>
    </row>
    <row r="521" spans="4:4" ht="15.75" customHeight="1" x14ac:dyDescent="0.25">
      <c r="D521" s="93"/>
    </row>
    <row r="522" spans="4:4" ht="15.75" customHeight="1" x14ac:dyDescent="0.25">
      <c r="D522" s="93"/>
    </row>
    <row r="523" spans="4:4" ht="15.75" customHeight="1" x14ac:dyDescent="0.25">
      <c r="D523" s="93"/>
    </row>
    <row r="524" spans="4:4" ht="15.75" customHeight="1" x14ac:dyDescent="0.25">
      <c r="D524" s="93"/>
    </row>
    <row r="525" spans="4:4" ht="15.75" customHeight="1" x14ac:dyDescent="0.25">
      <c r="D525" s="93"/>
    </row>
    <row r="526" spans="4:4" ht="15.75" customHeight="1" x14ac:dyDescent="0.25">
      <c r="D526" s="93"/>
    </row>
    <row r="527" spans="4:4" ht="15.75" customHeight="1" x14ac:dyDescent="0.25">
      <c r="D527" s="93"/>
    </row>
    <row r="528" spans="4:4" ht="15.75" customHeight="1" x14ac:dyDescent="0.25">
      <c r="D528" s="93"/>
    </row>
    <row r="529" spans="4:4" ht="15.75" customHeight="1" x14ac:dyDescent="0.25">
      <c r="D529" s="93"/>
    </row>
    <row r="530" spans="4:4" ht="15.75" customHeight="1" x14ac:dyDescent="0.25">
      <c r="D530" s="93"/>
    </row>
    <row r="531" spans="4:4" ht="15.75" customHeight="1" x14ac:dyDescent="0.25">
      <c r="D531" s="93"/>
    </row>
    <row r="532" spans="4:4" ht="15.75" customHeight="1" x14ac:dyDescent="0.25">
      <c r="D532" s="93"/>
    </row>
    <row r="533" spans="4:4" ht="15.75" customHeight="1" x14ac:dyDescent="0.25">
      <c r="D533" s="93"/>
    </row>
    <row r="534" spans="4:4" ht="15.75" customHeight="1" x14ac:dyDescent="0.25">
      <c r="D534" s="93"/>
    </row>
    <row r="535" spans="4:4" ht="15.75" customHeight="1" x14ac:dyDescent="0.25">
      <c r="D535" s="93"/>
    </row>
    <row r="536" spans="4:4" ht="15.75" customHeight="1" x14ac:dyDescent="0.25">
      <c r="D536" s="93"/>
    </row>
    <row r="537" spans="4:4" ht="15.75" customHeight="1" x14ac:dyDescent="0.25">
      <c r="D537" s="93"/>
    </row>
    <row r="538" spans="4:4" ht="15.75" customHeight="1" x14ac:dyDescent="0.25">
      <c r="D538" s="93"/>
    </row>
    <row r="539" spans="4:4" ht="15.75" customHeight="1" x14ac:dyDescent="0.25">
      <c r="D539" s="93"/>
    </row>
    <row r="540" spans="4:4" ht="15.75" customHeight="1" x14ac:dyDescent="0.25">
      <c r="D540" s="93"/>
    </row>
    <row r="541" spans="4:4" ht="15.75" customHeight="1" x14ac:dyDescent="0.25">
      <c r="D541" s="93"/>
    </row>
    <row r="542" spans="4:4" ht="15.75" customHeight="1" x14ac:dyDescent="0.25">
      <c r="D542" s="93"/>
    </row>
    <row r="543" spans="4:4" ht="15.75" customHeight="1" x14ac:dyDescent="0.25">
      <c r="D543" s="93"/>
    </row>
    <row r="544" spans="4:4" ht="15.75" customHeight="1" x14ac:dyDescent="0.25">
      <c r="D544" s="93"/>
    </row>
    <row r="545" spans="4:4" ht="15.75" customHeight="1" x14ac:dyDescent="0.25">
      <c r="D545" s="93"/>
    </row>
    <row r="546" spans="4:4" ht="15.75" customHeight="1" x14ac:dyDescent="0.25">
      <c r="D546" s="93"/>
    </row>
    <row r="547" spans="4:4" ht="15.75" customHeight="1" x14ac:dyDescent="0.25">
      <c r="D547" s="93"/>
    </row>
    <row r="548" spans="4:4" ht="15.75" customHeight="1" x14ac:dyDescent="0.25">
      <c r="D548" s="93"/>
    </row>
    <row r="549" spans="4:4" ht="15.75" customHeight="1" x14ac:dyDescent="0.25">
      <c r="D549" s="93"/>
    </row>
    <row r="550" spans="4:4" ht="15.75" customHeight="1" x14ac:dyDescent="0.25">
      <c r="D550" s="93"/>
    </row>
    <row r="551" spans="4:4" ht="15.75" customHeight="1" x14ac:dyDescent="0.25">
      <c r="D551" s="93"/>
    </row>
    <row r="552" spans="4:4" ht="15.75" customHeight="1" x14ac:dyDescent="0.25">
      <c r="D552" s="93"/>
    </row>
    <row r="553" spans="4:4" ht="15.75" customHeight="1" x14ac:dyDescent="0.25">
      <c r="D553" s="93"/>
    </row>
    <row r="554" spans="4:4" ht="15.75" customHeight="1" x14ac:dyDescent="0.25">
      <c r="D554" s="93"/>
    </row>
    <row r="555" spans="4:4" ht="15.75" customHeight="1" x14ac:dyDescent="0.25">
      <c r="D555" s="93"/>
    </row>
    <row r="556" spans="4:4" ht="15.75" customHeight="1" x14ac:dyDescent="0.25">
      <c r="D556" s="93"/>
    </row>
    <row r="557" spans="4:4" ht="15.75" customHeight="1" x14ac:dyDescent="0.25">
      <c r="D557" s="93"/>
    </row>
    <row r="558" spans="4:4" ht="15.75" customHeight="1" x14ac:dyDescent="0.25">
      <c r="D558" s="93"/>
    </row>
    <row r="559" spans="4:4" ht="15.75" customHeight="1" x14ac:dyDescent="0.25">
      <c r="D559" s="93"/>
    </row>
    <row r="560" spans="4:4" ht="15.75" customHeight="1" x14ac:dyDescent="0.25">
      <c r="D560" s="93"/>
    </row>
    <row r="561" spans="4:4" ht="15.75" customHeight="1" x14ac:dyDescent="0.25">
      <c r="D561" s="93"/>
    </row>
    <row r="562" spans="4:4" ht="15.75" customHeight="1" x14ac:dyDescent="0.25">
      <c r="D562" s="93"/>
    </row>
    <row r="563" spans="4:4" ht="15.75" customHeight="1" x14ac:dyDescent="0.25">
      <c r="D563" s="93"/>
    </row>
    <row r="564" spans="4:4" ht="15.75" customHeight="1" x14ac:dyDescent="0.25">
      <c r="D564" s="93"/>
    </row>
    <row r="565" spans="4:4" ht="15.75" customHeight="1" x14ac:dyDescent="0.25">
      <c r="D565" s="93"/>
    </row>
    <row r="566" spans="4:4" ht="15.75" customHeight="1" x14ac:dyDescent="0.25">
      <c r="D566" s="93"/>
    </row>
    <row r="567" spans="4:4" ht="15.75" customHeight="1" x14ac:dyDescent="0.25">
      <c r="D567" s="93"/>
    </row>
    <row r="568" spans="4:4" ht="15.75" customHeight="1" x14ac:dyDescent="0.25">
      <c r="D568" s="93"/>
    </row>
    <row r="569" spans="4:4" ht="15.75" customHeight="1" x14ac:dyDescent="0.25">
      <c r="D569" s="93"/>
    </row>
    <row r="570" spans="4:4" ht="15.75" customHeight="1" x14ac:dyDescent="0.25">
      <c r="D570" s="93"/>
    </row>
    <row r="571" spans="4:4" ht="15.75" customHeight="1" x14ac:dyDescent="0.25">
      <c r="D571" s="93"/>
    </row>
    <row r="572" spans="4:4" ht="15.75" customHeight="1" x14ac:dyDescent="0.25">
      <c r="D572" s="93"/>
    </row>
    <row r="573" spans="4:4" ht="15.75" customHeight="1" x14ac:dyDescent="0.25">
      <c r="D573" s="93"/>
    </row>
    <row r="574" spans="4:4" ht="15.75" customHeight="1" x14ac:dyDescent="0.25">
      <c r="D574" s="93"/>
    </row>
    <row r="575" spans="4:4" ht="15.75" customHeight="1" x14ac:dyDescent="0.25">
      <c r="D575" s="93"/>
    </row>
    <row r="576" spans="4:4" ht="15.75" customHeight="1" x14ac:dyDescent="0.25">
      <c r="D576" s="93"/>
    </row>
    <row r="577" spans="4:4" ht="15.75" customHeight="1" x14ac:dyDescent="0.25">
      <c r="D577" s="93"/>
    </row>
    <row r="578" spans="4:4" ht="15.75" customHeight="1" x14ac:dyDescent="0.25">
      <c r="D578" s="93"/>
    </row>
    <row r="579" spans="4:4" ht="15.75" customHeight="1" x14ac:dyDescent="0.25">
      <c r="D579" s="93"/>
    </row>
    <row r="580" spans="4:4" ht="15.75" customHeight="1" x14ac:dyDescent="0.25">
      <c r="D580" s="93"/>
    </row>
    <row r="581" spans="4:4" ht="15.75" customHeight="1" x14ac:dyDescent="0.25">
      <c r="D581" s="93"/>
    </row>
    <row r="582" spans="4:4" ht="15.75" customHeight="1" x14ac:dyDescent="0.25">
      <c r="D582" s="93"/>
    </row>
    <row r="583" spans="4:4" ht="15.75" customHeight="1" x14ac:dyDescent="0.25">
      <c r="D583" s="93"/>
    </row>
    <row r="584" spans="4:4" ht="15.75" customHeight="1" x14ac:dyDescent="0.25">
      <c r="D584" s="93"/>
    </row>
    <row r="585" spans="4:4" ht="15.75" customHeight="1" x14ac:dyDescent="0.25">
      <c r="D585" s="93"/>
    </row>
    <row r="586" spans="4:4" ht="15.75" customHeight="1" x14ac:dyDescent="0.25">
      <c r="D586" s="93"/>
    </row>
    <row r="587" spans="4:4" ht="15.75" customHeight="1" x14ac:dyDescent="0.25">
      <c r="D587" s="93"/>
    </row>
    <row r="588" spans="4:4" ht="15.75" customHeight="1" x14ac:dyDescent="0.25">
      <c r="D588" s="93"/>
    </row>
    <row r="589" spans="4:4" ht="15.75" customHeight="1" x14ac:dyDescent="0.25">
      <c r="D589" s="93"/>
    </row>
    <row r="590" spans="4:4" ht="15.75" customHeight="1" x14ac:dyDescent="0.25">
      <c r="D590" s="93"/>
    </row>
    <row r="591" spans="4:4" ht="15.75" customHeight="1" x14ac:dyDescent="0.25">
      <c r="D591" s="93"/>
    </row>
    <row r="592" spans="4:4" ht="15.75" customHeight="1" x14ac:dyDescent="0.25">
      <c r="D592" s="93"/>
    </row>
    <row r="593" spans="4:4" ht="15.75" customHeight="1" x14ac:dyDescent="0.25">
      <c r="D593" s="93"/>
    </row>
    <row r="594" spans="4:4" ht="15.75" customHeight="1" x14ac:dyDescent="0.25">
      <c r="D594" s="93"/>
    </row>
    <row r="595" spans="4:4" ht="15.75" customHeight="1" x14ac:dyDescent="0.25">
      <c r="D595" s="93"/>
    </row>
    <row r="596" spans="4:4" ht="15.75" customHeight="1" x14ac:dyDescent="0.25">
      <c r="D596" s="93"/>
    </row>
    <row r="597" spans="4:4" ht="15.75" customHeight="1" x14ac:dyDescent="0.25">
      <c r="D597" s="93"/>
    </row>
    <row r="598" spans="4:4" ht="15.75" customHeight="1" x14ac:dyDescent="0.25">
      <c r="D598" s="93"/>
    </row>
    <row r="599" spans="4:4" ht="15.75" customHeight="1" x14ac:dyDescent="0.25">
      <c r="D599" s="93"/>
    </row>
    <row r="600" spans="4:4" ht="15.75" customHeight="1" x14ac:dyDescent="0.25">
      <c r="D600" s="93"/>
    </row>
    <row r="601" spans="4:4" ht="15.75" customHeight="1" x14ac:dyDescent="0.25">
      <c r="D601" s="93"/>
    </row>
    <row r="602" spans="4:4" ht="15.75" customHeight="1" x14ac:dyDescent="0.25">
      <c r="D602" s="93"/>
    </row>
    <row r="603" spans="4:4" ht="15.75" customHeight="1" x14ac:dyDescent="0.25">
      <c r="D603" s="93"/>
    </row>
    <row r="604" spans="4:4" ht="15.75" customHeight="1" x14ac:dyDescent="0.25">
      <c r="D604" s="93"/>
    </row>
    <row r="605" spans="4:4" ht="15.75" customHeight="1" x14ac:dyDescent="0.25">
      <c r="D605" s="93"/>
    </row>
    <row r="606" spans="4:4" ht="15.75" customHeight="1" x14ac:dyDescent="0.25">
      <c r="D606" s="93"/>
    </row>
    <row r="607" spans="4:4" ht="15.75" customHeight="1" x14ac:dyDescent="0.25">
      <c r="D607" s="93"/>
    </row>
    <row r="608" spans="4:4" ht="15.75" customHeight="1" x14ac:dyDescent="0.25">
      <c r="D608" s="93"/>
    </row>
    <row r="609" spans="4:4" ht="15.75" customHeight="1" x14ac:dyDescent="0.25">
      <c r="D609" s="93"/>
    </row>
    <row r="610" spans="4:4" ht="15.75" customHeight="1" x14ac:dyDescent="0.25">
      <c r="D610" s="93"/>
    </row>
    <row r="611" spans="4:4" ht="15.75" customHeight="1" x14ac:dyDescent="0.25">
      <c r="D611" s="93"/>
    </row>
    <row r="612" spans="4:4" ht="15.75" customHeight="1" x14ac:dyDescent="0.25">
      <c r="D612" s="93"/>
    </row>
    <row r="613" spans="4:4" ht="15.75" customHeight="1" x14ac:dyDescent="0.25">
      <c r="D613" s="93"/>
    </row>
    <row r="614" spans="4:4" ht="15.75" customHeight="1" x14ac:dyDescent="0.25">
      <c r="D614" s="93"/>
    </row>
    <row r="615" spans="4:4" ht="15.75" customHeight="1" x14ac:dyDescent="0.25">
      <c r="D615" s="93"/>
    </row>
    <row r="616" spans="4:4" ht="15.75" customHeight="1" x14ac:dyDescent="0.25">
      <c r="D616" s="93"/>
    </row>
    <row r="617" spans="4:4" ht="15.75" customHeight="1" x14ac:dyDescent="0.25">
      <c r="D617" s="93"/>
    </row>
    <row r="618" spans="4:4" ht="15.75" customHeight="1" x14ac:dyDescent="0.25">
      <c r="D618" s="93"/>
    </row>
    <row r="619" spans="4:4" ht="15.75" customHeight="1" x14ac:dyDescent="0.25">
      <c r="D619" s="93"/>
    </row>
    <row r="620" spans="4:4" ht="15.75" customHeight="1" x14ac:dyDescent="0.25">
      <c r="D620" s="93"/>
    </row>
    <row r="621" spans="4:4" ht="15.75" customHeight="1" x14ac:dyDescent="0.25">
      <c r="D621" s="93"/>
    </row>
    <row r="622" spans="4:4" ht="15.75" customHeight="1" x14ac:dyDescent="0.25">
      <c r="D622" s="93"/>
    </row>
    <row r="623" spans="4:4" ht="15.75" customHeight="1" x14ac:dyDescent="0.25">
      <c r="D623" s="93"/>
    </row>
    <row r="624" spans="4:4" ht="15.75" customHeight="1" x14ac:dyDescent="0.25">
      <c r="D624" s="93"/>
    </row>
    <row r="625" spans="4:4" ht="15.75" customHeight="1" x14ac:dyDescent="0.25">
      <c r="D625" s="93"/>
    </row>
    <row r="626" spans="4:4" ht="15.75" customHeight="1" x14ac:dyDescent="0.25">
      <c r="D626" s="93"/>
    </row>
    <row r="627" spans="4:4" ht="15.75" customHeight="1" x14ac:dyDescent="0.25">
      <c r="D627" s="93"/>
    </row>
    <row r="628" spans="4:4" ht="15.75" customHeight="1" x14ac:dyDescent="0.25">
      <c r="D628" s="93"/>
    </row>
    <row r="629" spans="4:4" ht="15.75" customHeight="1" x14ac:dyDescent="0.25">
      <c r="D629" s="93"/>
    </row>
    <row r="630" spans="4:4" ht="15.75" customHeight="1" x14ac:dyDescent="0.25">
      <c r="D630" s="93"/>
    </row>
    <row r="631" spans="4:4" ht="15.75" customHeight="1" x14ac:dyDescent="0.25">
      <c r="D631" s="93"/>
    </row>
    <row r="632" spans="4:4" ht="15.75" customHeight="1" x14ac:dyDescent="0.25">
      <c r="D632" s="93"/>
    </row>
    <row r="633" spans="4:4" ht="15.75" customHeight="1" x14ac:dyDescent="0.25">
      <c r="D633" s="93"/>
    </row>
    <row r="634" spans="4:4" ht="15.75" customHeight="1" x14ac:dyDescent="0.25">
      <c r="D634" s="93"/>
    </row>
    <row r="635" spans="4:4" ht="15.75" customHeight="1" x14ac:dyDescent="0.25">
      <c r="D635" s="93"/>
    </row>
    <row r="636" spans="4:4" ht="15.75" customHeight="1" x14ac:dyDescent="0.25">
      <c r="D636" s="93"/>
    </row>
    <row r="637" spans="4:4" ht="15.75" customHeight="1" x14ac:dyDescent="0.25">
      <c r="D637" s="93"/>
    </row>
    <row r="638" spans="4:4" ht="15.75" customHeight="1" x14ac:dyDescent="0.25">
      <c r="D638" s="93"/>
    </row>
    <row r="639" spans="4:4" ht="15.75" customHeight="1" x14ac:dyDescent="0.25">
      <c r="D639" s="93"/>
    </row>
    <row r="640" spans="4:4" ht="15.75" customHeight="1" x14ac:dyDescent="0.25">
      <c r="D640" s="93"/>
    </row>
    <row r="641" spans="4:4" ht="15.75" customHeight="1" x14ac:dyDescent="0.25">
      <c r="D641" s="93"/>
    </row>
    <row r="642" spans="4:4" ht="15.75" customHeight="1" x14ac:dyDescent="0.25">
      <c r="D642" s="93"/>
    </row>
    <row r="643" spans="4:4" ht="15.75" customHeight="1" x14ac:dyDescent="0.25">
      <c r="D643" s="93"/>
    </row>
    <row r="644" spans="4:4" ht="15.75" customHeight="1" x14ac:dyDescent="0.25">
      <c r="D644" s="93"/>
    </row>
    <row r="645" spans="4:4" ht="15.75" customHeight="1" x14ac:dyDescent="0.25">
      <c r="D645" s="93"/>
    </row>
    <row r="646" spans="4:4" ht="15.75" customHeight="1" x14ac:dyDescent="0.25">
      <c r="D646" s="93"/>
    </row>
    <row r="647" spans="4:4" ht="15.75" customHeight="1" x14ac:dyDescent="0.25">
      <c r="D647" s="93"/>
    </row>
    <row r="648" spans="4:4" ht="15.75" customHeight="1" x14ac:dyDescent="0.25">
      <c r="D648" s="93"/>
    </row>
    <row r="649" spans="4:4" ht="15.75" customHeight="1" x14ac:dyDescent="0.25">
      <c r="D649" s="93"/>
    </row>
    <row r="650" spans="4:4" ht="15.75" customHeight="1" x14ac:dyDescent="0.25">
      <c r="D650" s="93"/>
    </row>
    <row r="651" spans="4:4" ht="15.75" customHeight="1" x14ac:dyDescent="0.25">
      <c r="D651" s="93"/>
    </row>
    <row r="652" spans="4:4" ht="15.75" customHeight="1" x14ac:dyDescent="0.25">
      <c r="D652" s="93"/>
    </row>
    <row r="653" spans="4:4" ht="15.75" customHeight="1" x14ac:dyDescent="0.25">
      <c r="D653" s="93"/>
    </row>
    <row r="654" spans="4:4" ht="15.75" customHeight="1" x14ac:dyDescent="0.25">
      <c r="D654" s="93"/>
    </row>
    <row r="655" spans="4:4" ht="15.75" customHeight="1" x14ac:dyDescent="0.25">
      <c r="D655" s="93"/>
    </row>
    <row r="656" spans="4:4" ht="15.75" customHeight="1" x14ac:dyDescent="0.25">
      <c r="D656" s="93"/>
    </row>
    <row r="657" spans="4:4" ht="15.75" customHeight="1" x14ac:dyDescent="0.25">
      <c r="D657" s="93"/>
    </row>
    <row r="658" spans="4:4" ht="15.75" customHeight="1" x14ac:dyDescent="0.25">
      <c r="D658" s="93"/>
    </row>
    <row r="659" spans="4:4" ht="15.75" customHeight="1" x14ac:dyDescent="0.25">
      <c r="D659" s="93"/>
    </row>
    <row r="660" spans="4:4" ht="15.75" customHeight="1" x14ac:dyDescent="0.25">
      <c r="D660" s="93"/>
    </row>
    <row r="661" spans="4:4" ht="15.75" customHeight="1" x14ac:dyDescent="0.25">
      <c r="D661" s="93"/>
    </row>
    <row r="662" spans="4:4" ht="15.75" customHeight="1" x14ac:dyDescent="0.25">
      <c r="D662" s="93"/>
    </row>
    <row r="663" spans="4:4" ht="15.75" customHeight="1" x14ac:dyDescent="0.25">
      <c r="D663" s="93"/>
    </row>
    <row r="664" spans="4:4" ht="15.75" customHeight="1" x14ac:dyDescent="0.25">
      <c r="D664" s="93"/>
    </row>
    <row r="665" spans="4:4" ht="15.75" customHeight="1" x14ac:dyDescent="0.25">
      <c r="D665" s="93"/>
    </row>
    <row r="666" spans="4:4" ht="15.75" customHeight="1" x14ac:dyDescent="0.25">
      <c r="D666" s="93"/>
    </row>
    <row r="667" spans="4:4" ht="15.75" customHeight="1" x14ac:dyDescent="0.25">
      <c r="D667" s="93"/>
    </row>
    <row r="668" spans="4:4" ht="15.75" customHeight="1" x14ac:dyDescent="0.25">
      <c r="D668" s="93"/>
    </row>
    <row r="669" spans="4:4" ht="15.75" customHeight="1" x14ac:dyDescent="0.25">
      <c r="D669" s="93"/>
    </row>
    <row r="670" spans="4:4" ht="15.75" customHeight="1" x14ac:dyDescent="0.25">
      <c r="D670" s="93"/>
    </row>
    <row r="671" spans="4:4" ht="15.75" customHeight="1" x14ac:dyDescent="0.25">
      <c r="D671" s="93"/>
    </row>
    <row r="672" spans="4:4" ht="15.75" customHeight="1" x14ac:dyDescent="0.25">
      <c r="D672" s="93"/>
    </row>
    <row r="673" spans="4:4" ht="15.75" customHeight="1" x14ac:dyDescent="0.25">
      <c r="D673" s="93"/>
    </row>
    <row r="674" spans="4:4" ht="15.75" customHeight="1" x14ac:dyDescent="0.25">
      <c r="D674" s="93"/>
    </row>
    <row r="675" spans="4:4" ht="15.75" customHeight="1" x14ac:dyDescent="0.25">
      <c r="D675" s="93"/>
    </row>
    <row r="676" spans="4:4" ht="15.75" customHeight="1" x14ac:dyDescent="0.25">
      <c r="D676" s="93"/>
    </row>
    <row r="677" spans="4:4" ht="15.75" customHeight="1" x14ac:dyDescent="0.25">
      <c r="D677" s="93"/>
    </row>
    <row r="678" spans="4:4" ht="15.75" customHeight="1" x14ac:dyDescent="0.25">
      <c r="D678" s="93"/>
    </row>
    <row r="679" spans="4:4" ht="15.75" customHeight="1" x14ac:dyDescent="0.25">
      <c r="D679" s="93"/>
    </row>
    <row r="680" spans="4:4" ht="15.75" customHeight="1" x14ac:dyDescent="0.25">
      <c r="D680" s="93"/>
    </row>
    <row r="681" spans="4:4" ht="15.75" customHeight="1" x14ac:dyDescent="0.25">
      <c r="D681" s="93"/>
    </row>
    <row r="682" spans="4:4" ht="15.75" customHeight="1" x14ac:dyDescent="0.25">
      <c r="D682" s="93"/>
    </row>
    <row r="683" spans="4:4" ht="15.75" customHeight="1" x14ac:dyDescent="0.25">
      <c r="D683" s="93"/>
    </row>
    <row r="684" spans="4:4" ht="15.75" customHeight="1" x14ac:dyDescent="0.25">
      <c r="D684" s="93"/>
    </row>
    <row r="685" spans="4:4" ht="15.75" customHeight="1" x14ac:dyDescent="0.25">
      <c r="D685" s="93"/>
    </row>
    <row r="686" spans="4:4" ht="15.75" customHeight="1" x14ac:dyDescent="0.25">
      <c r="D686" s="93"/>
    </row>
    <row r="687" spans="4:4" ht="15.75" customHeight="1" x14ac:dyDescent="0.25">
      <c r="D687" s="93"/>
    </row>
    <row r="688" spans="4:4" ht="15.75" customHeight="1" x14ac:dyDescent="0.25">
      <c r="D688" s="93"/>
    </row>
    <row r="689" spans="4:4" ht="15.75" customHeight="1" x14ac:dyDescent="0.25">
      <c r="D689" s="93"/>
    </row>
    <row r="690" spans="4:4" ht="15.75" customHeight="1" x14ac:dyDescent="0.25">
      <c r="D690" s="93"/>
    </row>
    <row r="691" spans="4:4" ht="15.75" customHeight="1" x14ac:dyDescent="0.25">
      <c r="D691" s="93"/>
    </row>
    <row r="692" spans="4:4" ht="15.75" customHeight="1" x14ac:dyDescent="0.25">
      <c r="D692" s="93"/>
    </row>
    <row r="693" spans="4:4" ht="15.75" customHeight="1" x14ac:dyDescent="0.25">
      <c r="D693" s="93"/>
    </row>
    <row r="694" spans="4:4" ht="15.75" customHeight="1" x14ac:dyDescent="0.25">
      <c r="D694" s="93"/>
    </row>
    <row r="695" spans="4:4" ht="15.75" customHeight="1" x14ac:dyDescent="0.25">
      <c r="D695" s="93"/>
    </row>
    <row r="696" spans="4:4" ht="15.75" customHeight="1" x14ac:dyDescent="0.25">
      <c r="D696" s="93"/>
    </row>
    <row r="697" spans="4:4" ht="15.75" customHeight="1" x14ac:dyDescent="0.25">
      <c r="D697" s="93"/>
    </row>
    <row r="698" spans="4:4" ht="15.75" customHeight="1" x14ac:dyDescent="0.25">
      <c r="D698" s="93"/>
    </row>
    <row r="699" spans="4:4" ht="15.75" customHeight="1" x14ac:dyDescent="0.25">
      <c r="D699" s="93"/>
    </row>
    <row r="700" spans="4:4" ht="15.75" customHeight="1" x14ac:dyDescent="0.25">
      <c r="D700" s="93"/>
    </row>
    <row r="701" spans="4:4" ht="15.75" customHeight="1" x14ac:dyDescent="0.25">
      <c r="D701" s="93"/>
    </row>
    <row r="702" spans="4:4" ht="15.75" customHeight="1" x14ac:dyDescent="0.25">
      <c r="D702" s="93"/>
    </row>
    <row r="703" spans="4:4" ht="15.75" customHeight="1" x14ac:dyDescent="0.25">
      <c r="D703" s="93"/>
    </row>
    <row r="704" spans="4:4" ht="15.75" customHeight="1" x14ac:dyDescent="0.25">
      <c r="D704" s="93"/>
    </row>
    <row r="705" spans="4:4" ht="15.75" customHeight="1" x14ac:dyDescent="0.25">
      <c r="D705" s="93"/>
    </row>
    <row r="706" spans="4:4" ht="15.75" customHeight="1" x14ac:dyDescent="0.25">
      <c r="D706" s="93"/>
    </row>
    <row r="707" spans="4:4" ht="15.75" customHeight="1" x14ac:dyDescent="0.25">
      <c r="D707" s="93"/>
    </row>
    <row r="708" spans="4:4" ht="15.75" customHeight="1" x14ac:dyDescent="0.25">
      <c r="D708" s="93"/>
    </row>
    <row r="709" spans="4:4" ht="15.75" customHeight="1" x14ac:dyDescent="0.25">
      <c r="D709" s="93"/>
    </row>
    <row r="710" spans="4:4" ht="15.75" customHeight="1" x14ac:dyDescent="0.25">
      <c r="D710" s="93"/>
    </row>
    <row r="711" spans="4:4" ht="15.75" customHeight="1" x14ac:dyDescent="0.25">
      <c r="D711" s="93"/>
    </row>
    <row r="712" spans="4:4" ht="15.75" customHeight="1" x14ac:dyDescent="0.25">
      <c r="D712" s="93"/>
    </row>
    <row r="713" spans="4:4" ht="15.75" customHeight="1" x14ac:dyDescent="0.25">
      <c r="D713" s="93"/>
    </row>
    <row r="714" spans="4:4" ht="15.75" customHeight="1" x14ac:dyDescent="0.25">
      <c r="D714" s="93"/>
    </row>
    <row r="715" spans="4:4" ht="15.75" customHeight="1" x14ac:dyDescent="0.25">
      <c r="D715" s="93"/>
    </row>
    <row r="716" spans="4:4" ht="15.75" customHeight="1" x14ac:dyDescent="0.25">
      <c r="D716" s="93"/>
    </row>
    <row r="717" spans="4:4" ht="15.75" customHeight="1" x14ac:dyDescent="0.25">
      <c r="D717" s="93"/>
    </row>
    <row r="718" spans="4:4" ht="15.75" customHeight="1" x14ac:dyDescent="0.25">
      <c r="D718" s="93"/>
    </row>
    <row r="719" spans="4:4" ht="15.75" customHeight="1" x14ac:dyDescent="0.25">
      <c r="D719" s="93"/>
    </row>
    <row r="720" spans="4:4" ht="15.75" customHeight="1" x14ac:dyDescent="0.25">
      <c r="D720" s="93"/>
    </row>
    <row r="721" spans="4:4" ht="15.75" customHeight="1" x14ac:dyDescent="0.25">
      <c r="D721" s="93"/>
    </row>
    <row r="722" spans="4:4" ht="15.75" customHeight="1" x14ac:dyDescent="0.25">
      <c r="D722" s="93"/>
    </row>
    <row r="723" spans="4:4" ht="15.75" customHeight="1" x14ac:dyDescent="0.25">
      <c r="D723" s="93"/>
    </row>
    <row r="724" spans="4:4" ht="15.75" customHeight="1" x14ac:dyDescent="0.25">
      <c r="D724" s="93"/>
    </row>
    <row r="725" spans="4:4" ht="15.75" customHeight="1" x14ac:dyDescent="0.25">
      <c r="D725" s="93"/>
    </row>
    <row r="726" spans="4:4" ht="15.75" customHeight="1" x14ac:dyDescent="0.25">
      <c r="D726" s="93"/>
    </row>
    <row r="727" spans="4:4" ht="15.75" customHeight="1" x14ac:dyDescent="0.25">
      <c r="D727" s="93"/>
    </row>
    <row r="728" spans="4:4" ht="15.75" customHeight="1" x14ac:dyDescent="0.25">
      <c r="D728" s="93"/>
    </row>
    <row r="729" spans="4:4" ht="15.75" customHeight="1" x14ac:dyDescent="0.25">
      <c r="D729" s="93"/>
    </row>
    <row r="730" spans="4:4" ht="15.75" customHeight="1" x14ac:dyDescent="0.25">
      <c r="D730" s="93"/>
    </row>
    <row r="731" spans="4:4" ht="15.75" customHeight="1" x14ac:dyDescent="0.25">
      <c r="D731" s="93"/>
    </row>
    <row r="732" spans="4:4" ht="15.75" customHeight="1" x14ac:dyDescent="0.25">
      <c r="D732" s="93"/>
    </row>
    <row r="733" spans="4:4" ht="15.75" customHeight="1" x14ac:dyDescent="0.25">
      <c r="D733" s="93"/>
    </row>
    <row r="734" spans="4:4" ht="15.75" customHeight="1" x14ac:dyDescent="0.25">
      <c r="D734" s="93"/>
    </row>
    <row r="735" spans="4:4" ht="15.75" customHeight="1" x14ac:dyDescent="0.25">
      <c r="D735" s="93"/>
    </row>
    <row r="736" spans="4:4" ht="15.75" customHeight="1" x14ac:dyDescent="0.25">
      <c r="D736" s="93"/>
    </row>
    <row r="737" spans="4:4" ht="15.75" customHeight="1" x14ac:dyDescent="0.25">
      <c r="D737" s="93"/>
    </row>
    <row r="738" spans="4:4" ht="15.75" customHeight="1" x14ac:dyDescent="0.25">
      <c r="D738" s="93"/>
    </row>
    <row r="739" spans="4:4" ht="15.75" customHeight="1" x14ac:dyDescent="0.25">
      <c r="D739" s="93"/>
    </row>
    <row r="740" spans="4:4" ht="15.75" customHeight="1" x14ac:dyDescent="0.25">
      <c r="D740" s="93"/>
    </row>
    <row r="741" spans="4:4" ht="15.75" customHeight="1" x14ac:dyDescent="0.25">
      <c r="D741" s="93"/>
    </row>
    <row r="742" spans="4:4" ht="15.75" customHeight="1" x14ac:dyDescent="0.25">
      <c r="D742" s="93"/>
    </row>
    <row r="743" spans="4:4" ht="15.75" customHeight="1" x14ac:dyDescent="0.25">
      <c r="D743" s="93"/>
    </row>
    <row r="744" spans="4:4" ht="15.75" customHeight="1" x14ac:dyDescent="0.25">
      <c r="D744" s="93"/>
    </row>
    <row r="745" spans="4:4" ht="15.75" customHeight="1" x14ac:dyDescent="0.25">
      <c r="D745" s="93"/>
    </row>
    <row r="746" spans="4:4" ht="15.75" customHeight="1" x14ac:dyDescent="0.25">
      <c r="D746" s="93"/>
    </row>
    <row r="747" spans="4:4" ht="15.75" customHeight="1" x14ac:dyDescent="0.25">
      <c r="D747" s="93"/>
    </row>
    <row r="748" spans="4:4" ht="15.75" customHeight="1" x14ac:dyDescent="0.25">
      <c r="D748" s="93"/>
    </row>
    <row r="749" spans="4:4" ht="15.75" customHeight="1" x14ac:dyDescent="0.25">
      <c r="D749" s="93"/>
    </row>
    <row r="750" spans="4:4" ht="15.75" customHeight="1" x14ac:dyDescent="0.25">
      <c r="D750" s="93"/>
    </row>
    <row r="751" spans="4:4" ht="15.75" customHeight="1" x14ac:dyDescent="0.25">
      <c r="D751" s="93"/>
    </row>
    <row r="752" spans="4:4" ht="15.75" customHeight="1" x14ac:dyDescent="0.25">
      <c r="D752" s="93"/>
    </row>
    <row r="753" spans="4:4" ht="15.75" customHeight="1" x14ac:dyDescent="0.25">
      <c r="D753" s="93"/>
    </row>
    <row r="754" spans="4:4" ht="15.75" customHeight="1" x14ac:dyDescent="0.25">
      <c r="D754" s="93"/>
    </row>
    <row r="755" spans="4:4" ht="15.75" customHeight="1" x14ac:dyDescent="0.25">
      <c r="D755" s="93"/>
    </row>
    <row r="756" spans="4:4" ht="15.75" customHeight="1" x14ac:dyDescent="0.25">
      <c r="D756" s="93"/>
    </row>
    <row r="757" spans="4:4" ht="15.75" customHeight="1" x14ac:dyDescent="0.25">
      <c r="D757" s="93"/>
    </row>
    <row r="758" spans="4:4" ht="15.75" customHeight="1" x14ac:dyDescent="0.25">
      <c r="D758" s="93"/>
    </row>
    <row r="759" spans="4:4" ht="15.75" customHeight="1" x14ac:dyDescent="0.25">
      <c r="D759" s="93"/>
    </row>
    <row r="760" spans="4:4" ht="15.75" customHeight="1" x14ac:dyDescent="0.25">
      <c r="D760" s="93"/>
    </row>
    <row r="761" spans="4:4" ht="15.75" customHeight="1" x14ac:dyDescent="0.25">
      <c r="D761" s="93"/>
    </row>
    <row r="762" spans="4:4" ht="15.75" customHeight="1" x14ac:dyDescent="0.25">
      <c r="D762" s="93"/>
    </row>
    <row r="763" spans="4:4" ht="15.75" customHeight="1" x14ac:dyDescent="0.25">
      <c r="D763" s="93"/>
    </row>
    <row r="764" spans="4:4" ht="15.75" customHeight="1" x14ac:dyDescent="0.25">
      <c r="D764" s="93"/>
    </row>
    <row r="765" spans="4:4" ht="15.75" customHeight="1" x14ac:dyDescent="0.25">
      <c r="D765" s="93"/>
    </row>
    <row r="766" spans="4:4" ht="15.75" customHeight="1" x14ac:dyDescent="0.25">
      <c r="D766" s="93"/>
    </row>
    <row r="767" spans="4:4" ht="15.75" customHeight="1" x14ac:dyDescent="0.25">
      <c r="D767" s="93"/>
    </row>
    <row r="768" spans="4:4" ht="15.75" customHeight="1" x14ac:dyDescent="0.25">
      <c r="D768" s="93"/>
    </row>
    <row r="769" spans="4:4" ht="15.75" customHeight="1" x14ac:dyDescent="0.25">
      <c r="D769" s="93"/>
    </row>
    <row r="770" spans="4:4" ht="15.75" customHeight="1" x14ac:dyDescent="0.25">
      <c r="D770" s="93"/>
    </row>
    <row r="771" spans="4:4" ht="15.75" customHeight="1" x14ac:dyDescent="0.25">
      <c r="D771" s="93"/>
    </row>
    <row r="772" spans="4:4" ht="15.75" customHeight="1" x14ac:dyDescent="0.25">
      <c r="D772" s="93"/>
    </row>
    <row r="773" spans="4:4" ht="15.75" customHeight="1" x14ac:dyDescent="0.25">
      <c r="D773" s="93"/>
    </row>
    <row r="774" spans="4:4" ht="15.75" customHeight="1" x14ac:dyDescent="0.25">
      <c r="D774" s="93"/>
    </row>
    <row r="775" spans="4:4" ht="15.75" customHeight="1" x14ac:dyDescent="0.25">
      <c r="D775" s="93"/>
    </row>
    <row r="776" spans="4:4" ht="15.75" customHeight="1" x14ac:dyDescent="0.25">
      <c r="D776" s="93"/>
    </row>
    <row r="777" spans="4:4" ht="15.75" customHeight="1" x14ac:dyDescent="0.25">
      <c r="D777" s="93"/>
    </row>
    <row r="778" spans="4:4" ht="15.75" customHeight="1" x14ac:dyDescent="0.25">
      <c r="D778" s="93"/>
    </row>
    <row r="779" spans="4:4" ht="15.75" customHeight="1" x14ac:dyDescent="0.25">
      <c r="D779" s="93"/>
    </row>
    <row r="780" spans="4:4" ht="15.75" customHeight="1" x14ac:dyDescent="0.25">
      <c r="D780" s="93"/>
    </row>
    <row r="781" spans="4:4" ht="15.75" customHeight="1" x14ac:dyDescent="0.25">
      <c r="D781" s="93"/>
    </row>
    <row r="782" spans="4:4" ht="15.75" customHeight="1" x14ac:dyDescent="0.25">
      <c r="D782" s="93"/>
    </row>
    <row r="783" spans="4:4" ht="15.75" customHeight="1" x14ac:dyDescent="0.25">
      <c r="D783" s="93"/>
    </row>
    <row r="784" spans="4:4" ht="15.75" customHeight="1" x14ac:dyDescent="0.25">
      <c r="D784" s="93"/>
    </row>
    <row r="785" spans="4:4" ht="15.75" customHeight="1" x14ac:dyDescent="0.25">
      <c r="D785" s="93"/>
    </row>
    <row r="786" spans="4:4" ht="15.75" customHeight="1" x14ac:dyDescent="0.25">
      <c r="D786" s="93"/>
    </row>
    <row r="787" spans="4:4" ht="15.75" customHeight="1" x14ac:dyDescent="0.25">
      <c r="D787" s="93"/>
    </row>
    <row r="788" spans="4:4" ht="15.75" customHeight="1" x14ac:dyDescent="0.25">
      <c r="D788" s="93"/>
    </row>
    <row r="789" spans="4:4" ht="15.75" customHeight="1" x14ac:dyDescent="0.25">
      <c r="D789" s="93"/>
    </row>
    <row r="790" spans="4:4" ht="15.75" customHeight="1" x14ac:dyDescent="0.25">
      <c r="D790" s="93"/>
    </row>
    <row r="791" spans="4:4" ht="15.75" customHeight="1" x14ac:dyDescent="0.25">
      <c r="D791" s="93"/>
    </row>
    <row r="792" spans="4:4" ht="15.75" customHeight="1" x14ac:dyDescent="0.25">
      <c r="D792" s="93"/>
    </row>
    <row r="793" spans="4:4" ht="15.75" customHeight="1" x14ac:dyDescent="0.25">
      <c r="D793" s="93"/>
    </row>
    <row r="794" spans="4:4" ht="15.75" customHeight="1" x14ac:dyDescent="0.25">
      <c r="D794" s="93"/>
    </row>
    <row r="795" spans="4:4" ht="15.75" customHeight="1" x14ac:dyDescent="0.25">
      <c r="D795" s="93"/>
    </row>
    <row r="796" spans="4:4" ht="15.75" customHeight="1" x14ac:dyDescent="0.25">
      <c r="D796" s="93"/>
    </row>
    <row r="797" spans="4:4" ht="15.75" customHeight="1" x14ac:dyDescent="0.25">
      <c r="D797" s="93"/>
    </row>
    <row r="798" spans="4:4" ht="15.75" customHeight="1" x14ac:dyDescent="0.25">
      <c r="D798" s="93"/>
    </row>
    <row r="799" spans="4:4" ht="15.75" customHeight="1" x14ac:dyDescent="0.25">
      <c r="D799" s="93"/>
    </row>
    <row r="800" spans="4:4" ht="15.75" customHeight="1" x14ac:dyDescent="0.25">
      <c r="D800" s="93"/>
    </row>
    <row r="801" spans="4:4" ht="15.75" customHeight="1" x14ac:dyDescent="0.25">
      <c r="D801" s="93"/>
    </row>
    <row r="802" spans="4:4" ht="15.75" customHeight="1" x14ac:dyDescent="0.25">
      <c r="D802" s="93"/>
    </row>
    <row r="803" spans="4:4" ht="15.75" customHeight="1" x14ac:dyDescent="0.25">
      <c r="D803" s="93"/>
    </row>
    <row r="804" spans="4:4" ht="15.75" customHeight="1" x14ac:dyDescent="0.25">
      <c r="D804" s="93"/>
    </row>
    <row r="805" spans="4:4" ht="15.75" customHeight="1" x14ac:dyDescent="0.25">
      <c r="D805" s="93"/>
    </row>
    <row r="806" spans="4:4" ht="15.75" customHeight="1" x14ac:dyDescent="0.25">
      <c r="D806" s="93"/>
    </row>
    <row r="807" spans="4:4" ht="15.75" customHeight="1" x14ac:dyDescent="0.25">
      <c r="D807" s="93"/>
    </row>
    <row r="808" spans="4:4" ht="15.75" customHeight="1" x14ac:dyDescent="0.25">
      <c r="D808" s="93"/>
    </row>
    <row r="809" spans="4:4" ht="15.75" customHeight="1" x14ac:dyDescent="0.25">
      <c r="D809" s="93"/>
    </row>
    <row r="810" spans="4:4" ht="15.75" customHeight="1" x14ac:dyDescent="0.25">
      <c r="D810" s="93"/>
    </row>
    <row r="811" spans="4:4" ht="15.75" customHeight="1" x14ac:dyDescent="0.25">
      <c r="D811" s="93"/>
    </row>
    <row r="812" spans="4:4" ht="15.75" customHeight="1" x14ac:dyDescent="0.25">
      <c r="D812" s="93"/>
    </row>
    <row r="813" spans="4:4" ht="15.75" customHeight="1" x14ac:dyDescent="0.25">
      <c r="D813" s="93"/>
    </row>
    <row r="814" spans="4:4" ht="15.75" customHeight="1" x14ac:dyDescent="0.25">
      <c r="D814" s="93"/>
    </row>
    <row r="815" spans="4:4" ht="15.75" customHeight="1" x14ac:dyDescent="0.25">
      <c r="D815" s="93"/>
    </row>
    <row r="816" spans="4:4" ht="15.75" customHeight="1" x14ac:dyDescent="0.25">
      <c r="D816" s="93"/>
    </row>
    <row r="817" spans="4:4" ht="15.75" customHeight="1" x14ac:dyDescent="0.25">
      <c r="D817" s="93"/>
    </row>
    <row r="818" spans="4:4" ht="15.75" customHeight="1" x14ac:dyDescent="0.25">
      <c r="D818" s="93"/>
    </row>
    <row r="819" spans="4:4" ht="15.75" customHeight="1" x14ac:dyDescent="0.25">
      <c r="D819" s="93"/>
    </row>
    <row r="820" spans="4:4" ht="15.75" customHeight="1" x14ac:dyDescent="0.25">
      <c r="D820" s="93"/>
    </row>
    <row r="821" spans="4:4" ht="15.75" customHeight="1" x14ac:dyDescent="0.25">
      <c r="D821" s="93"/>
    </row>
    <row r="822" spans="4:4" ht="15.75" customHeight="1" x14ac:dyDescent="0.25">
      <c r="D822" s="93"/>
    </row>
    <row r="823" spans="4:4" ht="15.75" customHeight="1" x14ac:dyDescent="0.25">
      <c r="D823" s="93"/>
    </row>
    <row r="824" spans="4:4" ht="15.75" customHeight="1" x14ac:dyDescent="0.25">
      <c r="D824" s="93"/>
    </row>
    <row r="825" spans="4:4" ht="15.75" customHeight="1" x14ac:dyDescent="0.25">
      <c r="D825" s="93"/>
    </row>
    <row r="826" spans="4:4" ht="15.75" customHeight="1" x14ac:dyDescent="0.25">
      <c r="D826" s="93"/>
    </row>
    <row r="827" spans="4:4" ht="15.75" customHeight="1" x14ac:dyDescent="0.25">
      <c r="D827" s="93"/>
    </row>
    <row r="828" spans="4:4" ht="15.75" customHeight="1" x14ac:dyDescent="0.25">
      <c r="D828" s="93"/>
    </row>
    <row r="829" spans="4:4" ht="15.75" customHeight="1" x14ac:dyDescent="0.25">
      <c r="D829" s="93"/>
    </row>
    <row r="830" spans="4:4" ht="15.75" customHeight="1" x14ac:dyDescent="0.25">
      <c r="D830" s="93"/>
    </row>
    <row r="831" spans="4:4" ht="15.75" customHeight="1" x14ac:dyDescent="0.25">
      <c r="D831" s="93"/>
    </row>
    <row r="832" spans="4:4" ht="15.75" customHeight="1" x14ac:dyDescent="0.25">
      <c r="D832" s="93"/>
    </row>
    <row r="833" spans="4:4" ht="15.75" customHeight="1" x14ac:dyDescent="0.25">
      <c r="D833" s="93"/>
    </row>
    <row r="834" spans="4:4" ht="15.75" customHeight="1" x14ac:dyDescent="0.25">
      <c r="D834" s="93"/>
    </row>
    <row r="835" spans="4:4" ht="15.75" customHeight="1" x14ac:dyDescent="0.25">
      <c r="D835" s="93"/>
    </row>
    <row r="836" spans="4:4" ht="15.75" customHeight="1" x14ac:dyDescent="0.25">
      <c r="D836" s="93"/>
    </row>
    <row r="837" spans="4:4" ht="15.75" customHeight="1" x14ac:dyDescent="0.25">
      <c r="D837" s="93"/>
    </row>
    <row r="838" spans="4:4" ht="15.75" customHeight="1" x14ac:dyDescent="0.25">
      <c r="D838" s="93"/>
    </row>
    <row r="839" spans="4:4" ht="15.75" customHeight="1" x14ac:dyDescent="0.25">
      <c r="D839" s="93"/>
    </row>
    <row r="840" spans="4:4" ht="15.75" customHeight="1" x14ac:dyDescent="0.25">
      <c r="D840" s="93"/>
    </row>
    <row r="841" spans="4:4" ht="15.75" customHeight="1" x14ac:dyDescent="0.25">
      <c r="D841" s="93"/>
    </row>
    <row r="842" spans="4:4" ht="15.75" customHeight="1" x14ac:dyDescent="0.25">
      <c r="D842" s="93"/>
    </row>
    <row r="843" spans="4:4" ht="15.75" customHeight="1" x14ac:dyDescent="0.25">
      <c r="D843" s="93"/>
    </row>
    <row r="844" spans="4:4" ht="15.75" customHeight="1" x14ac:dyDescent="0.25">
      <c r="D844" s="93"/>
    </row>
    <row r="845" spans="4:4" ht="15.75" customHeight="1" x14ac:dyDescent="0.25">
      <c r="D845" s="93"/>
    </row>
    <row r="846" spans="4:4" ht="15.75" customHeight="1" x14ac:dyDescent="0.25">
      <c r="D846" s="93"/>
    </row>
    <row r="847" spans="4:4" ht="15.75" customHeight="1" x14ac:dyDescent="0.25">
      <c r="D847" s="93"/>
    </row>
    <row r="848" spans="4:4" ht="15.75" customHeight="1" x14ac:dyDescent="0.25">
      <c r="D848" s="93"/>
    </row>
    <row r="849" spans="4:4" ht="15.75" customHeight="1" x14ac:dyDescent="0.25">
      <c r="D849" s="93"/>
    </row>
    <row r="850" spans="4:4" ht="15.75" customHeight="1" x14ac:dyDescent="0.25">
      <c r="D850" s="93"/>
    </row>
    <row r="851" spans="4:4" ht="15.75" customHeight="1" x14ac:dyDescent="0.25">
      <c r="D851" s="93"/>
    </row>
    <row r="852" spans="4:4" ht="15.75" customHeight="1" x14ac:dyDescent="0.25">
      <c r="D852" s="93"/>
    </row>
    <row r="853" spans="4:4" ht="15.75" customHeight="1" x14ac:dyDescent="0.25">
      <c r="D853" s="93"/>
    </row>
    <row r="854" spans="4:4" ht="15.75" customHeight="1" x14ac:dyDescent="0.25">
      <c r="D854" s="93"/>
    </row>
    <row r="855" spans="4:4" ht="15.75" customHeight="1" x14ac:dyDescent="0.25">
      <c r="D855" s="93"/>
    </row>
    <row r="856" spans="4:4" ht="15.75" customHeight="1" x14ac:dyDescent="0.25">
      <c r="D856" s="93"/>
    </row>
    <row r="857" spans="4:4" ht="15.75" customHeight="1" x14ac:dyDescent="0.25">
      <c r="D857" s="93"/>
    </row>
    <row r="858" spans="4:4" ht="15.75" customHeight="1" x14ac:dyDescent="0.25">
      <c r="D858" s="93"/>
    </row>
    <row r="859" spans="4:4" ht="15.75" customHeight="1" x14ac:dyDescent="0.25">
      <c r="D859" s="93"/>
    </row>
    <row r="860" spans="4:4" ht="15.75" customHeight="1" x14ac:dyDescent="0.25">
      <c r="D860" s="93"/>
    </row>
    <row r="861" spans="4:4" ht="15.75" customHeight="1" x14ac:dyDescent="0.25">
      <c r="D861" s="93"/>
    </row>
    <row r="862" spans="4:4" ht="15.75" customHeight="1" x14ac:dyDescent="0.25">
      <c r="D862" s="93"/>
    </row>
    <row r="863" spans="4:4" ht="15.75" customHeight="1" x14ac:dyDescent="0.25">
      <c r="D863" s="93"/>
    </row>
    <row r="864" spans="4:4" ht="15.75" customHeight="1" x14ac:dyDescent="0.25">
      <c r="D864" s="93"/>
    </row>
    <row r="865" spans="4:4" ht="15.75" customHeight="1" x14ac:dyDescent="0.25">
      <c r="D865" s="93"/>
    </row>
    <row r="866" spans="4:4" ht="15.75" customHeight="1" x14ac:dyDescent="0.25">
      <c r="D866" s="93"/>
    </row>
    <row r="867" spans="4:4" ht="15.75" customHeight="1" x14ac:dyDescent="0.25">
      <c r="D867" s="93"/>
    </row>
    <row r="868" spans="4:4" ht="15.75" customHeight="1" x14ac:dyDescent="0.25">
      <c r="D868" s="93"/>
    </row>
    <row r="869" spans="4:4" ht="15.75" customHeight="1" x14ac:dyDescent="0.25">
      <c r="D869" s="93"/>
    </row>
    <row r="870" spans="4:4" ht="15.75" customHeight="1" x14ac:dyDescent="0.25">
      <c r="D870" s="93"/>
    </row>
    <row r="871" spans="4:4" ht="15.75" customHeight="1" x14ac:dyDescent="0.25">
      <c r="D871" s="93"/>
    </row>
    <row r="872" spans="4:4" ht="15.75" customHeight="1" x14ac:dyDescent="0.25">
      <c r="D872" s="93"/>
    </row>
    <row r="873" spans="4:4" ht="15.75" customHeight="1" x14ac:dyDescent="0.25">
      <c r="D873" s="93"/>
    </row>
    <row r="874" spans="4:4" ht="15.75" customHeight="1" x14ac:dyDescent="0.25">
      <c r="D874" s="93"/>
    </row>
    <row r="875" spans="4:4" ht="15.75" customHeight="1" x14ac:dyDescent="0.25">
      <c r="D875" s="93"/>
    </row>
    <row r="876" spans="4:4" ht="15.75" customHeight="1" x14ac:dyDescent="0.25">
      <c r="D876" s="93"/>
    </row>
    <row r="877" spans="4:4" ht="15.75" customHeight="1" x14ac:dyDescent="0.25">
      <c r="D877" s="93"/>
    </row>
    <row r="878" spans="4:4" ht="15.75" customHeight="1" x14ac:dyDescent="0.25">
      <c r="D878" s="93"/>
    </row>
    <row r="879" spans="4:4" ht="15.75" customHeight="1" x14ac:dyDescent="0.25">
      <c r="D879" s="93"/>
    </row>
    <row r="880" spans="4:4" ht="15.75" customHeight="1" x14ac:dyDescent="0.25">
      <c r="D880" s="93"/>
    </row>
    <row r="881" spans="4:4" ht="15.75" customHeight="1" x14ac:dyDescent="0.25">
      <c r="D881" s="93"/>
    </row>
    <row r="882" spans="4:4" ht="15.75" customHeight="1" x14ac:dyDescent="0.25">
      <c r="D882" s="93"/>
    </row>
    <row r="883" spans="4:4" ht="15.75" customHeight="1" x14ac:dyDescent="0.25">
      <c r="D883" s="93"/>
    </row>
    <row r="884" spans="4:4" ht="15.75" customHeight="1" x14ac:dyDescent="0.25">
      <c r="D884" s="93"/>
    </row>
    <row r="885" spans="4:4" ht="15.75" customHeight="1" x14ac:dyDescent="0.25">
      <c r="D885" s="93"/>
    </row>
    <row r="886" spans="4:4" ht="15.75" customHeight="1" x14ac:dyDescent="0.25">
      <c r="D886" s="93"/>
    </row>
    <row r="887" spans="4:4" ht="15.75" customHeight="1" x14ac:dyDescent="0.25">
      <c r="D887" s="93"/>
    </row>
    <row r="888" spans="4:4" ht="15.75" customHeight="1" x14ac:dyDescent="0.25">
      <c r="D888" s="93"/>
    </row>
    <row r="889" spans="4:4" ht="15.75" customHeight="1" x14ac:dyDescent="0.25">
      <c r="D889" s="93"/>
    </row>
    <row r="890" spans="4:4" ht="15.75" customHeight="1" x14ac:dyDescent="0.25">
      <c r="D890" s="93"/>
    </row>
    <row r="891" spans="4:4" ht="15.75" customHeight="1" x14ac:dyDescent="0.25">
      <c r="D891" s="93"/>
    </row>
    <row r="892" spans="4:4" ht="15.75" customHeight="1" x14ac:dyDescent="0.25">
      <c r="D892" s="93"/>
    </row>
    <row r="893" spans="4:4" ht="15.75" customHeight="1" x14ac:dyDescent="0.25">
      <c r="D893" s="93"/>
    </row>
    <row r="894" spans="4:4" ht="15.75" customHeight="1" x14ac:dyDescent="0.25">
      <c r="D894" s="93"/>
    </row>
    <row r="895" spans="4:4" ht="15.75" customHeight="1" x14ac:dyDescent="0.25">
      <c r="D895" s="93"/>
    </row>
    <row r="896" spans="4:4" ht="15.75" customHeight="1" x14ac:dyDescent="0.25">
      <c r="D896" s="93"/>
    </row>
    <row r="897" spans="4:4" ht="15.75" customHeight="1" x14ac:dyDescent="0.25">
      <c r="D897" s="93"/>
    </row>
    <row r="898" spans="4:4" ht="15.75" customHeight="1" x14ac:dyDescent="0.25">
      <c r="D898" s="93"/>
    </row>
    <row r="899" spans="4:4" ht="15.75" customHeight="1" x14ac:dyDescent="0.25">
      <c r="D899" s="93"/>
    </row>
    <row r="900" spans="4:4" ht="15.75" customHeight="1" x14ac:dyDescent="0.25">
      <c r="D900" s="93"/>
    </row>
    <row r="901" spans="4:4" ht="15.75" customHeight="1" x14ac:dyDescent="0.25">
      <c r="D901" s="93"/>
    </row>
    <row r="902" spans="4:4" ht="15.75" customHeight="1" x14ac:dyDescent="0.25">
      <c r="D902" s="93"/>
    </row>
    <row r="903" spans="4:4" ht="15.75" customHeight="1" x14ac:dyDescent="0.25">
      <c r="D903" s="93"/>
    </row>
    <row r="904" spans="4:4" ht="15.75" customHeight="1" x14ac:dyDescent="0.25">
      <c r="D904" s="93"/>
    </row>
    <row r="905" spans="4:4" ht="15.75" customHeight="1" x14ac:dyDescent="0.25">
      <c r="D905" s="93"/>
    </row>
    <row r="906" spans="4:4" ht="15.75" customHeight="1" x14ac:dyDescent="0.25">
      <c r="D906" s="93"/>
    </row>
    <row r="907" spans="4:4" ht="15.75" customHeight="1" x14ac:dyDescent="0.25">
      <c r="D907" s="93"/>
    </row>
    <row r="908" spans="4:4" ht="15.75" customHeight="1" x14ac:dyDescent="0.25">
      <c r="D908" s="93"/>
    </row>
    <row r="909" spans="4:4" ht="15.75" customHeight="1" x14ac:dyDescent="0.25">
      <c r="D909" s="93"/>
    </row>
    <row r="910" spans="4:4" ht="15.75" customHeight="1" x14ac:dyDescent="0.25">
      <c r="D910" s="93"/>
    </row>
    <row r="911" spans="4:4" ht="15.75" customHeight="1" x14ac:dyDescent="0.25">
      <c r="D911" s="93"/>
    </row>
    <row r="912" spans="4:4" ht="15.75" customHeight="1" x14ac:dyDescent="0.25">
      <c r="D912" s="93"/>
    </row>
    <row r="913" spans="4:4" ht="15.75" customHeight="1" x14ac:dyDescent="0.25">
      <c r="D913" s="93"/>
    </row>
    <row r="914" spans="4:4" ht="15.75" customHeight="1" x14ac:dyDescent="0.25">
      <c r="D914" s="93"/>
    </row>
    <row r="915" spans="4:4" ht="15.75" customHeight="1" x14ac:dyDescent="0.25">
      <c r="D915" s="93"/>
    </row>
    <row r="916" spans="4:4" ht="15.75" customHeight="1" x14ac:dyDescent="0.25">
      <c r="D916" s="93"/>
    </row>
    <row r="917" spans="4:4" ht="15.75" customHeight="1" x14ac:dyDescent="0.25">
      <c r="D917" s="93"/>
    </row>
    <row r="918" spans="4:4" ht="15.75" customHeight="1" x14ac:dyDescent="0.25">
      <c r="D918" s="93"/>
    </row>
    <row r="919" spans="4:4" ht="15.75" customHeight="1" x14ac:dyDescent="0.25">
      <c r="D919" s="93"/>
    </row>
    <row r="920" spans="4:4" ht="15.75" customHeight="1" x14ac:dyDescent="0.25">
      <c r="D920" s="93"/>
    </row>
    <row r="921" spans="4:4" ht="15.75" customHeight="1" x14ac:dyDescent="0.25">
      <c r="D921" s="93"/>
    </row>
    <row r="922" spans="4:4" ht="15.75" customHeight="1" x14ac:dyDescent="0.25">
      <c r="D922" s="93"/>
    </row>
    <row r="923" spans="4:4" ht="15.75" customHeight="1" x14ac:dyDescent="0.25">
      <c r="D923" s="93"/>
    </row>
    <row r="924" spans="4:4" ht="15.75" customHeight="1" x14ac:dyDescent="0.25">
      <c r="D924" s="93"/>
    </row>
    <row r="925" spans="4:4" ht="15.75" customHeight="1" x14ac:dyDescent="0.25">
      <c r="D925" s="93"/>
    </row>
    <row r="926" spans="4:4" ht="15.75" customHeight="1" x14ac:dyDescent="0.25">
      <c r="D926" s="93"/>
    </row>
    <row r="927" spans="4:4" ht="15.75" customHeight="1" x14ac:dyDescent="0.25">
      <c r="D927" s="93"/>
    </row>
    <row r="928" spans="4:4" ht="15.75" customHeight="1" x14ac:dyDescent="0.25">
      <c r="D928" s="93"/>
    </row>
    <row r="929" spans="4:4" ht="15.75" customHeight="1" x14ac:dyDescent="0.25">
      <c r="D929" s="93"/>
    </row>
    <row r="930" spans="4:4" ht="15.75" customHeight="1" x14ac:dyDescent="0.25">
      <c r="D930" s="93"/>
    </row>
    <row r="931" spans="4:4" ht="15.75" customHeight="1" x14ac:dyDescent="0.25">
      <c r="D931" s="93"/>
    </row>
    <row r="932" spans="4:4" ht="15.75" customHeight="1" x14ac:dyDescent="0.25">
      <c r="D932" s="93"/>
    </row>
    <row r="933" spans="4:4" ht="15.75" customHeight="1" x14ac:dyDescent="0.25">
      <c r="D933" s="93"/>
    </row>
    <row r="934" spans="4:4" ht="15.75" customHeight="1" x14ac:dyDescent="0.25">
      <c r="D934" s="93"/>
    </row>
    <row r="935" spans="4:4" ht="15.75" customHeight="1" x14ac:dyDescent="0.25">
      <c r="D935" s="93"/>
    </row>
    <row r="936" spans="4:4" ht="15.75" customHeight="1" x14ac:dyDescent="0.25">
      <c r="D936" s="93"/>
    </row>
    <row r="937" spans="4:4" ht="15.75" customHeight="1" x14ac:dyDescent="0.25">
      <c r="D937" s="93"/>
    </row>
    <row r="938" spans="4:4" ht="15.75" customHeight="1" x14ac:dyDescent="0.25">
      <c r="D938" s="93"/>
    </row>
    <row r="939" spans="4:4" ht="15.75" customHeight="1" x14ac:dyDescent="0.25">
      <c r="D939" s="93"/>
    </row>
    <row r="940" spans="4:4" ht="15.75" customHeight="1" x14ac:dyDescent="0.25">
      <c r="D940" s="93"/>
    </row>
    <row r="941" spans="4:4" ht="15.75" customHeight="1" x14ac:dyDescent="0.25">
      <c r="D941" s="93"/>
    </row>
    <row r="942" spans="4:4" ht="15.75" customHeight="1" x14ac:dyDescent="0.25">
      <c r="D942" s="93"/>
    </row>
    <row r="943" spans="4:4" ht="15.75" customHeight="1" x14ac:dyDescent="0.25">
      <c r="D943" s="93"/>
    </row>
    <row r="944" spans="4:4" ht="15.75" customHeight="1" x14ac:dyDescent="0.25">
      <c r="D944" s="93"/>
    </row>
    <row r="945" spans="4:4" ht="15.75" customHeight="1" x14ac:dyDescent="0.25">
      <c r="D945" s="93"/>
    </row>
    <row r="946" spans="4:4" ht="15.75" customHeight="1" x14ac:dyDescent="0.25">
      <c r="D946" s="93"/>
    </row>
    <row r="947" spans="4:4" ht="15.75" customHeight="1" x14ac:dyDescent="0.25">
      <c r="D947" s="93"/>
    </row>
    <row r="948" spans="4:4" ht="15.75" customHeight="1" x14ac:dyDescent="0.25">
      <c r="D948" s="93"/>
    </row>
    <row r="949" spans="4:4" ht="15.75" customHeight="1" x14ac:dyDescent="0.25">
      <c r="D949" s="93"/>
    </row>
    <row r="950" spans="4:4" ht="15.75" customHeight="1" x14ac:dyDescent="0.25">
      <c r="D950" s="93"/>
    </row>
    <row r="951" spans="4:4" ht="15.75" customHeight="1" x14ac:dyDescent="0.25">
      <c r="D951" s="93"/>
    </row>
    <row r="952" spans="4:4" ht="15.75" customHeight="1" x14ac:dyDescent="0.25">
      <c r="D952" s="93"/>
    </row>
    <row r="953" spans="4:4" ht="15.75" customHeight="1" x14ac:dyDescent="0.25">
      <c r="D953" s="93"/>
    </row>
    <row r="954" spans="4:4" ht="15.75" customHeight="1" x14ac:dyDescent="0.25">
      <c r="D954" s="93"/>
    </row>
    <row r="955" spans="4:4" ht="15.75" customHeight="1" x14ac:dyDescent="0.25">
      <c r="D955" s="93"/>
    </row>
    <row r="956" spans="4:4" ht="15.75" customHeight="1" x14ac:dyDescent="0.25">
      <c r="D956" s="93"/>
    </row>
    <row r="957" spans="4:4" ht="15.75" customHeight="1" x14ac:dyDescent="0.25">
      <c r="D957" s="93"/>
    </row>
    <row r="958" spans="4:4" ht="15.75" customHeight="1" x14ac:dyDescent="0.25">
      <c r="D958" s="93"/>
    </row>
    <row r="959" spans="4:4" ht="15.75" customHeight="1" x14ac:dyDescent="0.25">
      <c r="D959" s="93"/>
    </row>
    <row r="960" spans="4:4" ht="15.75" customHeight="1" x14ac:dyDescent="0.25">
      <c r="D960" s="93"/>
    </row>
    <row r="961" spans="4:4" ht="15.75" customHeight="1" x14ac:dyDescent="0.25">
      <c r="D961" s="93"/>
    </row>
    <row r="962" spans="4:4" ht="15.75" customHeight="1" x14ac:dyDescent="0.25">
      <c r="D962" s="93"/>
    </row>
    <row r="963" spans="4:4" ht="15.75" customHeight="1" x14ac:dyDescent="0.25">
      <c r="D963" s="93"/>
    </row>
    <row r="964" spans="4:4" ht="15.75" customHeight="1" x14ac:dyDescent="0.25">
      <c r="D964" s="93"/>
    </row>
    <row r="965" spans="4:4" ht="15.75" customHeight="1" x14ac:dyDescent="0.25">
      <c r="D965" s="93"/>
    </row>
    <row r="966" spans="4:4" ht="15.75" customHeight="1" x14ac:dyDescent="0.25">
      <c r="D966" s="93"/>
    </row>
    <row r="967" spans="4:4" ht="15.75" customHeight="1" x14ac:dyDescent="0.25">
      <c r="D967" s="93"/>
    </row>
    <row r="968" spans="4:4" ht="15.75" customHeight="1" x14ac:dyDescent="0.25">
      <c r="D968" s="93"/>
    </row>
    <row r="969" spans="4:4" ht="15.75" customHeight="1" x14ac:dyDescent="0.25">
      <c r="D969" s="93"/>
    </row>
    <row r="970" spans="4:4" ht="15.75" customHeight="1" x14ac:dyDescent="0.25">
      <c r="D970" s="93"/>
    </row>
    <row r="971" spans="4:4" ht="15.75" customHeight="1" x14ac:dyDescent="0.25">
      <c r="D971" s="93"/>
    </row>
    <row r="972" spans="4:4" ht="15.75" customHeight="1" x14ac:dyDescent="0.25">
      <c r="D972" s="93"/>
    </row>
    <row r="973" spans="4:4" ht="15.75" customHeight="1" x14ac:dyDescent="0.25">
      <c r="D973" s="93"/>
    </row>
    <row r="974" spans="4:4" ht="15.75" customHeight="1" x14ac:dyDescent="0.25">
      <c r="D974" s="93"/>
    </row>
    <row r="975" spans="4:4" ht="15.75" customHeight="1" x14ac:dyDescent="0.25">
      <c r="D975" s="93"/>
    </row>
    <row r="976" spans="4:4" ht="15.75" customHeight="1" x14ac:dyDescent="0.25">
      <c r="D976" s="93"/>
    </row>
    <row r="977" spans="4:4" ht="15.75" customHeight="1" x14ac:dyDescent="0.25">
      <c r="D977" s="93"/>
    </row>
    <row r="978" spans="4:4" ht="15.75" customHeight="1" x14ac:dyDescent="0.25">
      <c r="D978" s="93"/>
    </row>
    <row r="979" spans="4:4" ht="15.75" customHeight="1" x14ac:dyDescent="0.25">
      <c r="D979" s="93"/>
    </row>
    <row r="980" spans="4:4" ht="15.75" customHeight="1" x14ac:dyDescent="0.25">
      <c r="D980" s="93"/>
    </row>
    <row r="981" spans="4:4" ht="15.75" customHeight="1" x14ac:dyDescent="0.25">
      <c r="D981" s="93"/>
    </row>
    <row r="982" spans="4:4" ht="15.75" customHeight="1" x14ac:dyDescent="0.25">
      <c r="D982" s="93"/>
    </row>
    <row r="983" spans="4:4" ht="15.75" customHeight="1" x14ac:dyDescent="0.25">
      <c r="D983" s="93"/>
    </row>
    <row r="984" spans="4:4" ht="15.75" customHeight="1" x14ac:dyDescent="0.25">
      <c r="D984" s="93"/>
    </row>
    <row r="985" spans="4:4" ht="15.75" customHeight="1" x14ac:dyDescent="0.25">
      <c r="D985" s="93"/>
    </row>
    <row r="986" spans="4:4" ht="15.75" customHeight="1" x14ac:dyDescent="0.25">
      <c r="D986" s="93"/>
    </row>
    <row r="987" spans="4:4" ht="15.75" customHeight="1" x14ac:dyDescent="0.25">
      <c r="D987" s="93"/>
    </row>
    <row r="988" spans="4:4" ht="15.75" customHeight="1" x14ac:dyDescent="0.25">
      <c r="D988" s="93"/>
    </row>
    <row r="989" spans="4:4" ht="15.75" customHeight="1" x14ac:dyDescent="0.25">
      <c r="D989" s="93"/>
    </row>
    <row r="990" spans="4:4" ht="15.75" customHeight="1" x14ac:dyDescent="0.25">
      <c r="D990" s="93"/>
    </row>
    <row r="991" spans="4:4" ht="15.75" customHeight="1" x14ac:dyDescent="0.25">
      <c r="D991" s="93"/>
    </row>
    <row r="992" spans="4:4" ht="15.75" customHeight="1" x14ac:dyDescent="0.25">
      <c r="D992" s="93"/>
    </row>
    <row r="993" spans="4:4" ht="15.75" customHeight="1" x14ac:dyDescent="0.25">
      <c r="D993" s="93"/>
    </row>
    <row r="994" spans="4:4" ht="15.75" customHeight="1" x14ac:dyDescent="0.25">
      <c r="D994" s="93"/>
    </row>
    <row r="995" spans="4:4" ht="15.75" customHeight="1" x14ac:dyDescent="0.25">
      <c r="D995" s="93"/>
    </row>
    <row r="996" spans="4:4" ht="15.75" customHeight="1" x14ac:dyDescent="0.25">
      <c r="D996" s="93"/>
    </row>
    <row r="997" spans="4:4" ht="15.75" customHeight="1" x14ac:dyDescent="0.25">
      <c r="D997" s="93"/>
    </row>
    <row r="998" spans="4:4" ht="15.75" customHeight="1" x14ac:dyDescent="0.25">
      <c r="D998" s="93"/>
    </row>
    <row r="999" spans="4:4" ht="15.75" customHeight="1" x14ac:dyDescent="0.25">
      <c r="D999" s="93"/>
    </row>
    <row r="1000" spans="4:4" ht="15.75" customHeight="1" x14ac:dyDescent="0.25">
      <c r="D1000" s="93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N1000"/>
  <sheetViews>
    <sheetView showGridLines="0" workbookViewId="0"/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18.140625" customWidth="1"/>
    <col min="4" max="6" width="21" customWidth="1"/>
    <col min="7" max="7" width="18.85546875" customWidth="1"/>
    <col min="8" max="8" width="16" customWidth="1"/>
    <col min="9" max="9" width="16.5703125" customWidth="1"/>
    <col min="10" max="10" width="18.140625" customWidth="1"/>
    <col min="11" max="11" width="32.42578125" customWidth="1"/>
    <col min="12" max="12" width="18.85546875" customWidth="1"/>
    <col min="13" max="13" width="16" customWidth="1"/>
    <col min="14" max="14" width="9.7109375" customWidth="1"/>
    <col min="15" max="26" width="8.7109375" customWidth="1"/>
  </cols>
  <sheetData>
    <row r="1" spans="1:14" ht="18.75" x14ac:dyDescent="0.25">
      <c r="A1" s="1" t="s">
        <v>0</v>
      </c>
      <c r="B1" s="1" t="s">
        <v>297</v>
      </c>
      <c r="C1" s="1" t="s">
        <v>298</v>
      </c>
      <c r="D1" s="2" t="s">
        <v>4</v>
      </c>
      <c r="E1" s="2" t="s">
        <v>323</v>
      </c>
      <c r="F1" s="2" t="s">
        <v>324</v>
      </c>
      <c r="G1" s="2" t="s">
        <v>3</v>
      </c>
      <c r="H1" s="113" t="s">
        <v>2</v>
      </c>
      <c r="I1" s="114" t="s">
        <v>325</v>
      </c>
      <c r="J1" s="115"/>
      <c r="K1" s="116"/>
      <c r="L1" s="117" t="s">
        <v>3</v>
      </c>
      <c r="M1" s="2" t="s">
        <v>2</v>
      </c>
      <c r="N1" s="2" t="s">
        <v>1</v>
      </c>
    </row>
    <row r="2" spans="1:14" x14ac:dyDescent="0.25">
      <c r="A2" s="83">
        <v>22039</v>
      </c>
      <c r="B2" s="103" t="s">
        <v>301</v>
      </c>
      <c r="C2" s="103" t="s">
        <v>302</v>
      </c>
      <c r="D2" s="9"/>
      <c r="E2" s="9"/>
      <c r="F2" s="9"/>
      <c r="G2" s="118"/>
      <c r="H2" s="10"/>
      <c r="I2" s="9"/>
      <c r="J2" s="10"/>
      <c r="L2" s="9" t="str">
        <f t="array" ref="L2">INDEX('Lookup Table'!$A:$H,MATCH(LOOKUPs!$A2,'Lookup Table'!$D:$D,0),MATCH(LOOKUPs!L$1,'Lookup Table'!$A$1:$H$1,0))</f>
        <v>Chennai</v>
      </c>
      <c r="M2" s="10">
        <f t="array" ref="M2">INDEX('Lookup Table'!$A:$H,MATCH(LOOKUPs!$A2,'Lookup Table'!$D:$D,0),MATCH(LOOKUPs!M$1,'Lookup Table'!$A$1:$H$1,0))</f>
        <v>29664</v>
      </c>
      <c r="N2" s="9" t="str">
        <f t="array" ref="N2">INDEX('Lookup Table'!$A$2:$D$501,MATCH(A2,'Lookup Table'!$D$2:$D$501,0),1)</f>
        <v>Male</v>
      </c>
    </row>
    <row r="3" spans="1:14" x14ac:dyDescent="0.25">
      <c r="A3" s="83">
        <v>132808</v>
      </c>
      <c r="B3" s="103" t="s">
        <v>303</v>
      </c>
      <c r="C3" s="103" t="s">
        <v>304</v>
      </c>
      <c r="D3" s="9"/>
      <c r="E3" s="9"/>
      <c r="F3" s="9"/>
      <c r="G3" s="118"/>
      <c r="H3" s="10"/>
      <c r="I3" s="9"/>
      <c r="M3" s="10"/>
    </row>
    <row r="4" spans="1:14" x14ac:dyDescent="0.25">
      <c r="A4" s="83">
        <v>39820</v>
      </c>
      <c r="B4" s="103" t="s">
        <v>303</v>
      </c>
      <c r="C4" s="103" t="s">
        <v>306</v>
      </c>
      <c r="D4" s="9"/>
      <c r="E4" s="9"/>
      <c r="F4" s="9"/>
      <c r="G4" s="118"/>
      <c r="H4" s="10"/>
      <c r="I4" s="9"/>
      <c r="M4" s="10"/>
    </row>
    <row r="5" spans="1:14" x14ac:dyDescent="0.25">
      <c r="A5" s="83">
        <v>20513</v>
      </c>
      <c r="B5" s="103" t="s">
        <v>303</v>
      </c>
      <c r="C5" s="103" t="s">
        <v>307</v>
      </c>
      <c r="D5" s="9"/>
      <c r="E5" s="9"/>
      <c r="F5" s="9"/>
      <c r="G5" s="118"/>
      <c r="H5" s="10"/>
      <c r="I5" s="9"/>
      <c r="M5" s="10"/>
    </row>
    <row r="6" spans="1:14" x14ac:dyDescent="0.25">
      <c r="A6" s="83">
        <v>122186</v>
      </c>
      <c r="B6" s="103" t="s">
        <v>308</v>
      </c>
      <c r="C6" s="103" t="s">
        <v>309</v>
      </c>
      <c r="D6" s="9"/>
      <c r="E6" s="9"/>
      <c r="F6" s="9"/>
      <c r="G6" s="118"/>
      <c r="H6" s="10"/>
      <c r="I6" s="9"/>
      <c r="M6" s="10"/>
    </row>
    <row r="7" spans="1:14" x14ac:dyDescent="0.25">
      <c r="A7" s="83">
        <v>128245</v>
      </c>
      <c r="B7" s="103" t="s">
        <v>312</v>
      </c>
      <c r="C7" s="103" t="s">
        <v>313</v>
      </c>
      <c r="D7" s="9"/>
      <c r="E7" s="9"/>
      <c r="F7" s="9"/>
      <c r="G7" s="118"/>
      <c r="H7" s="10"/>
      <c r="I7" s="9"/>
      <c r="M7" s="10"/>
    </row>
    <row r="8" spans="1:14" x14ac:dyDescent="0.25">
      <c r="A8" s="83">
        <v>22140</v>
      </c>
      <c r="B8" s="103" t="s">
        <v>314</v>
      </c>
      <c r="C8" s="103" t="s">
        <v>315</v>
      </c>
      <c r="D8" s="9"/>
      <c r="E8" s="9"/>
      <c r="F8" s="9"/>
      <c r="G8" s="118"/>
      <c r="H8" s="10"/>
      <c r="I8" s="9"/>
      <c r="M8" s="10"/>
    </row>
    <row r="9" spans="1:14" x14ac:dyDescent="0.25">
      <c r="A9" s="83">
        <v>212</v>
      </c>
      <c r="B9" s="103" t="s">
        <v>316</v>
      </c>
      <c r="C9" s="103" t="s">
        <v>317</v>
      </c>
      <c r="D9" s="9"/>
      <c r="E9" s="9"/>
      <c r="F9" s="9"/>
      <c r="G9" s="118"/>
      <c r="H9" s="10"/>
      <c r="I9" s="9"/>
      <c r="M9" s="10"/>
    </row>
    <row r="10" spans="1:14" x14ac:dyDescent="0.25">
      <c r="A10" s="83">
        <v>125925</v>
      </c>
      <c r="B10" s="103" t="s">
        <v>314</v>
      </c>
      <c r="C10" s="103" t="s">
        <v>318</v>
      </c>
      <c r="D10" s="9"/>
      <c r="E10" s="9"/>
      <c r="F10" s="9"/>
      <c r="G10" s="118"/>
      <c r="H10" s="10"/>
      <c r="I10" s="9"/>
      <c r="M10" s="10"/>
    </row>
    <row r="11" spans="1:14" x14ac:dyDescent="0.25">
      <c r="A11" s="83">
        <v>213</v>
      </c>
      <c r="B11" s="103" t="s">
        <v>319</v>
      </c>
      <c r="C11" s="103" t="s">
        <v>320</v>
      </c>
      <c r="D11" s="9"/>
      <c r="E11" s="9"/>
      <c r="F11" s="9"/>
      <c r="G11" s="118"/>
      <c r="H11" s="10"/>
      <c r="I11" s="9"/>
      <c r="M11" s="10"/>
    </row>
    <row r="12" spans="1:14" x14ac:dyDescent="0.25">
      <c r="A12" s="83">
        <v>214</v>
      </c>
      <c r="B12" s="103" t="s">
        <v>326</v>
      </c>
      <c r="C12" s="103" t="s">
        <v>327</v>
      </c>
      <c r="D12" s="9"/>
      <c r="E12" s="9"/>
      <c r="F12" s="9"/>
      <c r="G12" s="118"/>
      <c r="H12" s="10"/>
      <c r="I12" s="9"/>
      <c r="M12" s="10"/>
    </row>
    <row r="13" spans="1:14" x14ac:dyDescent="0.25">
      <c r="A13" s="83">
        <v>126880</v>
      </c>
      <c r="B13" s="103" t="s">
        <v>328</v>
      </c>
      <c r="C13" s="103" t="s">
        <v>329</v>
      </c>
      <c r="D13" s="9"/>
      <c r="E13" s="9"/>
      <c r="F13" s="9"/>
      <c r="G13" s="118"/>
      <c r="H13" s="10"/>
      <c r="I13" s="9"/>
      <c r="M13" s="10"/>
    </row>
    <row r="14" spans="1:14" x14ac:dyDescent="0.25">
      <c r="A14" s="83">
        <v>22328</v>
      </c>
      <c r="B14" s="103" t="s">
        <v>328</v>
      </c>
      <c r="C14" s="103" t="s">
        <v>330</v>
      </c>
      <c r="D14" s="9"/>
      <c r="E14" s="9"/>
      <c r="F14" s="9"/>
      <c r="G14" s="118"/>
      <c r="H14" s="10"/>
      <c r="I14" s="9"/>
      <c r="M14" s="10"/>
    </row>
    <row r="15" spans="1:14" x14ac:dyDescent="0.25">
      <c r="A15" s="83">
        <v>20598</v>
      </c>
      <c r="B15" s="103" t="s">
        <v>331</v>
      </c>
      <c r="C15" s="103" t="s">
        <v>332</v>
      </c>
      <c r="D15" s="9"/>
      <c r="E15" s="9"/>
      <c r="F15" s="9"/>
      <c r="G15" s="118"/>
      <c r="H15" s="10"/>
      <c r="I15" s="9"/>
      <c r="M15" s="10"/>
    </row>
    <row r="16" spans="1:14" x14ac:dyDescent="0.25">
      <c r="A16" s="83">
        <v>22501</v>
      </c>
      <c r="B16" s="103" t="s">
        <v>328</v>
      </c>
      <c r="C16" s="103" t="s">
        <v>333</v>
      </c>
      <c r="D16" s="9"/>
      <c r="E16" s="9"/>
      <c r="F16" s="9"/>
      <c r="G16" s="118"/>
      <c r="H16" s="10"/>
      <c r="I16" s="9"/>
      <c r="M16" s="10"/>
    </row>
    <row r="17" spans="1:13" x14ac:dyDescent="0.25">
      <c r="A17" s="83">
        <v>132808</v>
      </c>
      <c r="B17" s="103" t="s">
        <v>334</v>
      </c>
      <c r="C17" s="103" t="s">
        <v>335</v>
      </c>
      <c r="D17" s="9"/>
      <c r="E17" s="9"/>
      <c r="F17" s="9"/>
      <c r="G17" s="118"/>
      <c r="H17" s="10"/>
      <c r="I17" s="9"/>
      <c r="M17" s="10"/>
    </row>
    <row r="18" spans="1:13" x14ac:dyDescent="0.25">
      <c r="A18" s="83">
        <v>20528</v>
      </c>
      <c r="B18" s="103" t="s">
        <v>336</v>
      </c>
      <c r="C18" s="103" t="s">
        <v>337</v>
      </c>
      <c r="D18" s="9"/>
      <c r="E18" s="9"/>
      <c r="F18" s="9"/>
      <c r="G18" s="118"/>
      <c r="H18" s="10"/>
      <c r="I18" s="9"/>
      <c r="M18" s="10"/>
    </row>
    <row r="19" spans="1:13" x14ac:dyDescent="0.25">
      <c r="A19" s="83">
        <v>25809</v>
      </c>
      <c r="B19" s="103" t="s">
        <v>331</v>
      </c>
      <c r="C19" s="103" t="s">
        <v>338</v>
      </c>
      <c r="D19" s="9"/>
      <c r="E19" s="9"/>
      <c r="F19" s="9"/>
      <c r="G19" s="118"/>
      <c r="H19" s="10"/>
      <c r="I19" s="9"/>
      <c r="M19" s="10"/>
    </row>
    <row r="20" spans="1:13" x14ac:dyDescent="0.25">
      <c r="A20" s="83">
        <v>22221</v>
      </c>
      <c r="B20" s="103" t="s">
        <v>334</v>
      </c>
      <c r="C20" s="103" t="s">
        <v>339</v>
      </c>
      <c r="D20" s="9"/>
      <c r="E20" s="9"/>
      <c r="F20" s="9"/>
      <c r="G20" s="118"/>
      <c r="H20" s="10"/>
      <c r="I20" s="9"/>
      <c r="M20" s="10"/>
    </row>
    <row r="21" spans="1:13" ht="15.75" customHeight="1" x14ac:dyDescent="0.25">
      <c r="A21" s="83">
        <v>123841</v>
      </c>
      <c r="B21" s="103" t="s">
        <v>340</v>
      </c>
      <c r="C21" s="103" t="s">
        <v>341</v>
      </c>
      <c r="D21" s="9"/>
      <c r="E21" s="9"/>
      <c r="F21" s="9"/>
      <c r="G21" s="118"/>
      <c r="H21" s="10"/>
      <c r="I21" s="9"/>
      <c r="M21" s="10"/>
    </row>
    <row r="22" spans="1:13" ht="15.75" customHeight="1" x14ac:dyDescent="0.25">
      <c r="A22" s="83">
        <v>122822</v>
      </c>
      <c r="B22" s="103" t="s">
        <v>342</v>
      </c>
      <c r="C22" s="103" t="s">
        <v>343</v>
      </c>
      <c r="D22" s="9"/>
      <c r="E22" s="9"/>
      <c r="F22" s="9"/>
      <c r="G22" s="118"/>
      <c r="H22" s="10"/>
      <c r="I22" s="9"/>
      <c r="M22" s="10"/>
    </row>
    <row r="23" spans="1:13" ht="15.75" customHeight="1" x14ac:dyDescent="0.25">
      <c r="A23" s="83">
        <v>140424</v>
      </c>
      <c r="B23" s="103" t="s">
        <v>331</v>
      </c>
      <c r="C23" s="103" t="s">
        <v>344</v>
      </c>
      <c r="D23" s="9"/>
      <c r="E23" s="9"/>
      <c r="F23" s="9"/>
      <c r="G23" s="118"/>
      <c r="H23" s="10"/>
      <c r="I23" s="9"/>
      <c r="M23" s="10"/>
    </row>
    <row r="24" spans="1:13" ht="15.75" customHeight="1" x14ac:dyDescent="0.25">
      <c r="A24" s="83">
        <v>139670</v>
      </c>
      <c r="B24" s="103" t="s">
        <v>345</v>
      </c>
      <c r="C24" s="103" t="s">
        <v>346</v>
      </c>
      <c r="D24" s="9"/>
      <c r="E24" s="9"/>
      <c r="F24" s="9"/>
      <c r="G24" s="118"/>
      <c r="H24" s="10"/>
      <c r="I24" s="9"/>
      <c r="M24" s="10"/>
    </row>
    <row r="25" spans="1:13" ht="15.75" customHeight="1" x14ac:dyDescent="0.25">
      <c r="A25" s="83">
        <v>21184</v>
      </c>
      <c r="B25" s="103" t="s">
        <v>347</v>
      </c>
      <c r="C25" s="103" t="s">
        <v>348</v>
      </c>
      <c r="D25" s="9"/>
      <c r="E25" s="9"/>
      <c r="F25" s="9"/>
      <c r="G25" s="118"/>
      <c r="H25" s="10"/>
      <c r="I25" s="9"/>
      <c r="M25" s="10"/>
    </row>
    <row r="26" spans="1:13" ht="15.75" customHeight="1" x14ac:dyDescent="0.25">
      <c r="A26" s="83">
        <v>26206</v>
      </c>
      <c r="B26" s="103" t="s">
        <v>349</v>
      </c>
      <c r="C26" s="103" t="s">
        <v>350</v>
      </c>
      <c r="D26" s="9"/>
      <c r="E26" s="9"/>
      <c r="F26" s="9"/>
      <c r="G26" s="118"/>
      <c r="H26" s="10"/>
      <c r="I26" s="9"/>
      <c r="M26" s="10"/>
    </row>
    <row r="27" spans="1:13" ht="15.75" customHeight="1" x14ac:dyDescent="0.25">
      <c r="A27" s="83">
        <v>41490</v>
      </c>
      <c r="B27" s="103" t="s">
        <v>351</v>
      </c>
      <c r="C27" s="103" t="s">
        <v>352</v>
      </c>
      <c r="D27" s="9"/>
      <c r="E27" s="9"/>
      <c r="F27" s="9"/>
      <c r="G27" s="118"/>
      <c r="H27" s="10"/>
      <c r="I27" s="9"/>
      <c r="M27" s="10"/>
    </row>
    <row r="28" spans="1:13" ht="15.75" customHeight="1" x14ac:dyDescent="0.25">
      <c r="A28" s="83">
        <v>20707</v>
      </c>
      <c r="B28" s="103" t="s">
        <v>353</v>
      </c>
      <c r="C28" s="103" t="s">
        <v>354</v>
      </c>
      <c r="D28" s="9"/>
      <c r="E28" s="9"/>
      <c r="F28" s="9"/>
      <c r="G28" s="118"/>
      <c r="H28" s="10"/>
      <c r="I28" s="9"/>
      <c r="M28" s="10"/>
    </row>
    <row r="29" spans="1:13" ht="15.75" customHeight="1" x14ac:dyDescent="0.25">
      <c r="A29" s="83">
        <v>26423</v>
      </c>
      <c r="B29" s="103" t="s">
        <v>351</v>
      </c>
      <c r="C29" s="103" t="s">
        <v>355</v>
      </c>
      <c r="D29" s="9"/>
      <c r="E29" s="9"/>
      <c r="F29" s="9"/>
      <c r="G29" s="118"/>
      <c r="H29" s="10"/>
      <c r="I29" s="9"/>
      <c r="M29" s="10"/>
    </row>
    <row r="30" spans="1:13" ht="15.75" customHeight="1" x14ac:dyDescent="0.25">
      <c r="A30" s="83">
        <v>26219</v>
      </c>
      <c r="B30" s="103" t="s">
        <v>356</v>
      </c>
      <c r="C30" s="103" t="s">
        <v>357</v>
      </c>
      <c r="D30" s="9"/>
      <c r="E30" s="9"/>
      <c r="G30" s="118"/>
      <c r="H30" s="10"/>
      <c r="I30" s="9"/>
      <c r="M30" s="10"/>
    </row>
    <row r="31" spans="1:13" ht="15.75" customHeight="1" x14ac:dyDescent="0.25">
      <c r="A31" s="83">
        <v>123939</v>
      </c>
      <c r="B31" s="103" t="s">
        <v>351</v>
      </c>
      <c r="C31" s="103" t="s">
        <v>358</v>
      </c>
      <c r="D31" s="9"/>
      <c r="E31" s="9"/>
      <c r="G31" s="118"/>
      <c r="H31" s="10"/>
      <c r="I31" s="9"/>
      <c r="M31" s="10"/>
    </row>
    <row r="32" spans="1:13" ht="15.75" customHeight="1" x14ac:dyDescent="0.25">
      <c r="A32" s="83">
        <v>119941</v>
      </c>
      <c r="B32" s="103" t="s">
        <v>351</v>
      </c>
      <c r="C32" s="103" t="s">
        <v>354</v>
      </c>
      <c r="D32" s="9"/>
      <c r="E32" s="9"/>
      <c r="G32" s="118"/>
      <c r="H32" s="10"/>
      <c r="I32" s="9"/>
      <c r="M32" s="10"/>
    </row>
    <row r="33" spans="1:13" ht="15.75" customHeight="1" x14ac:dyDescent="0.25">
      <c r="A33" s="83">
        <v>141457</v>
      </c>
      <c r="B33" s="103" t="s">
        <v>359</v>
      </c>
      <c r="C33" s="103" t="s">
        <v>360</v>
      </c>
      <c r="D33" s="9"/>
      <c r="E33" s="9"/>
      <c r="G33" s="118"/>
      <c r="H33" s="10"/>
      <c r="I33" s="9"/>
      <c r="M33" s="10"/>
    </row>
    <row r="34" spans="1:13" ht="15.75" customHeight="1" x14ac:dyDescent="0.25">
      <c r="A34" s="83">
        <v>20529</v>
      </c>
      <c r="B34" s="103" t="s">
        <v>351</v>
      </c>
      <c r="C34" s="103" t="s">
        <v>358</v>
      </c>
      <c r="D34" s="9"/>
      <c r="E34" s="9"/>
      <c r="G34" s="118"/>
      <c r="H34" s="10"/>
      <c r="I34" s="9"/>
      <c r="M34" s="10"/>
    </row>
    <row r="35" spans="1:13" ht="15.75" customHeight="1" x14ac:dyDescent="0.25">
      <c r="A35" s="83">
        <v>21742</v>
      </c>
      <c r="B35" s="103" t="s">
        <v>361</v>
      </c>
      <c r="C35" s="103" t="s">
        <v>362</v>
      </c>
      <c r="D35" s="9"/>
      <c r="E35" s="9"/>
      <c r="G35" s="118"/>
      <c r="H35" s="10"/>
      <c r="I35" s="9"/>
      <c r="M35" s="10"/>
    </row>
    <row r="36" spans="1:13" ht="15.75" customHeight="1" x14ac:dyDescent="0.25">
      <c r="A36" s="83">
        <v>127029</v>
      </c>
      <c r="B36" s="103" t="s">
        <v>316</v>
      </c>
      <c r="C36" s="103" t="s">
        <v>363</v>
      </c>
      <c r="D36" s="9"/>
      <c r="E36" s="9"/>
      <c r="G36" s="118"/>
      <c r="H36" s="10"/>
      <c r="I36" s="9"/>
      <c r="M36" s="10"/>
    </row>
    <row r="37" spans="1:13" ht="15.75" customHeight="1" x14ac:dyDescent="0.25">
      <c r="A37" s="83">
        <v>20968</v>
      </c>
      <c r="B37" s="103" t="s">
        <v>364</v>
      </c>
      <c r="C37" s="103" t="s">
        <v>365</v>
      </c>
      <c r="D37" s="9"/>
      <c r="E37" s="9"/>
      <c r="G37" s="118"/>
      <c r="H37" s="10"/>
      <c r="I37" s="9"/>
      <c r="M37" s="10"/>
    </row>
    <row r="38" spans="1:13" ht="15.75" customHeight="1" x14ac:dyDescent="0.25">
      <c r="A38" s="83">
        <v>124191</v>
      </c>
      <c r="B38" s="103" t="s">
        <v>316</v>
      </c>
      <c r="C38" s="103" t="s">
        <v>366</v>
      </c>
      <c r="D38" s="9"/>
      <c r="E38" s="9"/>
      <c r="G38" s="118"/>
      <c r="H38" s="10"/>
      <c r="I38" s="9"/>
      <c r="M38" s="10"/>
    </row>
    <row r="39" spans="1:13" ht="15.75" customHeight="1" x14ac:dyDescent="0.25">
      <c r="A39" s="83">
        <v>127312</v>
      </c>
      <c r="B39" s="103" t="s">
        <v>316</v>
      </c>
      <c r="C39" s="103" t="s">
        <v>367</v>
      </c>
      <c r="D39" s="9"/>
      <c r="E39" s="9"/>
      <c r="G39" s="118"/>
      <c r="H39" s="10"/>
      <c r="I39" s="9"/>
      <c r="M39" s="10"/>
    </row>
    <row r="40" spans="1:13" ht="15.75" customHeight="1" x14ac:dyDescent="0.25">
      <c r="A40" s="83">
        <v>20735</v>
      </c>
      <c r="B40" s="103" t="s">
        <v>359</v>
      </c>
      <c r="C40" s="103" t="s">
        <v>368</v>
      </c>
      <c r="D40" s="9"/>
      <c r="E40" s="9"/>
      <c r="H40" s="10"/>
      <c r="I40" s="9"/>
      <c r="M40" s="10"/>
    </row>
    <row r="41" spans="1:13" ht="15.75" customHeight="1" x14ac:dyDescent="0.25">
      <c r="A41" s="83">
        <v>38293</v>
      </c>
      <c r="B41" s="103" t="s">
        <v>359</v>
      </c>
      <c r="C41" s="103" t="s">
        <v>369</v>
      </c>
      <c r="D41" s="9"/>
      <c r="E41" s="9"/>
      <c r="H41" s="10"/>
      <c r="I41" s="9"/>
      <c r="M41" s="10"/>
    </row>
    <row r="42" spans="1:13" ht="15.75" customHeight="1" x14ac:dyDescent="0.25">
      <c r="A42" s="83">
        <v>126772</v>
      </c>
      <c r="B42" s="103" t="s">
        <v>316</v>
      </c>
      <c r="C42" s="103" t="s">
        <v>360</v>
      </c>
      <c r="D42" s="9"/>
      <c r="E42" s="9"/>
      <c r="H42" s="10"/>
      <c r="I42" s="9"/>
      <c r="M42" s="10"/>
    </row>
    <row r="43" spans="1:13" ht="15.75" customHeight="1" x14ac:dyDescent="0.25">
      <c r="A43" s="83">
        <v>22104</v>
      </c>
      <c r="B43" s="103" t="s">
        <v>316</v>
      </c>
      <c r="C43" s="103" t="s">
        <v>370</v>
      </c>
      <c r="D43" s="9"/>
      <c r="E43" s="9"/>
      <c r="H43" s="10"/>
      <c r="I43" s="9"/>
      <c r="M43" s="10"/>
    </row>
    <row r="44" spans="1:13" ht="15.75" customHeight="1" x14ac:dyDescent="0.25">
      <c r="A44" s="83">
        <v>20770</v>
      </c>
      <c r="B44" s="103" t="s">
        <v>371</v>
      </c>
      <c r="C44" s="103" t="s">
        <v>372</v>
      </c>
      <c r="D44" s="9"/>
      <c r="E44" s="9"/>
      <c r="H44" s="10"/>
      <c r="I44" s="9"/>
      <c r="M44" s="10"/>
    </row>
    <row r="45" spans="1:13" ht="15.75" customHeight="1" x14ac:dyDescent="0.25">
      <c r="A45" s="83">
        <v>22221</v>
      </c>
      <c r="B45" s="103" t="s">
        <v>351</v>
      </c>
      <c r="C45" s="103" t="s">
        <v>373</v>
      </c>
      <c r="D45" s="9"/>
      <c r="E45" s="9"/>
      <c r="H45" s="10"/>
      <c r="I45" s="9"/>
      <c r="M45" s="10"/>
    </row>
    <row r="46" spans="1:13" ht="15.75" customHeight="1" x14ac:dyDescent="0.25">
      <c r="A46" s="83">
        <v>22036</v>
      </c>
      <c r="B46" s="103" t="s">
        <v>316</v>
      </c>
      <c r="C46" s="103" t="s">
        <v>339</v>
      </c>
      <c r="D46" s="9"/>
      <c r="E46" s="9"/>
      <c r="H46" s="10"/>
      <c r="I46" s="9"/>
      <c r="M46" s="10"/>
    </row>
    <row r="47" spans="1:13" ht="15.75" customHeight="1" x14ac:dyDescent="0.25">
      <c r="A47" s="83">
        <v>23067</v>
      </c>
      <c r="B47" s="103" t="s">
        <v>316</v>
      </c>
      <c r="C47" s="103" t="s">
        <v>374</v>
      </c>
      <c r="D47" s="9"/>
      <c r="E47" s="9"/>
      <c r="H47" s="10"/>
      <c r="I47" s="9"/>
      <c r="M47" s="10"/>
    </row>
    <row r="48" spans="1:13" ht="15.75" customHeight="1" x14ac:dyDescent="0.25">
      <c r="A48" s="83">
        <v>124124</v>
      </c>
      <c r="B48" s="103" t="s">
        <v>316</v>
      </c>
      <c r="C48" s="103" t="s">
        <v>375</v>
      </c>
      <c r="D48" s="9"/>
      <c r="E48" s="9"/>
      <c r="H48" s="10"/>
      <c r="I48" s="9"/>
      <c r="M48" s="10"/>
    </row>
    <row r="49" spans="1:13" ht="15.75" customHeight="1" x14ac:dyDescent="0.25">
      <c r="A49" s="83">
        <v>25437</v>
      </c>
      <c r="B49" s="103" t="s">
        <v>316</v>
      </c>
      <c r="C49" s="103" t="s">
        <v>376</v>
      </c>
      <c r="D49" s="9"/>
      <c r="E49" s="9"/>
      <c r="H49" s="10"/>
      <c r="I49" s="9"/>
      <c r="M49" s="10"/>
    </row>
    <row r="50" spans="1:13" ht="15.75" customHeight="1" x14ac:dyDescent="0.25">
      <c r="A50" s="83">
        <v>21389</v>
      </c>
      <c r="B50" s="103" t="s">
        <v>377</v>
      </c>
      <c r="C50" s="103" t="s">
        <v>339</v>
      </c>
      <c r="D50" s="9"/>
      <c r="E50" s="9"/>
      <c r="H50" s="10"/>
      <c r="I50" s="9"/>
      <c r="M50" s="10"/>
    </row>
    <row r="51" spans="1:13" ht="15.75" customHeight="1" x14ac:dyDescent="0.25">
      <c r="A51" s="83">
        <v>126870</v>
      </c>
      <c r="B51" s="103" t="s">
        <v>378</v>
      </c>
      <c r="C51" s="103" t="s">
        <v>379</v>
      </c>
      <c r="D51" s="9"/>
      <c r="E51" s="9"/>
      <c r="H51" s="10"/>
      <c r="I51" s="9"/>
      <c r="M51" s="10"/>
    </row>
    <row r="52" spans="1:13" ht="15.75" customHeight="1" x14ac:dyDescent="0.25">
      <c r="A52" s="83">
        <v>31074</v>
      </c>
      <c r="B52" s="103" t="s">
        <v>380</v>
      </c>
      <c r="C52" s="103" t="s">
        <v>381</v>
      </c>
      <c r="D52" s="9"/>
      <c r="E52" s="9"/>
      <c r="H52" s="10"/>
      <c r="I52" s="9"/>
      <c r="M52" s="10"/>
    </row>
    <row r="53" spans="1:13" ht="15.75" customHeight="1" x14ac:dyDescent="0.25">
      <c r="A53" s="83">
        <v>129557</v>
      </c>
      <c r="B53" s="103" t="s">
        <v>371</v>
      </c>
      <c r="C53" s="103" t="s">
        <v>382</v>
      </c>
      <c r="D53" s="9"/>
      <c r="E53" s="9"/>
      <c r="H53" s="10"/>
      <c r="I53" s="9"/>
      <c r="M53" s="10"/>
    </row>
    <row r="54" spans="1:13" ht="15.75" customHeight="1" x14ac:dyDescent="0.25">
      <c r="A54" s="83">
        <v>25535</v>
      </c>
      <c r="B54" s="103" t="s">
        <v>377</v>
      </c>
      <c r="C54" s="103" t="s">
        <v>383</v>
      </c>
      <c r="D54" s="9"/>
      <c r="E54" s="9"/>
      <c r="H54" s="10"/>
      <c r="I54" s="9"/>
      <c r="M54" s="10"/>
    </row>
    <row r="55" spans="1:13" ht="15.75" customHeight="1" x14ac:dyDescent="0.25">
      <c r="A55" s="83">
        <v>20487</v>
      </c>
      <c r="B55" s="103" t="s">
        <v>378</v>
      </c>
      <c r="C55" s="103" t="s">
        <v>384</v>
      </c>
      <c r="D55" s="9"/>
      <c r="E55" s="9"/>
      <c r="H55" s="10"/>
      <c r="I55" s="9"/>
      <c r="M55" s="10"/>
    </row>
    <row r="56" spans="1:13" ht="15.75" customHeight="1" x14ac:dyDescent="0.25">
      <c r="A56" s="83">
        <v>124772</v>
      </c>
      <c r="B56" s="103" t="s">
        <v>316</v>
      </c>
      <c r="C56" s="103" t="s">
        <v>385</v>
      </c>
      <c r="D56" s="9"/>
      <c r="E56" s="9"/>
      <c r="H56" s="10"/>
      <c r="I56" s="9"/>
      <c r="M56" s="10"/>
    </row>
    <row r="57" spans="1:13" ht="15.75" customHeight="1" x14ac:dyDescent="0.25">
      <c r="A57" s="83">
        <v>132656</v>
      </c>
      <c r="B57" s="103" t="s">
        <v>386</v>
      </c>
      <c r="C57" s="103" t="s">
        <v>387</v>
      </c>
      <c r="D57" s="9"/>
      <c r="E57" s="9"/>
      <c r="H57" s="10"/>
      <c r="I57" s="9"/>
      <c r="M57" s="10"/>
    </row>
    <row r="58" spans="1:13" ht="15.75" customHeight="1" x14ac:dyDescent="0.25">
      <c r="A58" s="83">
        <v>26467</v>
      </c>
      <c r="B58" s="103" t="s">
        <v>378</v>
      </c>
      <c r="C58" s="103" t="s">
        <v>388</v>
      </c>
      <c r="D58" s="9"/>
      <c r="E58" s="9"/>
      <c r="H58" s="10"/>
      <c r="I58" s="9"/>
      <c r="M58" s="10"/>
    </row>
    <row r="59" spans="1:13" ht="15.75" customHeight="1" x14ac:dyDescent="0.25">
      <c r="A59" s="83">
        <v>20995</v>
      </c>
      <c r="B59" s="103" t="s">
        <v>389</v>
      </c>
      <c r="C59" s="103" t="s">
        <v>390</v>
      </c>
      <c r="D59" s="9"/>
      <c r="E59" s="9"/>
      <c r="H59" s="10"/>
      <c r="I59" s="9"/>
      <c r="M59" s="10"/>
    </row>
    <row r="60" spans="1:13" ht="15.75" customHeight="1" x14ac:dyDescent="0.25">
      <c r="A60" s="83">
        <v>20569</v>
      </c>
      <c r="B60" s="103" t="s">
        <v>391</v>
      </c>
      <c r="C60" s="103" t="s">
        <v>392</v>
      </c>
      <c r="D60" s="9"/>
      <c r="E60" s="9"/>
      <c r="H60" s="10"/>
      <c r="I60" s="9"/>
      <c r="M60" s="10"/>
    </row>
    <row r="61" spans="1:13" ht="15.75" customHeight="1" x14ac:dyDescent="0.25">
      <c r="A61" s="83">
        <v>127365</v>
      </c>
      <c r="B61" s="103" t="s">
        <v>393</v>
      </c>
      <c r="C61" s="103" t="s">
        <v>309</v>
      </c>
      <c r="D61" s="9"/>
      <c r="E61" s="9"/>
      <c r="H61" s="10"/>
      <c r="I61" s="9"/>
      <c r="M61" s="10"/>
    </row>
    <row r="62" spans="1:13" ht="15.75" customHeight="1" x14ac:dyDescent="0.25">
      <c r="A62" s="83">
        <v>134616</v>
      </c>
      <c r="B62" s="103" t="s">
        <v>393</v>
      </c>
      <c r="C62" s="103" t="s">
        <v>394</v>
      </c>
      <c r="D62" s="9"/>
      <c r="E62" s="9"/>
      <c r="H62" s="10"/>
      <c r="I62" s="9"/>
      <c r="M62" s="10"/>
    </row>
    <row r="63" spans="1:13" ht="15.75" customHeight="1" x14ac:dyDescent="0.25">
      <c r="A63" s="83">
        <v>26681</v>
      </c>
      <c r="B63" s="103" t="s">
        <v>391</v>
      </c>
      <c r="C63" s="103" t="s">
        <v>302</v>
      </c>
      <c r="D63" s="9"/>
      <c r="E63" s="9"/>
      <c r="H63" s="10"/>
      <c r="I63" s="9"/>
      <c r="M63" s="10"/>
    </row>
    <row r="64" spans="1:13" ht="15.75" customHeight="1" x14ac:dyDescent="0.25">
      <c r="A64" s="83">
        <v>21235</v>
      </c>
      <c r="B64" s="103" t="s">
        <v>395</v>
      </c>
      <c r="C64" s="103" t="s">
        <v>396</v>
      </c>
      <c r="D64" s="9"/>
      <c r="E64" s="9"/>
      <c r="H64" s="10"/>
      <c r="I64" s="9"/>
      <c r="M64" s="10"/>
    </row>
    <row r="65" spans="1:13" ht="15.75" customHeight="1" x14ac:dyDescent="0.25">
      <c r="A65" s="83">
        <v>20795</v>
      </c>
      <c r="B65" s="103" t="s">
        <v>397</v>
      </c>
      <c r="C65" s="103" t="s">
        <v>398</v>
      </c>
      <c r="D65" s="9"/>
      <c r="E65" s="9"/>
      <c r="H65" s="10"/>
      <c r="I65" s="9"/>
      <c r="M65" s="10"/>
    </row>
    <row r="66" spans="1:13" ht="15.75" customHeight="1" x14ac:dyDescent="0.25">
      <c r="A66" s="83">
        <v>35721</v>
      </c>
      <c r="B66" s="103" t="s">
        <v>399</v>
      </c>
      <c r="C66" s="103" t="s">
        <v>358</v>
      </c>
      <c r="D66" s="9"/>
      <c r="E66" s="9"/>
      <c r="H66" s="10"/>
      <c r="I66" s="9"/>
      <c r="M66" s="10"/>
    </row>
    <row r="67" spans="1:13" ht="15.75" customHeight="1" x14ac:dyDescent="0.25">
      <c r="A67" s="83">
        <v>23034</v>
      </c>
      <c r="B67" s="103" t="s">
        <v>400</v>
      </c>
      <c r="C67" s="103" t="s">
        <v>401</v>
      </c>
      <c r="D67" s="9"/>
      <c r="E67" s="9"/>
      <c r="H67" s="10"/>
      <c r="I67" s="9"/>
      <c r="M67" s="10"/>
    </row>
    <row r="68" spans="1:13" ht="15.75" customHeight="1" x14ac:dyDescent="0.25">
      <c r="A68" s="83">
        <v>129382</v>
      </c>
      <c r="B68" s="103" t="s">
        <v>402</v>
      </c>
      <c r="C68" s="103" t="s">
        <v>403</v>
      </c>
      <c r="D68" s="9"/>
      <c r="E68" s="9"/>
      <c r="H68" s="10"/>
      <c r="I68" s="9"/>
      <c r="M68" s="10"/>
    </row>
    <row r="69" spans="1:13" ht="15.75" customHeight="1" x14ac:dyDescent="0.25">
      <c r="A69" s="83">
        <v>25689</v>
      </c>
      <c r="B69" s="103" t="s">
        <v>399</v>
      </c>
      <c r="C69" s="103" t="s">
        <v>404</v>
      </c>
      <c r="D69" s="9"/>
      <c r="E69" s="9"/>
      <c r="H69" s="10"/>
      <c r="I69" s="9"/>
      <c r="M69" s="10"/>
    </row>
    <row r="70" spans="1:13" ht="15.75" customHeight="1" x14ac:dyDescent="0.25">
      <c r="A70" s="83">
        <v>22298</v>
      </c>
      <c r="B70" s="103" t="s">
        <v>405</v>
      </c>
      <c r="C70" s="103" t="s">
        <v>339</v>
      </c>
      <c r="D70" s="9"/>
      <c r="E70" s="9"/>
      <c r="H70" s="10"/>
      <c r="I70" s="9"/>
      <c r="M70" s="10"/>
    </row>
    <row r="71" spans="1:13" ht="15.75" customHeight="1" x14ac:dyDescent="0.25">
      <c r="A71" s="83">
        <v>25778</v>
      </c>
      <c r="B71" s="103" t="s">
        <v>405</v>
      </c>
      <c r="C71" s="103" t="s">
        <v>358</v>
      </c>
      <c r="D71" s="9"/>
      <c r="E71" s="9"/>
      <c r="H71" s="10"/>
      <c r="I71" s="9"/>
      <c r="M71" s="10"/>
    </row>
    <row r="72" spans="1:13" ht="15.75" customHeight="1" x14ac:dyDescent="0.25">
      <c r="A72" s="83">
        <v>125733</v>
      </c>
      <c r="B72" s="103" t="s">
        <v>391</v>
      </c>
      <c r="C72" s="103" t="s">
        <v>406</v>
      </c>
      <c r="D72" s="9"/>
      <c r="E72" s="9"/>
      <c r="H72" s="10"/>
      <c r="I72" s="9"/>
      <c r="M72" s="10"/>
    </row>
    <row r="73" spans="1:13" ht="15.75" customHeight="1" x14ac:dyDescent="0.25">
      <c r="A73" s="83">
        <v>24442</v>
      </c>
      <c r="B73" s="103" t="s">
        <v>407</v>
      </c>
      <c r="C73" s="103" t="s">
        <v>408</v>
      </c>
      <c r="D73" s="9"/>
      <c r="E73" s="9"/>
      <c r="H73" s="10"/>
      <c r="I73" s="9"/>
      <c r="M73" s="10"/>
    </row>
    <row r="74" spans="1:13" ht="15.75" customHeight="1" x14ac:dyDescent="0.25">
      <c r="A74" s="83">
        <v>140452</v>
      </c>
      <c r="B74" s="103" t="s">
        <v>405</v>
      </c>
      <c r="C74" s="103" t="s">
        <v>366</v>
      </c>
      <c r="D74" s="9"/>
      <c r="E74" s="9"/>
      <c r="H74" s="10"/>
      <c r="I74" s="9"/>
      <c r="M74" s="10"/>
    </row>
    <row r="75" spans="1:13" ht="15.75" customHeight="1" x14ac:dyDescent="0.25">
      <c r="A75" s="83">
        <v>127817</v>
      </c>
      <c r="B75" s="103" t="s">
        <v>393</v>
      </c>
      <c r="C75" s="103" t="s">
        <v>409</v>
      </c>
      <c r="D75" s="9"/>
      <c r="E75" s="9"/>
      <c r="H75" s="10"/>
      <c r="I75" s="9"/>
      <c r="M75" s="10"/>
    </row>
    <row r="76" spans="1:13" ht="15.75" customHeight="1" x14ac:dyDescent="0.25">
      <c r="A76" s="83">
        <v>21004</v>
      </c>
      <c r="B76" s="103" t="s">
        <v>405</v>
      </c>
      <c r="C76" s="103" t="s">
        <v>410</v>
      </c>
      <c r="D76" s="9"/>
      <c r="E76" s="9"/>
      <c r="H76" s="10"/>
      <c r="I76" s="9"/>
      <c r="M76" s="10"/>
    </row>
    <row r="77" spans="1:13" ht="15.75" customHeight="1" x14ac:dyDescent="0.25">
      <c r="A77" s="83">
        <v>20603</v>
      </c>
      <c r="B77" s="103" t="s">
        <v>405</v>
      </c>
      <c r="C77" s="103" t="s">
        <v>339</v>
      </c>
      <c r="D77" s="9"/>
      <c r="E77" s="9"/>
      <c r="H77" s="10"/>
      <c r="I77" s="9"/>
      <c r="M77" s="10"/>
    </row>
    <row r="78" spans="1:13" ht="15.75" customHeight="1" x14ac:dyDescent="0.25">
      <c r="A78" s="83">
        <v>20786</v>
      </c>
      <c r="B78" s="103" t="s">
        <v>411</v>
      </c>
      <c r="C78" s="103" t="s">
        <v>412</v>
      </c>
      <c r="D78" s="9"/>
      <c r="E78" s="9"/>
      <c r="H78" s="10"/>
      <c r="I78" s="9"/>
      <c r="M78" s="10"/>
    </row>
    <row r="79" spans="1:13" ht="15.75" customHeight="1" x14ac:dyDescent="0.25">
      <c r="A79" s="83">
        <v>20526</v>
      </c>
      <c r="B79" s="103" t="s">
        <v>405</v>
      </c>
      <c r="C79" s="103" t="s">
        <v>339</v>
      </c>
      <c r="D79" s="9"/>
      <c r="E79" s="9"/>
      <c r="H79" s="10"/>
      <c r="I79" s="9"/>
      <c r="M79" s="10"/>
    </row>
    <row r="80" spans="1:13" ht="15.75" customHeight="1" x14ac:dyDescent="0.25">
      <c r="A80" s="83">
        <v>93908</v>
      </c>
      <c r="B80" s="103" t="s">
        <v>413</v>
      </c>
      <c r="C80" s="103" t="s">
        <v>414</v>
      </c>
      <c r="D80" s="9"/>
      <c r="E80" s="9"/>
      <c r="H80" s="10"/>
      <c r="I80" s="9"/>
      <c r="M80" s="10"/>
    </row>
    <row r="81" spans="1:13" ht="15.75" customHeight="1" x14ac:dyDescent="0.25">
      <c r="A81" s="83">
        <v>20947</v>
      </c>
      <c r="B81" s="103" t="s">
        <v>413</v>
      </c>
      <c r="C81" s="103" t="s">
        <v>415</v>
      </c>
      <c r="D81" s="9"/>
      <c r="E81" s="9"/>
      <c r="H81" s="10"/>
      <c r="I81" s="9"/>
      <c r="M81" s="10"/>
    </row>
    <row r="82" spans="1:13" ht="15.75" customHeight="1" x14ac:dyDescent="0.25">
      <c r="A82" s="83">
        <v>20635</v>
      </c>
      <c r="B82" s="103" t="s">
        <v>405</v>
      </c>
      <c r="C82" s="103" t="s">
        <v>416</v>
      </c>
      <c r="D82" s="9"/>
      <c r="E82" s="9"/>
      <c r="H82" s="10"/>
      <c r="I82" s="9"/>
      <c r="M82" s="10"/>
    </row>
    <row r="83" spans="1:13" ht="15.75" customHeight="1" x14ac:dyDescent="0.25">
      <c r="A83" s="83">
        <v>22561</v>
      </c>
      <c r="B83" s="103" t="s">
        <v>417</v>
      </c>
      <c r="C83" s="103" t="s">
        <v>418</v>
      </c>
      <c r="D83" s="9"/>
      <c r="E83" s="9"/>
      <c r="H83" s="10"/>
      <c r="I83" s="9"/>
      <c r="M83" s="10"/>
    </row>
    <row r="84" spans="1:13" ht="15.75" customHeight="1" x14ac:dyDescent="0.25">
      <c r="A84" s="83">
        <v>21578</v>
      </c>
      <c r="B84" s="103" t="s">
        <v>419</v>
      </c>
      <c r="C84" s="103" t="s">
        <v>420</v>
      </c>
      <c r="D84" s="9"/>
      <c r="E84" s="9"/>
      <c r="H84" s="10"/>
      <c r="I84" s="9"/>
      <c r="M84" s="10"/>
    </row>
    <row r="85" spans="1:13" ht="15.75" customHeight="1" x14ac:dyDescent="0.25">
      <c r="A85" s="83">
        <v>22993</v>
      </c>
      <c r="B85" s="103" t="s">
        <v>421</v>
      </c>
      <c r="C85" s="103" t="s">
        <v>422</v>
      </c>
      <c r="D85" s="9"/>
      <c r="E85" s="9"/>
      <c r="H85" s="10"/>
      <c r="I85" s="9"/>
      <c r="M85" s="10"/>
    </row>
    <row r="86" spans="1:13" ht="15.75" customHeight="1" x14ac:dyDescent="0.25">
      <c r="A86" s="83">
        <v>25330</v>
      </c>
      <c r="B86" s="103" t="s">
        <v>423</v>
      </c>
      <c r="C86" s="103" t="s">
        <v>406</v>
      </c>
      <c r="D86" s="9"/>
      <c r="E86" s="9"/>
      <c r="H86" s="10"/>
      <c r="I86" s="9"/>
      <c r="M86" s="10"/>
    </row>
    <row r="87" spans="1:13" ht="15.75" customHeight="1" x14ac:dyDescent="0.25">
      <c r="A87" s="83">
        <v>123665</v>
      </c>
      <c r="B87" s="103" t="s">
        <v>424</v>
      </c>
      <c r="C87" s="103" t="s">
        <v>425</v>
      </c>
      <c r="D87" s="9"/>
      <c r="E87" s="9"/>
      <c r="H87" s="10"/>
      <c r="I87" s="9"/>
      <c r="M87" s="10"/>
    </row>
    <row r="88" spans="1:13" ht="15.75" customHeight="1" x14ac:dyDescent="0.25">
      <c r="A88" s="83">
        <v>23705</v>
      </c>
      <c r="B88" s="103" t="s">
        <v>405</v>
      </c>
      <c r="C88" s="103" t="s">
        <v>339</v>
      </c>
      <c r="D88" s="9"/>
      <c r="E88" s="9"/>
      <c r="H88" s="10"/>
      <c r="I88" s="9"/>
      <c r="M88" s="10"/>
    </row>
    <row r="89" spans="1:13" ht="15.75" customHeight="1" x14ac:dyDescent="0.25">
      <c r="A89" s="83">
        <v>21979</v>
      </c>
      <c r="B89" s="103" t="s">
        <v>426</v>
      </c>
      <c r="C89" s="103" t="s">
        <v>427</v>
      </c>
      <c r="D89" s="9"/>
      <c r="E89" s="9"/>
      <c r="H89" s="10"/>
      <c r="I89" s="9"/>
      <c r="M89" s="10"/>
    </row>
    <row r="90" spans="1:13" ht="15.75" customHeight="1" x14ac:dyDescent="0.25">
      <c r="A90" s="83">
        <v>26269</v>
      </c>
      <c r="B90" s="103" t="s">
        <v>428</v>
      </c>
      <c r="C90" s="103" t="s">
        <v>358</v>
      </c>
      <c r="D90" s="9"/>
      <c r="E90" s="9"/>
      <c r="H90" s="10"/>
      <c r="I90" s="9"/>
      <c r="M90" s="10"/>
    </row>
    <row r="91" spans="1:13" ht="15.75" customHeight="1" x14ac:dyDescent="0.25">
      <c r="A91" s="83">
        <v>20463</v>
      </c>
      <c r="B91" s="103" t="s">
        <v>429</v>
      </c>
      <c r="C91" s="103" t="s">
        <v>430</v>
      </c>
      <c r="D91" s="9"/>
      <c r="E91" s="9"/>
      <c r="H91" s="10"/>
      <c r="I91" s="9"/>
      <c r="M91" s="10"/>
    </row>
    <row r="92" spans="1:13" ht="15.75" customHeight="1" x14ac:dyDescent="0.25">
      <c r="A92" s="83">
        <v>25285</v>
      </c>
      <c r="B92" s="103" t="s">
        <v>431</v>
      </c>
      <c r="C92" s="103" t="s">
        <v>432</v>
      </c>
      <c r="D92" s="9"/>
      <c r="E92" s="9"/>
      <c r="H92" s="10"/>
      <c r="I92" s="9"/>
      <c r="M92" s="10"/>
    </row>
    <row r="93" spans="1:13" ht="15.75" customHeight="1" x14ac:dyDescent="0.25">
      <c r="A93" s="83">
        <v>21707</v>
      </c>
      <c r="B93" s="103" t="s">
        <v>433</v>
      </c>
      <c r="C93" s="103" t="s">
        <v>434</v>
      </c>
      <c r="D93" s="9"/>
      <c r="E93" s="9"/>
      <c r="H93" s="10"/>
      <c r="I93" s="9"/>
      <c r="M93" s="10"/>
    </row>
    <row r="94" spans="1:13" ht="15.75" customHeight="1" x14ac:dyDescent="0.25">
      <c r="A94" s="83">
        <v>21223</v>
      </c>
      <c r="B94" s="103" t="s">
        <v>435</v>
      </c>
      <c r="C94" s="103" t="s">
        <v>436</v>
      </c>
      <c r="D94" s="9"/>
      <c r="E94" s="9"/>
      <c r="H94" s="10"/>
      <c r="I94" s="9"/>
      <c r="M94" s="10"/>
    </row>
    <row r="95" spans="1:13" ht="15.75" customHeight="1" x14ac:dyDescent="0.25">
      <c r="A95" s="83">
        <v>23980</v>
      </c>
      <c r="B95" s="103" t="s">
        <v>413</v>
      </c>
      <c r="C95" s="103" t="s">
        <v>437</v>
      </c>
      <c r="D95" s="9"/>
      <c r="E95" s="9"/>
      <c r="H95" s="10"/>
      <c r="I95" s="9"/>
      <c r="M95" s="10"/>
    </row>
    <row r="96" spans="1:13" ht="15.75" customHeight="1" x14ac:dyDescent="0.25">
      <c r="A96" s="83">
        <v>23131</v>
      </c>
      <c r="B96" s="103" t="s">
        <v>438</v>
      </c>
      <c r="C96" s="103" t="s">
        <v>372</v>
      </c>
      <c r="D96" s="9"/>
      <c r="E96" s="9"/>
      <c r="H96" s="10"/>
      <c r="I96" s="9"/>
      <c r="M96" s="10"/>
    </row>
    <row r="97" spans="1:13" ht="15.75" customHeight="1" x14ac:dyDescent="0.25">
      <c r="A97" s="83">
        <v>21897</v>
      </c>
      <c r="B97" s="103" t="s">
        <v>439</v>
      </c>
      <c r="C97" s="103" t="s">
        <v>440</v>
      </c>
      <c r="D97" s="9"/>
      <c r="E97" s="9"/>
      <c r="H97" s="10"/>
      <c r="I97" s="9"/>
      <c r="M97" s="10"/>
    </row>
    <row r="98" spans="1:13" ht="15.75" customHeight="1" x14ac:dyDescent="0.25">
      <c r="A98" s="83">
        <v>20630</v>
      </c>
      <c r="B98" s="103" t="s">
        <v>441</v>
      </c>
      <c r="C98" s="103" t="s">
        <v>362</v>
      </c>
      <c r="D98" s="9"/>
      <c r="E98" s="9"/>
      <c r="H98" s="10"/>
      <c r="I98" s="9"/>
      <c r="M98" s="10"/>
    </row>
    <row r="99" spans="1:13" ht="15.75" customHeight="1" x14ac:dyDescent="0.25">
      <c r="A99" s="83">
        <v>22557</v>
      </c>
      <c r="B99" s="103" t="s">
        <v>442</v>
      </c>
      <c r="C99" s="103" t="s">
        <v>443</v>
      </c>
      <c r="D99" s="9"/>
      <c r="E99" s="9"/>
      <c r="H99" s="10"/>
      <c r="I99" s="9"/>
      <c r="M99" s="10"/>
    </row>
    <row r="100" spans="1:13" ht="15.75" customHeight="1" x14ac:dyDescent="0.25">
      <c r="A100" s="83">
        <v>20578</v>
      </c>
      <c r="B100" s="103" t="s">
        <v>444</v>
      </c>
      <c r="C100" s="103" t="s">
        <v>445</v>
      </c>
      <c r="D100" s="9"/>
      <c r="E100" s="9"/>
      <c r="H100" s="10"/>
      <c r="I100" s="9"/>
      <c r="M100" s="10"/>
    </row>
    <row r="101" spans="1:13" ht="15.75" customHeight="1" x14ac:dyDescent="0.25">
      <c r="A101" s="83">
        <v>130203</v>
      </c>
      <c r="B101" s="103" t="s">
        <v>413</v>
      </c>
      <c r="C101" s="103" t="s">
        <v>446</v>
      </c>
      <c r="D101" s="9"/>
      <c r="E101" s="9"/>
      <c r="H101" s="10"/>
      <c r="I101" s="9"/>
      <c r="M101" s="10"/>
    </row>
    <row r="102" spans="1:13" ht="15.75" customHeight="1" x14ac:dyDescent="0.25">
      <c r="A102" s="83">
        <v>22206</v>
      </c>
      <c r="B102" s="103" t="s">
        <v>413</v>
      </c>
      <c r="C102" s="103" t="s">
        <v>447</v>
      </c>
      <c r="D102" s="9"/>
      <c r="E102" s="9"/>
      <c r="H102" s="10"/>
      <c r="I102" s="9"/>
      <c r="M102" s="10"/>
    </row>
    <row r="103" spans="1:13" ht="15.75" customHeight="1" x14ac:dyDescent="0.25">
      <c r="A103" s="83">
        <v>21388</v>
      </c>
      <c r="B103" s="103" t="s">
        <v>448</v>
      </c>
      <c r="C103" s="103" t="s">
        <v>449</v>
      </c>
      <c r="D103" s="9"/>
      <c r="E103" s="9"/>
      <c r="H103" s="10"/>
      <c r="I103" s="9"/>
      <c r="M103" s="10"/>
    </row>
    <row r="104" spans="1:13" ht="15.75" customHeight="1" x14ac:dyDescent="0.25">
      <c r="A104" s="83">
        <v>20492</v>
      </c>
      <c r="B104" s="103" t="s">
        <v>450</v>
      </c>
      <c r="C104" s="103" t="s">
        <v>451</v>
      </c>
      <c r="D104" s="9"/>
      <c r="E104" s="9"/>
      <c r="H104" s="10"/>
      <c r="I104" s="9"/>
      <c r="M104" s="10"/>
    </row>
    <row r="105" spans="1:13" ht="15.75" customHeight="1" x14ac:dyDescent="0.25">
      <c r="A105" s="83">
        <v>21625</v>
      </c>
      <c r="B105" s="103" t="s">
        <v>452</v>
      </c>
      <c r="C105" s="103" t="s">
        <v>453</v>
      </c>
      <c r="D105" s="9"/>
      <c r="E105" s="9"/>
      <c r="H105" s="10"/>
      <c r="I105" s="9"/>
      <c r="M105" s="10"/>
    </row>
    <row r="106" spans="1:13" ht="15.75" customHeight="1" x14ac:dyDescent="0.25">
      <c r="A106" s="83">
        <v>27310</v>
      </c>
      <c r="B106" s="103" t="s">
        <v>448</v>
      </c>
      <c r="C106" s="103" t="s">
        <v>454</v>
      </c>
      <c r="D106" s="9"/>
      <c r="E106" s="9"/>
      <c r="H106" s="10"/>
      <c r="I106" s="9"/>
      <c r="M106" s="10"/>
    </row>
    <row r="107" spans="1:13" ht="15.75" customHeight="1" x14ac:dyDescent="0.25">
      <c r="A107" s="83">
        <v>20913</v>
      </c>
      <c r="B107" s="103" t="s">
        <v>455</v>
      </c>
      <c r="C107" s="103" t="s">
        <v>456</v>
      </c>
      <c r="D107" s="9"/>
      <c r="E107" s="9"/>
      <c r="H107" s="10"/>
      <c r="I107" s="9"/>
      <c r="M107" s="10"/>
    </row>
    <row r="108" spans="1:13" ht="15.75" customHeight="1" x14ac:dyDescent="0.25">
      <c r="A108" s="83">
        <v>32475</v>
      </c>
      <c r="B108" s="103" t="s">
        <v>457</v>
      </c>
      <c r="C108" s="103" t="s">
        <v>458</v>
      </c>
      <c r="D108" s="9"/>
      <c r="E108" s="9"/>
      <c r="H108" s="10"/>
      <c r="I108" s="9"/>
      <c r="M108" s="10"/>
    </row>
    <row r="109" spans="1:13" ht="15.75" customHeight="1" x14ac:dyDescent="0.25">
      <c r="A109" s="83">
        <v>27407</v>
      </c>
      <c r="B109" s="103" t="s">
        <v>459</v>
      </c>
      <c r="C109" s="103" t="s">
        <v>460</v>
      </c>
      <c r="D109" s="9"/>
      <c r="E109" s="9"/>
      <c r="H109" s="10"/>
      <c r="I109" s="9"/>
      <c r="M109" s="10"/>
    </row>
    <row r="110" spans="1:13" ht="15.75" customHeight="1" x14ac:dyDescent="0.25">
      <c r="A110" s="83">
        <v>21315</v>
      </c>
      <c r="B110" s="103" t="s">
        <v>461</v>
      </c>
      <c r="C110" s="103" t="s">
        <v>462</v>
      </c>
      <c r="D110" s="9"/>
      <c r="E110" s="9"/>
      <c r="H110" s="10"/>
      <c r="I110" s="9"/>
      <c r="M110" s="10"/>
    </row>
    <row r="111" spans="1:13" ht="15.75" customHeight="1" x14ac:dyDescent="0.25">
      <c r="A111" s="83">
        <v>20570</v>
      </c>
      <c r="B111" s="103" t="s">
        <v>463</v>
      </c>
      <c r="C111" s="103" t="s">
        <v>464</v>
      </c>
      <c r="D111" s="9"/>
      <c r="E111" s="9"/>
      <c r="H111" s="10"/>
      <c r="I111" s="9"/>
      <c r="M111" s="10"/>
    </row>
    <row r="112" spans="1:13" ht="15.75" customHeight="1" x14ac:dyDescent="0.25">
      <c r="A112" s="83">
        <v>20563</v>
      </c>
      <c r="B112" s="103" t="s">
        <v>465</v>
      </c>
      <c r="C112" s="103" t="s">
        <v>466</v>
      </c>
      <c r="D112" s="9"/>
      <c r="E112" s="9"/>
      <c r="H112" s="10"/>
      <c r="I112" s="9"/>
      <c r="M112" s="10"/>
    </row>
    <row r="113" spans="1:13" ht="15.75" customHeight="1" x14ac:dyDescent="0.25">
      <c r="A113" s="83">
        <v>33701</v>
      </c>
      <c r="B113" s="103" t="s">
        <v>467</v>
      </c>
      <c r="C113" s="103" t="s">
        <v>468</v>
      </c>
      <c r="D113" s="9"/>
      <c r="E113" s="9"/>
      <c r="H113" s="10"/>
      <c r="I113" s="9"/>
      <c r="M113" s="10"/>
    </row>
    <row r="114" spans="1:13" ht="15.75" customHeight="1" x14ac:dyDescent="0.25">
      <c r="A114" s="83">
        <v>20893</v>
      </c>
      <c r="B114" s="103" t="s">
        <v>469</v>
      </c>
      <c r="C114" s="103" t="s">
        <v>470</v>
      </c>
      <c r="D114" s="9"/>
      <c r="E114" s="9"/>
      <c r="H114" s="10"/>
      <c r="I114" s="9"/>
      <c r="M114" s="10"/>
    </row>
    <row r="115" spans="1:13" ht="15.75" customHeight="1" x14ac:dyDescent="0.25">
      <c r="A115" s="83">
        <v>123827</v>
      </c>
      <c r="B115" s="103" t="s">
        <v>448</v>
      </c>
      <c r="C115" s="103" t="s">
        <v>471</v>
      </c>
      <c r="D115" s="9"/>
      <c r="E115" s="9"/>
      <c r="H115" s="10"/>
      <c r="I115" s="9"/>
      <c r="M115" s="10"/>
    </row>
    <row r="116" spans="1:13" ht="15.75" customHeight="1" x14ac:dyDescent="0.25">
      <c r="A116" s="83">
        <v>22349</v>
      </c>
      <c r="B116" s="103" t="s">
        <v>463</v>
      </c>
      <c r="C116" s="103" t="s">
        <v>472</v>
      </c>
      <c r="D116" s="9"/>
      <c r="E116" s="9"/>
      <c r="H116" s="10"/>
      <c r="I116" s="9"/>
      <c r="M116" s="10"/>
    </row>
    <row r="117" spans="1:13" ht="15.75" customHeight="1" x14ac:dyDescent="0.25">
      <c r="A117" s="83">
        <v>134219</v>
      </c>
      <c r="B117" s="103" t="s">
        <v>459</v>
      </c>
      <c r="C117" s="103" t="s">
        <v>472</v>
      </c>
      <c r="D117" s="9"/>
      <c r="E117" s="9"/>
      <c r="H117" s="10"/>
      <c r="I117" s="9"/>
      <c r="M117" s="10"/>
    </row>
    <row r="118" spans="1:13" ht="15.75" customHeight="1" x14ac:dyDescent="0.25">
      <c r="A118" s="83">
        <v>20800</v>
      </c>
      <c r="B118" s="103" t="s">
        <v>473</v>
      </c>
      <c r="C118" s="103" t="s">
        <v>474</v>
      </c>
      <c r="D118" s="9"/>
      <c r="E118" s="9"/>
      <c r="H118" s="10"/>
      <c r="I118" s="9"/>
      <c r="M118" s="10"/>
    </row>
    <row r="119" spans="1:13" ht="15.75" customHeight="1" x14ac:dyDescent="0.25">
      <c r="A119" s="83">
        <v>133051</v>
      </c>
      <c r="B119" s="103" t="s">
        <v>475</v>
      </c>
      <c r="C119" s="103" t="s">
        <v>476</v>
      </c>
      <c r="D119" s="9"/>
      <c r="E119" s="9"/>
      <c r="H119" s="10"/>
      <c r="I119" s="9"/>
      <c r="M119" s="10"/>
    </row>
    <row r="120" spans="1:13" ht="15.75" customHeight="1" x14ac:dyDescent="0.25">
      <c r="A120" s="83">
        <v>24629</v>
      </c>
      <c r="B120" s="103" t="s">
        <v>477</v>
      </c>
      <c r="C120" s="103" t="s">
        <v>478</v>
      </c>
      <c r="D120" s="9"/>
      <c r="E120" s="9"/>
      <c r="H120" s="10"/>
      <c r="I120" s="9"/>
      <c r="M120" s="10"/>
    </row>
    <row r="121" spans="1:13" ht="15.75" customHeight="1" x14ac:dyDescent="0.25">
      <c r="A121" s="83">
        <v>20528</v>
      </c>
      <c r="B121" s="103" t="s">
        <v>479</v>
      </c>
      <c r="C121" s="103" t="s">
        <v>480</v>
      </c>
      <c r="D121" s="9"/>
      <c r="E121" s="9"/>
      <c r="H121" s="10"/>
      <c r="I121" s="9"/>
      <c r="M121" s="10"/>
    </row>
    <row r="122" spans="1:13" ht="15.75" customHeight="1" x14ac:dyDescent="0.25">
      <c r="A122" s="83">
        <v>21620</v>
      </c>
      <c r="B122" s="103" t="s">
        <v>481</v>
      </c>
      <c r="C122" s="103" t="s">
        <v>482</v>
      </c>
      <c r="D122" s="9"/>
      <c r="E122" s="9"/>
      <c r="H122" s="10"/>
      <c r="I122" s="9"/>
      <c r="M122" s="10"/>
    </row>
    <row r="123" spans="1:13" ht="15.75" customHeight="1" x14ac:dyDescent="0.25">
      <c r="A123" s="83">
        <v>20879</v>
      </c>
      <c r="B123" s="103" t="s">
        <v>479</v>
      </c>
      <c r="C123" s="103" t="s">
        <v>355</v>
      </c>
      <c r="D123" s="9"/>
      <c r="E123" s="9"/>
      <c r="H123" s="10"/>
      <c r="I123" s="9"/>
      <c r="M123" s="10"/>
    </row>
    <row r="124" spans="1:13" ht="15.75" customHeight="1" x14ac:dyDescent="0.25">
      <c r="A124" s="83">
        <v>27533</v>
      </c>
      <c r="B124" s="103" t="s">
        <v>483</v>
      </c>
      <c r="C124" s="103" t="s">
        <v>360</v>
      </c>
      <c r="D124" s="9"/>
      <c r="E124" s="9"/>
      <c r="H124" s="10"/>
      <c r="I124" s="9"/>
      <c r="M124" s="10"/>
    </row>
    <row r="125" spans="1:13" ht="15.75" customHeight="1" x14ac:dyDescent="0.25">
      <c r="A125" s="83">
        <v>133794</v>
      </c>
      <c r="B125" s="103" t="s">
        <v>484</v>
      </c>
      <c r="C125" s="103" t="s">
        <v>485</v>
      </c>
      <c r="D125" s="9"/>
      <c r="E125" s="9"/>
      <c r="H125" s="10"/>
      <c r="I125" s="9"/>
      <c r="M125" s="10"/>
    </row>
    <row r="126" spans="1:13" ht="15.75" customHeight="1" x14ac:dyDescent="0.25">
      <c r="A126" s="83">
        <v>140822</v>
      </c>
      <c r="B126" s="103" t="s">
        <v>486</v>
      </c>
      <c r="C126" s="103" t="s">
        <v>487</v>
      </c>
      <c r="D126" s="9"/>
      <c r="E126" s="9"/>
      <c r="H126" s="10"/>
      <c r="I126" s="9"/>
      <c r="M126" s="10"/>
    </row>
    <row r="127" spans="1:13" ht="15.75" customHeight="1" x14ac:dyDescent="0.25">
      <c r="A127" s="83">
        <v>23197</v>
      </c>
      <c r="B127" s="103" t="s">
        <v>488</v>
      </c>
      <c r="C127" s="103" t="s">
        <v>489</v>
      </c>
      <c r="D127" s="9"/>
      <c r="E127" s="9"/>
      <c r="H127" s="10"/>
      <c r="I127" s="9"/>
      <c r="M127" s="10"/>
    </row>
    <row r="128" spans="1:13" ht="15.75" customHeight="1" x14ac:dyDescent="0.25">
      <c r="A128" s="83">
        <v>21202</v>
      </c>
      <c r="B128" s="103" t="s">
        <v>490</v>
      </c>
      <c r="C128" s="103" t="s">
        <v>406</v>
      </c>
      <c r="D128" s="9"/>
      <c r="E128" s="9"/>
      <c r="H128" s="10"/>
      <c r="I128" s="9"/>
      <c r="M128" s="10"/>
    </row>
    <row r="129" spans="1:13" ht="15.75" customHeight="1" x14ac:dyDescent="0.25">
      <c r="A129" s="83">
        <v>21374</v>
      </c>
      <c r="B129" s="103" t="s">
        <v>491</v>
      </c>
      <c r="C129" s="103" t="s">
        <v>492</v>
      </c>
      <c r="D129" s="9"/>
      <c r="E129" s="9"/>
      <c r="H129" s="10"/>
      <c r="I129" s="9"/>
      <c r="M129" s="10"/>
    </row>
    <row r="130" spans="1:13" ht="15.75" customHeight="1" x14ac:dyDescent="0.25">
      <c r="A130" s="83">
        <v>23022</v>
      </c>
      <c r="B130" s="103" t="s">
        <v>493</v>
      </c>
      <c r="C130" s="103" t="s">
        <v>406</v>
      </c>
      <c r="D130" s="9"/>
      <c r="E130" s="9"/>
      <c r="H130" s="10"/>
      <c r="I130" s="9"/>
      <c r="M130" s="10"/>
    </row>
    <row r="131" spans="1:13" ht="15.75" customHeight="1" x14ac:dyDescent="0.25">
      <c r="A131" s="83">
        <v>126990</v>
      </c>
      <c r="B131" s="103" t="s">
        <v>494</v>
      </c>
      <c r="C131" s="103" t="s">
        <v>495</v>
      </c>
      <c r="D131" s="9"/>
      <c r="E131" s="9"/>
      <c r="H131" s="10"/>
      <c r="I131" s="9"/>
      <c r="M131" s="10"/>
    </row>
    <row r="132" spans="1:13" ht="15.75" customHeight="1" x14ac:dyDescent="0.25">
      <c r="A132" s="83">
        <v>38732</v>
      </c>
      <c r="B132" s="103" t="s">
        <v>467</v>
      </c>
      <c r="C132" s="103" t="s">
        <v>416</v>
      </c>
      <c r="D132" s="9"/>
      <c r="E132" s="9"/>
      <c r="H132" s="10"/>
      <c r="I132" s="9"/>
      <c r="M132" s="10"/>
    </row>
    <row r="133" spans="1:13" ht="15.75" customHeight="1" x14ac:dyDescent="0.25">
      <c r="A133" s="83">
        <v>141756</v>
      </c>
      <c r="B133" s="103" t="s">
        <v>496</v>
      </c>
      <c r="C133" s="103" t="s">
        <v>497</v>
      </c>
      <c r="D133" s="9"/>
      <c r="E133" s="9"/>
      <c r="H133" s="10"/>
      <c r="I133" s="9"/>
      <c r="M133" s="10"/>
    </row>
    <row r="134" spans="1:13" ht="15.75" customHeight="1" x14ac:dyDescent="0.25">
      <c r="A134" s="83">
        <v>50460</v>
      </c>
      <c r="B134" s="103" t="s">
        <v>488</v>
      </c>
      <c r="C134" s="103" t="s">
        <v>498</v>
      </c>
      <c r="D134" s="9"/>
      <c r="E134" s="9"/>
      <c r="H134" s="10"/>
      <c r="I134" s="9"/>
      <c r="M134" s="10"/>
    </row>
    <row r="135" spans="1:13" ht="15.75" customHeight="1" x14ac:dyDescent="0.25">
      <c r="A135" s="83">
        <v>22394</v>
      </c>
      <c r="B135" s="103" t="s">
        <v>499</v>
      </c>
      <c r="C135" s="103" t="s">
        <v>500</v>
      </c>
      <c r="D135" s="9"/>
      <c r="E135" s="9"/>
      <c r="H135" s="10"/>
      <c r="I135" s="9"/>
      <c r="M135" s="10"/>
    </row>
    <row r="136" spans="1:13" ht="15.75" customHeight="1" x14ac:dyDescent="0.25">
      <c r="A136" s="83">
        <v>32590</v>
      </c>
      <c r="B136" s="103" t="s">
        <v>501</v>
      </c>
      <c r="C136" s="103" t="s">
        <v>502</v>
      </c>
      <c r="D136" s="9"/>
      <c r="E136" s="9"/>
      <c r="H136" s="10"/>
      <c r="I136" s="9"/>
      <c r="M136" s="10"/>
    </row>
    <row r="137" spans="1:13" ht="15.75" customHeight="1" x14ac:dyDescent="0.25">
      <c r="A137" s="83">
        <v>128548</v>
      </c>
      <c r="B137" s="103" t="s">
        <v>503</v>
      </c>
      <c r="C137" s="103" t="s">
        <v>504</v>
      </c>
      <c r="D137" s="9"/>
      <c r="E137" s="9"/>
      <c r="H137" s="10"/>
      <c r="I137" s="9"/>
      <c r="M137" s="10"/>
    </row>
    <row r="138" spans="1:13" ht="15.75" customHeight="1" x14ac:dyDescent="0.25">
      <c r="A138" s="83">
        <v>127152</v>
      </c>
      <c r="B138" s="103" t="s">
        <v>505</v>
      </c>
      <c r="C138" s="103" t="s">
        <v>372</v>
      </c>
      <c r="D138" s="9"/>
      <c r="E138" s="9"/>
      <c r="H138" s="10"/>
      <c r="I138" s="9"/>
      <c r="M138" s="10"/>
    </row>
    <row r="139" spans="1:13" ht="15.75" customHeight="1" x14ac:dyDescent="0.25">
      <c r="A139" s="83">
        <v>23699</v>
      </c>
      <c r="B139" s="103" t="s">
        <v>506</v>
      </c>
      <c r="C139" s="103" t="s">
        <v>507</v>
      </c>
      <c r="D139" s="9"/>
      <c r="E139" s="9"/>
      <c r="H139" s="10"/>
      <c r="I139" s="9"/>
      <c r="M139" s="10"/>
    </row>
    <row r="140" spans="1:13" ht="15.75" customHeight="1" x14ac:dyDescent="0.25">
      <c r="A140" s="83">
        <v>129289</v>
      </c>
      <c r="B140" s="103" t="s">
        <v>508</v>
      </c>
      <c r="C140" s="103" t="s">
        <v>509</v>
      </c>
      <c r="D140" s="9"/>
      <c r="E140" s="9"/>
      <c r="H140" s="10"/>
      <c r="I140" s="9"/>
      <c r="M140" s="10"/>
    </row>
    <row r="141" spans="1:13" ht="15.75" customHeight="1" x14ac:dyDescent="0.25">
      <c r="A141" s="83">
        <v>21920</v>
      </c>
      <c r="B141" s="103" t="s">
        <v>510</v>
      </c>
      <c r="C141" s="103" t="s">
        <v>511</v>
      </c>
      <c r="D141" s="9"/>
      <c r="E141" s="9"/>
      <c r="H141" s="10"/>
      <c r="I141" s="9"/>
      <c r="M141" s="10"/>
    </row>
    <row r="142" spans="1:13" ht="15.75" customHeight="1" x14ac:dyDescent="0.25">
      <c r="A142" s="83">
        <v>133475</v>
      </c>
      <c r="B142" s="103" t="s">
        <v>512</v>
      </c>
      <c r="C142" s="103" t="s">
        <v>513</v>
      </c>
      <c r="D142" s="9"/>
      <c r="E142" s="9"/>
      <c r="H142" s="10"/>
      <c r="I142" s="9"/>
      <c r="M142" s="10"/>
    </row>
    <row r="143" spans="1:13" ht="15.75" customHeight="1" x14ac:dyDescent="0.25">
      <c r="A143" s="83">
        <v>24744</v>
      </c>
      <c r="B143" s="103" t="s">
        <v>514</v>
      </c>
      <c r="C143" s="103" t="s">
        <v>515</v>
      </c>
      <c r="D143" s="9"/>
      <c r="E143" s="9"/>
      <c r="H143" s="10"/>
      <c r="I143" s="9"/>
      <c r="M143" s="10"/>
    </row>
    <row r="144" spans="1:13" ht="15.75" customHeight="1" x14ac:dyDescent="0.25">
      <c r="A144" s="83">
        <v>128012</v>
      </c>
      <c r="B144" s="103" t="s">
        <v>516</v>
      </c>
      <c r="C144" s="103" t="s">
        <v>517</v>
      </c>
      <c r="D144" s="9"/>
      <c r="E144" s="9"/>
      <c r="H144" s="10"/>
      <c r="I144" s="9"/>
      <c r="M144" s="10"/>
    </row>
    <row r="145" spans="1:13" ht="15.75" customHeight="1" x14ac:dyDescent="0.25">
      <c r="A145" s="83">
        <v>22465</v>
      </c>
      <c r="B145" s="103" t="s">
        <v>518</v>
      </c>
      <c r="C145" s="103" t="s">
        <v>519</v>
      </c>
      <c r="D145" s="9"/>
      <c r="E145" s="9"/>
      <c r="H145" s="10"/>
      <c r="I145" s="9"/>
      <c r="M145" s="10"/>
    </row>
    <row r="146" spans="1:13" ht="15.75" customHeight="1" x14ac:dyDescent="0.25">
      <c r="A146" s="83">
        <v>131866</v>
      </c>
      <c r="B146" s="103" t="s">
        <v>520</v>
      </c>
      <c r="C146" s="103" t="s">
        <v>513</v>
      </c>
      <c r="D146" s="9"/>
      <c r="E146" s="9"/>
      <c r="H146" s="10"/>
      <c r="I146" s="9"/>
      <c r="M146" s="10"/>
    </row>
    <row r="147" spans="1:13" ht="15.75" customHeight="1" x14ac:dyDescent="0.25">
      <c r="A147" s="83">
        <v>137759</v>
      </c>
      <c r="B147" s="103" t="s">
        <v>521</v>
      </c>
      <c r="C147" s="103" t="s">
        <v>522</v>
      </c>
      <c r="D147" s="9"/>
      <c r="E147" s="9"/>
      <c r="H147" s="10"/>
      <c r="I147" s="9"/>
      <c r="M147" s="10"/>
    </row>
    <row r="148" spans="1:13" ht="15.75" customHeight="1" x14ac:dyDescent="0.25">
      <c r="A148" s="83">
        <v>133441</v>
      </c>
      <c r="B148" s="103" t="s">
        <v>523</v>
      </c>
      <c r="C148" s="103" t="s">
        <v>524</v>
      </c>
      <c r="D148" s="9"/>
      <c r="E148" s="9"/>
      <c r="H148" s="10"/>
      <c r="I148" s="9"/>
      <c r="M148" s="10"/>
    </row>
    <row r="149" spans="1:13" ht="15.75" customHeight="1" x14ac:dyDescent="0.25">
      <c r="A149" s="83">
        <v>128016</v>
      </c>
      <c r="B149" s="103" t="s">
        <v>525</v>
      </c>
      <c r="C149" s="103" t="s">
        <v>526</v>
      </c>
      <c r="D149" s="9"/>
      <c r="E149" s="9"/>
      <c r="H149" s="10"/>
      <c r="I149" s="9"/>
      <c r="M149" s="10"/>
    </row>
    <row r="150" spans="1:13" ht="15.75" customHeight="1" x14ac:dyDescent="0.25">
      <c r="A150" s="83">
        <v>128577</v>
      </c>
      <c r="B150" s="103" t="s">
        <v>527</v>
      </c>
      <c r="C150" s="103" t="s">
        <v>528</v>
      </c>
      <c r="D150" s="9"/>
      <c r="E150" s="9"/>
      <c r="H150" s="10"/>
      <c r="I150" s="9"/>
      <c r="M150" s="10"/>
    </row>
    <row r="151" spans="1:13" ht="15.75" customHeight="1" x14ac:dyDescent="0.25">
      <c r="A151" s="83">
        <v>21960</v>
      </c>
      <c r="B151" s="103" t="s">
        <v>529</v>
      </c>
      <c r="C151" s="103" t="s">
        <v>530</v>
      </c>
      <c r="D151" s="9"/>
      <c r="E151" s="9"/>
      <c r="H151" s="10"/>
      <c r="I151" s="9"/>
      <c r="M151" s="10"/>
    </row>
    <row r="152" spans="1:13" ht="15.75" customHeight="1" x14ac:dyDescent="0.25">
      <c r="A152" s="83">
        <v>25925</v>
      </c>
      <c r="B152" s="103" t="s">
        <v>531</v>
      </c>
      <c r="C152" s="103" t="s">
        <v>532</v>
      </c>
      <c r="D152" s="9"/>
      <c r="E152" s="9"/>
      <c r="H152" s="10"/>
      <c r="I152" s="9"/>
      <c r="M152" s="10"/>
    </row>
    <row r="153" spans="1:13" ht="15.75" customHeight="1" x14ac:dyDescent="0.25">
      <c r="A153" s="83">
        <v>21509</v>
      </c>
      <c r="B153" s="103" t="s">
        <v>533</v>
      </c>
      <c r="C153" s="103" t="s">
        <v>534</v>
      </c>
      <c r="D153" s="9"/>
      <c r="E153" s="9"/>
      <c r="H153" s="10"/>
      <c r="I153" s="9"/>
      <c r="M153" s="10"/>
    </row>
    <row r="154" spans="1:13" ht="15.75" customHeight="1" x14ac:dyDescent="0.25">
      <c r="A154" s="83">
        <v>20507</v>
      </c>
      <c r="B154" s="103" t="s">
        <v>535</v>
      </c>
      <c r="C154" s="103" t="s">
        <v>536</v>
      </c>
      <c r="D154" s="9"/>
      <c r="E154" s="9"/>
      <c r="H154" s="10"/>
      <c r="I154" s="9"/>
      <c r="M154" s="10"/>
    </row>
    <row r="155" spans="1:13" ht="15.75" customHeight="1" x14ac:dyDescent="0.25">
      <c r="A155" s="83">
        <v>23736</v>
      </c>
      <c r="B155" s="103" t="s">
        <v>537</v>
      </c>
      <c r="C155" s="103" t="s">
        <v>538</v>
      </c>
      <c r="D155" s="9"/>
      <c r="E155" s="9"/>
      <c r="H155" s="10"/>
      <c r="I155" s="9"/>
      <c r="M155" s="10"/>
    </row>
    <row r="156" spans="1:13" ht="15.75" customHeight="1" x14ac:dyDescent="0.25">
      <c r="A156" s="83">
        <v>121525</v>
      </c>
      <c r="B156" s="103" t="s">
        <v>539</v>
      </c>
      <c r="C156" s="103" t="s">
        <v>540</v>
      </c>
      <c r="D156" s="9"/>
      <c r="E156" s="9"/>
      <c r="H156" s="10"/>
      <c r="I156" s="9"/>
      <c r="M156" s="10"/>
    </row>
    <row r="157" spans="1:13" ht="15.75" customHeight="1" x14ac:dyDescent="0.25">
      <c r="A157" s="83">
        <v>124685</v>
      </c>
      <c r="B157" s="103" t="s">
        <v>541</v>
      </c>
      <c r="C157" s="103" t="s">
        <v>542</v>
      </c>
      <c r="D157" s="9"/>
      <c r="E157" s="9"/>
      <c r="H157" s="10"/>
      <c r="I157" s="9"/>
      <c r="M157" s="10"/>
    </row>
    <row r="158" spans="1:13" ht="15.75" customHeight="1" x14ac:dyDescent="0.25">
      <c r="A158" s="83">
        <v>120830</v>
      </c>
      <c r="B158" s="103" t="s">
        <v>543</v>
      </c>
      <c r="C158" s="103" t="s">
        <v>544</v>
      </c>
      <c r="D158" s="9"/>
      <c r="E158" s="9"/>
      <c r="H158" s="10"/>
      <c r="I158" s="9"/>
      <c r="M158" s="10"/>
    </row>
    <row r="159" spans="1:13" ht="15.75" customHeight="1" x14ac:dyDescent="0.25">
      <c r="A159" s="83">
        <v>26313</v>
      </c>
      <c r="B159" s="103" t="s">
        <v>545</v>
      </c>
      <c r="C159" s="103" t="s">
        <v>449</v>
      </c>
      <c r="D159" s="9"/>
      <c r="E159" s="9"/>
      <c r="H159" s="10"/>
      <c r="I159" s="9"/>
      <c r="M159" s="10"/>
    </row>
    <row r="160" spans="1:13" ht="15.75" customHeight="1" x14ac:dyDescent="0.25">
      <c r="A160" s="83">
        <v>47952</v>
      </c>
      <c r="B160" s="103" t="s">
        <v>546</v>
      </c>
      <c r="C160" s="103" t="s">
        <v>547</v>
      </c>
      <c r="D160" s="9"/>
      <c r="E160" s="9"/>
      <c r="H160" s="10"/>
      <c r="I160" s="9"/>
      <c r="M160" s="10"/>
    </row>
    <row r="161" spans="1:13" ht="15.75" customHeight="1" x14ac:dyDescent="0.25">
      <c r="A161" s="83">
        <v>20928</v>
      </c>
      <c r="B161" s="103" t="s">
        <v>548</v>
      </c>
      <c r="C161" s="103" t="s">
        <v>549</v>
      </c>
      <c r="D161" s="9"/>
      <c r="E161" s="9"/>
      <c r="H161" s="10"/>
      <c r="I161" s="9"/>
      <c r="M161" s="10"/>
    </row>
    <row r="162" spans="1:13" ht="15.75" customHeight="1" x14ac:dyDescent="0.25">
      <c r="A162" s="83">
        <v>21854</v>
      </c>
      <c r="B162" s="103" t="s">
        <v>548</v>
      </c>
      <c r="C162" s="103" t="s">
        <v>550</v>
      </c>
      <c r="D162" s="9"/>
      <c r="E162" s="9"/>
      <c r="H162" s="10"/>
      <c r="I162" s="9"/>
      <c r="M162" s="10"/>
    </row>
    <row r="163" spans="1:13" ht="15.75" customHeight="1" x14ac:dyDescent="0.25">
      <c r="A163" s="83">
        <v>20646</v>
      </c>
      <c r="B163" s="103" t="s">
        <v>551</v>
      </c>
      <c r="C163" s="103" t="s">
        <v>552</v>
      </c>
      <c r="D163" s="9"/>
      <c r="E163" s="9"/>
      <c r="H163" s="10"/>
      <c r="I163" s="9"/>
      <c r="M163" s="10"/>
    </row>
    <row r="164" spans="1:13" ht="15.75" customHeight="1" x14ac:dyDescent="0.25">
      <c r="A164" s="83">
        <v>130329</v>
      </c>
      <c r="B164" s="103" t="s">
        <v>553</v>
      </c>
      <c r="C164" s="103" t="s">
        <v>554</v>
      </c>
      <c r="D164" s="9"/>
      <c r="E164" s="9"/>
      <c r="H164" s="10"/>
      <c r="I164" s="9"/>
      <c r="M164" s="10"/>
    </row>
    <row r="165" spans="1:13" ht="15.75" customHeight="1" x14ac:dyDescent="0.25">
      <c r="A165" s="83">
        <v>22396</v>
      </c>
      <c r="B165" s="103" t="s">
        <v>555</v>
      </c>
      <c r="C165" s="103" t="s">
        <v>454</v>
      </c>
      <c r="D165" s="9"/>
      <c r="E165" s="9"/>
      <c r="H165" s="10"/>
      <c r="I165" s="9"/>
      <c r="M165" s="10"/>
    </row>
    <row r="166" spans="1:13" ht="15.75" customHeight="1" x14ac:dyDescent="0.25">
      <c r="A166" s="83">
        <v>24603</v>
      </c>
      <c r="B166" s="103" t="s">
        <v>556</v>
      </c>
      <c r="C166" s="103" t="s">
        <v>360</v>
      </c>
      <c r="D166" s="9"/>
      <c r="E166" s="9"/>
      <c r="H166" s="10"/>
      <c r="I166" s="9"/>
      <c r="M166" s="10"/>
    </row>
    <row r="167" spans="1:13" ht="15.75" customHeight="1" x14ac:dyDescent="0.25">
      <c r="A167" s="83">
        <v>21211</v>
      </c>
      <c r="B167" s="103" t="s">
        <v>557</v>
      </c>
      <c r="C167" s="103" t="s">
        <v>558</v>
      </c>
      <c r="D167" s="9"/>
      <c r="E167" s="9"/>
      <c r="H167" s="10"/>
      <c r="I167" s="9"/>
      <c r="M167" s="10"/>
    </row>
    <row r="168" spans="1:13" ht="15.75" customHeight="1" x14ac:dyDescent="0.25">
      <c r="A168" s="83">
        <v>136940</v>
      </c>
      <c r="B168" s="103" t="s">
        <v>556</v>
      </c>
      <c r="C168" s="103" t="s">
        <v>559</v>
      </c>
      <c r="D168" s="9"/>
      <c r="E168" s="9"/>
      <c r="H168" s="10"/>
      <c r="I168" s="9"/>
      <c r="M168" s="10"/>
    </row>
    <row r="169" spans="1:13" ht="15.75" customHeight="1" x14ac:dyDescent="0.25">
      <c r="A169" s="83">
        <v>21274</v>
      </c>
      <c r="B169" s="103" t="s">
        <v>556</v>
      </c>
      <c r="C169" s="103" t="s">
        <v>339</v>
      </c>
      <c r="D169" s="9"/>
      <c r="E169" s="9"/>
      <c r="H169" s="10"/>
      <c r="I169" s="9"/>
      <c r="M169" s="10"/>
    </row>
    <row r="170" spans="1:13" ht="15.75" customHeight="1" x14ac:dyDescent="0.25">
      <c r="A170" s="83">
        <v>20757</v>
      </c>
      <c r="B170" s="103" t="s">
        <v>560</v>
      </c>
      <c r="C170" s="103" t="s">
        <v>561</v>
      </c>
      <c r="D170" s="9"/>
      <c r="E170" s="9"/>
      <c r="H170" s="10"/>
      <c r="I170" s="9"/>
      <c r="M170" s="10"/>
    </row>
    <row r="171" spans="1:13" ht="15.75" customHeight="1" x14ac:dyDescent="0.25">
      <c r="A171" s="83">
        <v>20965</v>
      </c>
      <c r="B171" s="103" t="s">
        <v>562</v>
      </c>
      <c r="C171" s="103" t="s">
        <v>563</v>
      </c>
      <c r="D171" s="9"/>
      <c r="E171" s="9"/>
      <c r="H171" s="10"/>
      <c r="I171" s="9"/>
      <c r="M171" s="10"/>
    </row>
    <row r="172" spans="1:13" ht="15.75" customHeight="1" x14ac:dyDescent="0.25">
      <c r="A172" s="83">
        <v>22403</v>
      </c>
      <c r="B172" s="103" t="s">
        <v>564</v>
      </c>
      <c r="C172" s="103" t="s">
        <v>366</v>
      </c>
      <c r="D172" s="9"/>
      <c r="E172" s="9"/>
      <c r="H172" s="10"/>
      <c r="I172" s="9"/>
      <c r="M172" s="10"/>
    </row>
    <row r="173" spans="1:13" ht="15.75" customHeight="1" x14ac:dyDescent="0.25">
      <c r="A173" s="83">
        <v>137765</v>
      </c>
      <c r="B173" s="103" t="s">
        <v>565</v>
      </c>
      <c r="C173" s="103" t="s">
        <v>566</v>
      </c>
      <c r="D173" s="9"/>
      <c r="E173" s="9"/>
      <c r="H173" s="10"/>
      <c r="I173" s="9"/>
      <c r="M173" s="10"/>
    </row>
    <row r="174" spans="1:13" ht="15.75" customHeight="1" x14ac:dyDescent="0.25">
      <c r="A174" s="83">
        <v>129792</v>
      </c>
      <c r="B174" s="103" t="s">
        <v>545</v>
      </c>
      <c r="C174" s="103" t="s">
        <v>567</v>
      </c>
      <c r="D174" s="9"/>
      <c r="E174" s="9"/>
      <c r="H174" s="10"/>
      <c r="I174" s="9"/>
      <c r="M174" s="10"/>
    </row>
    <row r="175" spans="1:13" ht="15.75" customHeight="1" x14ac:dyDescent="0.25">
      <c r="A175" s="83">
        <v>137115</v>
      </c>
      <c r="B175" s="103" t="s">
        <v>556</v>
      </c>
      <c r="C175" s="103" t="s">
        <v>568</v>
      </c>
      <c r="D175" s="9"/>
      <c r="E175" s="9"/>
      <c r="H175" s="10"/>
      <c r="I175" s="9"/>
      <c r="M175" s="10"/>
    </row>
    <row r="176" spans="1:13" ht="15.75" customHeight="1" x14ac:dyDescent="0.25">
      <c r="A176" s="83">
        <v>26523</v>
      </c>
      <c r="B176" s="103" t="s">
        <v>556</v>
      </c>
      <c r="C176" s="103" t="s">
        <v>568</v>
      </c>
      <c r="D176" s="9"/>
      <c r="E176" s="9"/>
      <c r="H176" s="10"/>
      <c r="I176" s="9"/>
      <c r="M176" s="10"/>
    </row>
    <row r="177" spans="1:13" ht="15.75" customHeight="1" x14ac:dyDescent="0.25">
      <c r="A177" s="83">
        <v>140383</v>
      </c>
      <c r="B177" s="103" t="s">
        <v>569</v>
      </c>
      <c r="C177" s="103" t="s">
        <v>570</v>
      </c>
      <c r="D177" s="9"/>
      <c r="E177" s="9"/>
      <c r="H177" s="10"/>
      <c r="I177" s="9"/>
      <c r="M177" s="10"/>
    </row>
    <row r="178" spans="1:13" ht="15.75" customHeight="1" x14ac:dyDescent="0.25">
      <c r="A178" s="83">
        <v>125074</v>
      </c>
      <c r="B178" s="103" t="s">
        <v>571</v>
      </c>
      <c r="C178" s="103" t="s">
        <v>572</v>
      </c>
      <c r="D178" s="9"/>
      <c r="E178" s="9"/>
      <c r="H178" s="10"/>
      <c r="I178" s="9"/>
      <c r="M178" s="10"/>
    </row>
    <row r="179" spans="1:13" ht="15.75" customHeight="1" x14ac:dyDescent="0.25">
      <c r="A179" s="83">
        <v>20512</v>
      </c>
      <c r="B179" s="103" t="s">
        <v>556</v>
      </c>
      <c r="C179" s="103" t="s">
        <v>573</v>
      </c>
      <c r="D179" s="9"/>
      <c r="E179" s="9"/>
      <c r="H179" s="10"/>
      <c r="I179" s="9"/>
      <c r="M179" s="10"/>
    </row>
    <row r="180" spans="1:13" ht="15.75" customHeight="1" x14ac:dyDescent="0.25">
      <c r="A180" s="83">
        <v>123434</v>
      </c>
      <c r="B180" s="103" t="s">
        <v>574</v>
      </c>
      <c r="C180" s="103" t="s">
        <v>575</v>
      </c>
      <c r="D180" s="9"/>
      <c r="E180" s="9"/>
      <c r="H180" s="10"/>
      <c r="I180" s="9"/>
      <c r="M180" s="10"/>
    </row>
    <row r="181" spans="1:13" ht="15.75" customHeight="1" x14ac:dyDescent="0.25">
      <c r="A181" s="83">
        <v>26481</v>
      </c>
      <c r="B181" s="103" t="s">
        <v>576</v>
      </c>
      <c r="C181" s="103" t="s">
        <v>335</v>
      </c>
      <c r="D181" s="9"/>
      <c r="E181" s="9"/>
      <c r="H181" s="10"/>
      <c r="I181" s="9"/>
      <c r="M181" s="10"/>
    </row>
    <row r="182" spans="1:13" ht="15.75" customHeight="1" x14ac:dyDescent="0.25">
      <c r="A182" s="83">
        <v>126829</v>
      </c>
      <c r="B182" s="103" t="s">
        <v>565</v>
      </c>
      <c r="C182" s="103" t="s">
        <v>577</v>
      </c>
      <c r="D182" s="9"/>
      <c r="E182" s="9"/>
      <c r="H182" s="10"/>
      <c r="I182" s="9"/>
      <c r="M182" s="10"/>
    </row>
    <row r="183" spans="1:13" ht="15.75" customHeight="1" x14ac:dyDescent="0.25">
      <c r="A183" s="83">
        <v>20765</v>
      </c>
      <c r="B183" s="103" t="s">
        <v>578</v>
      </c>
      <c r="C183" s="103" t="s">
        <v>372</v>
      </c>
      <c r="D183" s="9"/>
      <c r="E183" s="9"/>
      <c r="H183" s="10"/>
      <c r="I183" s="9"/>
      <c r="M183" s="10"/>
    </row>
    <row r="184" spans="1:13" ht="15.75" customHeight="1" x14ac:dyDescent="0.25">
      <c r="A184" s="83">
        <v>27415</v>
      </c>
      <c r="B184" s="103" t="s">
        <v>539</v>
      </c>
      <c r="C184" s="103" t="s">
        <v>335</v>
      </c>
      <c r="D184" s="9"/>
      <c r="E184" s="9"/>
      <c r="H184" s="10"/>
      <c r="I184" s="9"/>
      <c r="M184" s="10"/>
    </row>
    <row r="185" spans="1:13" ht="15.75" customHeight="1" x14ac:dyDescent="0.25">
      <c r="A185" s="83">
        <v>20942</v>
      </c>
      <c r="B185" s="103" t="s">
        <v>579</v>
      </c>
      <c r="C185" s="103" t="s">
        <v>580</v>
      </c>
      <c r="D185" s="9"/>
      <c r="E185" s="9"/>
      <c r="H185" s="10"/>
      <c r="I185" s="9"/>
      <c r="M185" s="10"/>
    </row>
    <row r="186" spans="1:13" ht="15.75" customHeight="1" x14ac:dyDescent="0.25">
      <c r="A186" s="83">
        <v>129923</v>
      </c>
      <c r="B186" s="103" t="s">
        <v>581</v>
      </c>
      <c r="C186" s="103" t="s">
        <v>513</v>
      </c>
      <c r="D186" s="9"/>
      <c r="E186" s="9"/>
      <c r="H186" s="10"/>
      <c r="I186" s="9"/>
      <c r="M186" s="10"/>
    </row>
    <row r="187" spans="1:13" ht="15.75" customHeight="1" x14ac:dyDescent="0.25">
      <c r="A187" s="83">
        <v>131568</v>
      </c>
      <c r="B187" s="103" t="s">
        <v>578</v>
      </c>
      <c r="C187" s="103" t="s">
        <v>582</v>
      </c>
      <c r="D187" s="9"/>
      <c r="E187" s="9"/>
      <c r="H187" s="10"/>
      <c r="I187" s="9"/>
      <c r="M187" s="10"/>
    </row>
    <row r="188" spans="1:13" ht="15.75" customHeight="1" x14ac:dyDescent="0.25">
      <c r="A188" s="83">
        <v>20908</v>
      </c>
      <c r="B188" s="103" t="s">
        <v>556</v>
      </c>
      <c r="C188" s="103" t="s">
        <v>583</v>
      </c>
      <c r="D188" s="9"/>
      <c r="E188" s="9"/>
      <c r="H188" s="10"/>
      <c r="I188" s="9"/>
      <c r="M188" s="10"/>
    </row>
    <row r="189" spans="1:13" ht="15.75" customHeight="1" x14ac:dyDescent="0.25">
      <c r="A189" s="83">
        <v>21895</v>
      </c>
      <c r="B189" s="103" t="s">
        <v>584</v>
      </c>
      <c r="C189" s="103" t="s">
        <v>585</v>
      </c>
      <c r="D189" s="9"/>
      <c r="E189" s="9"/>
      <c r="H189" s="10"/>
      <c r="I189" s="9"/>
      <c r="M189" s="10"/>
    </row>
    <row r="190" spans="1:13" ht="15.75" customHeight="1" x14ac:dyDescent="0.25">
      <c r="A190" s="83">
        <v>21159</v>
      </c>
      <c r="B190" s="103" t="s">
        <v>581</v>
      </c>
      <c r="C190" s="103" t="s">
        <v>586</v>
      </c>
      <c r="D190" s="9"/>
      <c r="E190" s="9"/>
      <c r="H190" s="10"/>
      <c r="I190" s="9"/>
      <c r="M190" s="10"/>
    </row>
    <row r="191" spans="1:13" ht="15.75" customHeight="1" x14ac:dyDescent="0.25">
      <c r="A191" s="83">
        <v>22335</v>
      </c>
      <c r="B191" s="103" t="s">
        <v>587</v>
      </c>
      <c r="C191" s="103" t="s">
        <v>588</v>
      </c>
      <c r="D191" s="9"/>
      <c r="E191" s="9"/>
      <c r="H191" s="10"/>
      <c r="I191" s="9"/>
      <c r="M191" s="10"/>
    </row>
    <row r="192" spans="1:13" ht="15.75" customHeight="1" x14ac:dyDescent="0.25">
      <c r="A192" s="83">
        <v>22543</v>
      </c>
      <c r="B192" s="103" t="s">
        <v>589</v>
      </c>
      <c r="C192" s="103" t="s">
        <v>590</v>
      </c>
      <c r="D192" s="9"/>
      <c r="E192" s="9"/>
      <c r="H192" s="10"/>
      <c r="I192" s="9"/>
      <c r="M192" s="10"/>
    </row>
    <row r="193" spans="1:13" ht="15.75" customHeight="1" x14ac:dyDescent="0.25">
      <c r="A193" s="83">
        <v>22757</v>
      </c>
      <c r="B193" s="103" t="s">
        <v>556</v>
      </c>
      <c r="C193" s="103" t="s">
        <v>591</v>
      </c>
      <c r="D193" s="9"/>
      <c r="E193" s="9"/>
      <c r="H193" s="10"/>
      <c r="I193" s="9"/>
      <c r="M193" s="10"/>
    </row>
    <row r="194" spans="1:13" ht="15.75" customHeight="1" x14ac:dyDescent="0.25">
      <c r="A194" s="83">
        <v>134753</v>
      </c>
      <c r="B194" s="103" t="s">
        <v>592</v>
      </c>
      <c r="C194" s="103" t="s">
        <v>593</v>
      </c>
      <c r="D194" s="9"/>
      <c r="E194" s="9"/>
      <c r="H194" s="10"/>
      <c r="I194" s="9"/>
      <c r="M194" s="10"/>
    </row>
    <row r="195" spans="1:13" ht="15.75" customHeight="1" x14ac:dyDescent="0.25">
      <c r="A195" s="83">
        <v>123238</v>
      </c>
      <c r="B195" s="103" t="s">
        <v>594</v>
      </c>
      <c r="C195" s="103" t="s">
        <v>595</v>
      </c>
      <c r="D195" s="9"/>
      <c r="E195" s="9"/>
      <c r="H195" s="10"/>
      <c r="I195" s="9"/>
      <c r="M195" s="10"/>
    </row>
    <row r="196" spans="1:13" ht="15.75" customHeight="1" x14ac:dyDescent="0.25">
      <c r="A196" s="83">
        <v>123387</v>
      </c>
      <c r="B196" s="103" t="s">
        <v>556</v>
      </c>
      <c r="C196" s="103" t="s">
        <v>339</v>
      </c>
      <c r="D196" s="9"/>
      <c r="E196" s="9"/>
      <c r="H196" s="10"/>
      <c r="I196" s="9"/>
      <c r="M196" s="10"/>
    </row>
    <row r="197" spans="1:13" ht="15.75" customHeight="1" x14ac:dyDescent="0.25">
      <c r="A197" s="83">
        <v>25850</v>
      </c>
      <c r="B197" s="103" t="s">
        <v>596</v>
      </c>
      <c r="C197" s="103" t="s">
        <v>597</v>
      </c>
      <c r="D197" s="9"/>
      <c r="E197" s="9"/>
      <c r="H197" s="10"/>
      <c r="I197" s="9"/>
      <c r="M197" s="10"/>
    </row>
    <row r="198" spans="1:13" ht="15.75" customHeight="1" x14ac:dyDescent="0.25">
      <c r="A198" s="83">
        <v>122569</v>
      </c>
      <c r="B198" s="103" t="s">
        <v>598</v>
      </c>
      <c r="C198" s="103" t="s">
        <v>599</v>
      </c>
      <c r="D198" s="9"/>
      <c r="E198" s="9"/>
      <c r="H198" s="10"/>
      <c r="I198" s="9"/>
      <c r="M198" s="10"/>
    </row>
    <row r="199" spans="1:13" ht="15.75" customHeight="1" x14ac:dyDescent="0.25">
      <c r="A199" s="83">
        <v>20618</v>
      </c>
      <c r="B199" s="103" t="s">
        <v>579</v>
      </c>
      <c r="C199" s="103" t="s">
        <v>600</v>
      </c>
      <c r="D199" s="9"/>
      <c r="E199" s="9"/>
      <c r="H199" s="10"/>
      <c r="I199" s="9"/>
      <c r="M199" s="10"/>
    </row>
    <row r="200" spans="1:13" ht="15.75" customHeight="1" x14ac:dyDescent="0.25">
      <c r="A200" s="83">
        <v>22244</v>
      </c>
      <c r="B200" s="103" t="s">
        <v>578</v>
      </c>
      <c r="C200" s="103" t="s">
        <v>355</v>
      </c>
      <c r="D200" s="9"/>
      <c r="E200" s="9"/>
      <c r="H200" s="10"/>
      <c r="I200" s="9"/>
      <c r="M200" s="10"/>
    </row>
    <row r="201" spans="1:13" ht="15.75" customHeight="1" x14ac:dyDescent="0.25">
      <c r="A201" s="83">
        <v>21780</v>
      </c>
      <c r="B201" s="103" t="s">
        <v>579</v>
      </c>
      <c r="C201" s="103" t="s">
        <v>601</v>
      </c>
      <c r="D201" s="9"/>
      <c r="E201" s="9"/>
      <c r="H201" s="10"/>
      <c r="I201" s="9"/>
      <c r="M201" s="10"/>
    </row>
    <row r="202" spans="1:13" ht="15.75" customHeight="1" x14ac:dyDescent="0.25">
      <c r="A202" s="83">
        <v>129058</v>
      </c>
      <c r="B202" s="103" t="s">
        <v>602</v>
      </c>
      <c r="C202" s="103" t="s">
        <v>339</v>
      </c>
      <c r="D202" s="9"/>
      <c r="E202" s="9"/>
      <c r="H202" s="10"/>
      <c r="I202" s="9"/>
      <c r="M202" s="10"/>
    </row>
    <row r="203" spans="1:13" ht="15.75" customHeight="1" x14ac:dyDescent="0.25">
      <c r="A203" s="83">
        <v>35391</v>
      </c>
      <c r="B203" s="103" t="s">
        <v>603</v>
      </c>
      <c r="C203" s="103" t="s">
        <v>604</v>
      </c>
      <c r="D203" s="9"/>
      <c r="E203" s="9"/>
      <c r="H203" s="10"/>
      <c r="I203" s="9"/>
      <c r="M203" s="10"/>
    </row>
    <row r="204" spans="1:13" ht="15.75" customHeight="1" x14ac:dyDescent="0.25">
      <c r="A204" s="83">
        <v>26437</v>
      </c>
      <c r="B204" s="103" t="s">
        <v>605</v>
      </c>
      <c r="C204" s="103" t="s">
        <v>585</v>
      </c>
      <c r="D204" s="9"/>
      <c r="E204" s="9"/>
      <c r="H204" s="10"/>
      <c r="I204" s="9"/>
      <c r="M204" s="10"/>
    </row>
    <row r="205" spans="1:13" ht="15.75" customHeight="1" x14ac:dyDescent="0.25">
      <c r="A205" s="83">
        <v>31488</v>
      </c>
      <c r="B205" s="103" t="s">
        <v>606</v>
      </c>
      <c r="C205" s="103" t="s">
        <v>607</v>
      </c>
      <c r="D205" s="9"/>
      <c r="E205" s="9"/>
      <c r="H205" s="10"/>
      <c r="I205" s="9"/>
      <c r="M205" s="10"/>
    </row>
    <row r="206" spans="1:13" ht="15.75" customHeight="1" x14ac:dyDescent="0.25">
      <c r="A206" s="83">
        <v>20678</v>
      </c>
      <c r="B206" s="103" t="s">
        <v>608</v>
      </c>
      <c r="C206" s="103" t="s">
        <v>609</v>
      </c>
      <c r="D206" s="9"/>
      <c r="E206" s="9"/>
      <c r="H206" s="10"/>
      <c r="I206" s="9"/>
      <c r="M206" s="10"/>
    </row>
    <row r="207" spans="1:13" ht="15.75" customHeight="1" x14ac:dyDescent="0.25">
      <c r="A207" s="83">
        <v>26647</v>
      </c>
      <c r="B207" s="103" t="s">
        <v>610</v>
      </c>
      <c r="C207" s="103" t="s">
        <v>611</v>
      </c>
      <c r="D207" s="9"/>
      <c r="E207" s="9"/>
      <c r="H207" s="10"/>
      <c r="I207" s="9"/>
      <c r="M207" s="10"/>
    </row>
    <row r="208" spans="1:13" ht="15.75" customHeight="1" x14ac:dyDescent="0.25">
      <c r="A208" s="83">
        <v>21190</v>
      </c>
      <c r="B208" s="103" t="s">
        <v>612</v>
      </c>
      <c r="C208" s="103" t="s">
        <v>538</v>
      </c>
      <c r="D208" s="9"/>
      <c r="E208" s="9"/>
      <c r="H208" s="10"/>
      <c r="I208" s="9"/>
      <c r="M208" s="10"/>
    </row>
    <row r="209" spans="1:13" ht="15.75" customHeight="1" x14ac:dyDescent="0.25">
      <c r="A209" s="83">
        <v>125442</v>
      </c>
      <c r="B209" s="103" t="s">
        <v>613</v>
      </c>
      <c r="C209" s="103" t="s">
        <v>454</v>
      </c>
      <c r="D209" s="9"/>
      <c r="E209" s="9"/>
      <c r="H209" s="10"/>
      <c r="I209" s="9"/>
      <c r="M209" s="10"/>
    </row>
    <row r="210" spans="1:13" ht="15.75" customHeight="1" x14ac:dyDescent="0.25">
      <c r="A210" s="83">
        <v>22915</v>
      </c>
      <c r="B210" s="103" t="s">
        <v>602</v>
      </c>
      <c r="C210" s="103" t="s">
        <v>614</v>
      </c>
      <c r="D210" s="9"/>
      <c r="E210" s="9"/>
      <c r="H210" s="10"/>
      <c r="I210" s="9"/>
      <c r="M210" s="10"/>
    </row>
    <row r="211" spans="1:13" ht="15.75" customHeight="1" x14ac:dyDescent="0.25">
      <c r="A211" s="83">
        <v>138260</v>
      </c>
      <c r="B211" s="103" t="s">
        <v>615</v>
      </c>
      <c r="C211" s="103" t="s">
        <v>616</v>
      </c>
      <c r="D211" s="9"/>
      <c r="E211" s="9"/>
      <c r="H211" s="10"/>
      <c r="I211" s="9"/>
      <c r="M211" s="10"/>
    </row>
    <row r="212" spans="1:13" ht="15.75" customHeight="1" x14ac:dyDescent="0.25">
      <c r="A212" s="83">
        <v>124350</v>
      </c>
      <c r="B212" s="103" t="s">
        <v>617</v>
      </c>
      <c r="C212" s="103" t="s">
        <v>618</v>
      </c>
      <c r="D212" s="9"/>
      <c r="E212" s="9"/>
      <c r="H212" s="10"/>
      <c r="I212" s="9"/>
      <c r="M212" s="10"/>
    </row>
    <row r="213" spans="1:13" ht="15.75" customHeight="1" x14ac:dyDescent="0.25">
      <c r="A213" s="83">
        <v>20912</v>
      </c>
      <c r="B213" s="103" t="s">
        <v>579</v>
      </c>
      <c r="C213" s="103" t="s">
        <v>600</v>
      </c>
      <c r="D213" s="9"/>
      <c r="E213" s="9"/>
      <c r="H213" s="10"/>
      <c r="I213" s="9"/>
      <c r="M213" s="10"/>
    </row>
    <row r="214" spans="1:13" ht="15.75" customHeight="1" x14ac:dyDescent="0.25">
      <c r="A214" s="83">
        <v>125612</v>
      </c>
      <c r="B214" s="103" t="s">
        <v>619</v>
      </c>
      <c r="C214" s="103" t="s">
        <v>620</v>
      </c>
      <c r="D214" s="9"/>
      <c r="E214" s="9"/>
      <c r="H214" s="10"/>
      <c r="I214" s="9"/>
      <c r="M214" s="10"/>
    </row>
    <row r="215" spans="1:13" ht="15.75" customHeight="1" x14ac:dyDescent="0.25">
      <c r="A215" s="83">
        <v>20740</v>
      </c>
      <c r="B215" s="103" t="s">
        <v>602</v>
      </c>
      <c r="C215" s="103" t="s">
        <v>585</v>
      </c>
      <c r="D215" s="9"/>
      <c r="E215" s="9"/>
      <c r="H215" s="10"/>
      <c r="I215" s="9"/>
      <c r="M215" s="10"/>
    </row>
    <row r="216" spans="1:13" ht="15.75" customHeight="1" x14ac:dyDescent="0.25">
      <c r="A216" s="83">
        <v>26936</v>
      </c>
      <c r="B216" s="103" t="s">
        <v>621</v>
      </c>
      <c r="C216" s="103" t="s">
        <v>622</v>
      </c>
      <c r="D216" s="9"/>
      <c r="E216" s="9"/>
      <c r="H216" s="10"/>
      <c r="I216" s="9"/>
      <c r="M216" s="10"/>
    </row>
    <row r="217" spans="1:13" ht="15.75" customHeight="1" x14ac:dyDescent="0.25">
      <c r="A217" s="83">
        <v>22375</v>
      </c>
      <c r="B217" s="103" t="s">
        <v>623</v>
      </c>
      <c r="C217" s="103" t="s">
        <v>624</v>
      </c>
      <c r="D217" s="9"/>
      <c r="E217" s="9"/>
      <c r="H217" s="10"/>
      <c r="I217" s="9"/>
      <c r="M217" s="10"/>
    </row>
    <row r="218" spans="1:13" ht="15.75" customHeight="1" x14ac:dyDescent="0.25">
      <c r="A218" s="83">
        <v>122961</v>
      </c>
      <c r="B218" s="103" t="s">
        <v>605</v>
      </c>
      <c r="C218" s="103" t="s">
        <v>625</v>
      </c>
      <c r="D218" s="9"/>
      <c r="E218" s="9"/>
      <c r="H218" s="10"/>
      <c r="I218" s="9"/>
      <c r="M218" s="10"/>
    </row>
    <row r="219" spans="1:13" ht="15.75" customHeight="1" x14ac:dyDescent="0.25">
      <c r="A219" s="83">
        <v>21996</v>
      </c>
      <c r="B219" s="103" t="s">
        <v>626</v>
      </c>
      <c r="C219" s="103" t="s">
        <v>627</v>
      </c>
      <c r="D219" s="9"/>
      <c r="E219" s="9"/>
      <c r="H219" s="10"/>
      <c r="I219" s="9"/>
      <c r="M219" s="10"/>
    </row>
    <row r="220" spans="1:13" ht="15.75" customHeight="1" x14ac:dyDescent="0.25">
      <c r="A220" s="83">
        <v>136414</v>
      </c>
      <c r="B220" s="103" t="s">
        <v>628</v>
      </c>
      <c r="C220" s="103" t="s">
        <v>629</v>
      </c>
      <c r="D220" s="9"/>
      <c r="E220" s="9"/>
      <c r="H220" s="10"/>
      <c r="I220" s="9"/>
      <c r="M220" s="10"/>
    </row>
    <row r="221" spans="1:13" ht="15.75" customHeight="1" x14ac:dyDescent="0.25">
      <c r="A221" s="83">
        <v>23092</v>
      </c>
      <c r="B221" s="103" t="s">
        <v>630</v>
      </c>
      <c r="C221" s="103" t="s">
        <v>425</v>
      </c>
      <c r="D221" s="9"/>
      <c r="E221" s="9"/>
      <c r="H221" s="10"/>
      <c r="I221" s="9"/>
      <c r="M221" s="10"/>
    </row>
    <row r="222" spans="1:13" ht="15.75" customHeight="1" x14ac:dyDescent="0.25">
      <c r="A222" s="83">
        <v>131851</v>
      </c>
      <c r="B222" s="103" t="s">
        <v>631</v>
      </c>
      <c r="C222" s="103" t="s">
        <v>632</v>
      </c>
      <c r="D222" s="9"/>
      <c r="E222" s="9"/>
      <c r="H222" s="10"/>
      <c r="I222" s="9"/>
      <c r="M222" s="10"/>
    </row>
    <row r="223" spans="1:13" ht="15.75" customHeight="1" x14ac:dyDescent="0.25">
      <c r="A223" s="83">
        <v>21767</v>
      </c>
      <c r="B223" s="103" t="s">
        <v>633</v>
      </c>
      <c r="C223" s="103" t="s">
        <v>634</v>
      </c>
      <c r="D223" s="9"/>
      <c r="E223" s="9"/>
      <c r="H223" s="10"/>
      <c r="I223" s="9"/>
      <c r="M223" s="10"/>
    </row>
    <row r="224" spans="1:13" ht="15.75" customHeight="1" x14ac:dyDescent="0.25">
      <c r="A224" s="83">
        <v>22352</v>
      </c>
      <c r="B224" s="103" t="s">
        <v>635</v>
      </c>
      <c r="C224" s="103" t="s">
        <v>636</v>
      </c>
      <c r="D224" s="9"/>
      <c r="E224" s="9"/>
      <c r="H224" s="10"/>
      <c r="I224" s="9"/>
      <c r="M224" s="10"/>
    </row>
    <row r="225" spans="1:13" ht="15.75" customHeight="1" x14ac:dyDescent="0.25">
      <c r="A225" s="83">
        <v>20718</v>
      </c>
      <c r="B225" s="103" t="s">
        <v>615</v>
      </c>
      <c r="C225" s="103" t="s">
        <v>637</v>
      </c>
      <c r="D225" s="9"/>
      <c r="E225" s="9"/>
      <c r="H225" s="10"/>
      <c r="I225" s="9"/>
      <c r="M225" s="10"/>
    </row>
    <row r="226" spans="1:13" ht="15.75" customHeight="1" x14ac:dyDescent="0.25">
      <c r="A226" s="83">
        <v>20784</v>
      </c>
      <c r="B226" s="103" t="s">
        <v>638</v>
      </c>
      <c r="C226" s="103" t="s">
        <v>559</v>
      </c>
      <c r="D226" s="9"/>
      <c r="E226" s="9"/>
      <c r="H226" s="10"/>
      <c r="I226" s="9"/>
      <c r="M226" s="10"/>
    </row>
    <row r="227" spans="1:13" ht="15.75" customHeight="1" x14ac:dyDescent="0.25">
      <c r="A227" s="83">
        <v>20611</v>
      </c>
      <c r="B227" s="103" t="s">
        <v>639</v>
      </c>
      <c r="C227" s="103" t="s">
        <v>640</v>
      </c>
      <c r="D227" s="9"/>
      <c r="E227" s="9"/>
      <c r="H227" s="10"/>
      <c r="I227" s="9"/>
      <c r="M227" s="10"/>
    </row>
    <row r="228" spans="1:13" ht="15.75" customHeight="1" x14ac:dyDescent="0.25">
      <c r="A228" s="83">
        <v>22758</v>
      </c>
      <c r="B228" s="103" t="s">
        <v>641</v>
      </c>
      <c r="C228" s="103" t="s">
        <v>642</v>
      </c>
      <c r="D228" s="9"/>
      <c r="E228" s="9"/>
      <c r="H228" s="10"/>
      <c r="I228" s="9"/>
      <c r="M228" s="10"/>
    </row>
    <row r="229" spans="1:13" ht="15.75" customHeight="1" x14ac:dyDescent="0.25">
      <c r="A229" s="83">
        <v>23546</v>
      </c>
      <c r="B229" s="103" t="s">
        <v>643</v>
      </c>
      <c r="C229" s="103" t="s">
        <v>644</v>
      </c>
      <c r="D229" s="9"/>
      <c r="E229" s="9"/>
      <c r="H229" s="10"/>
      <c r="I229" s="9"/>
      <c r="M229" s="10"/>
    </row>
    <row r="230" spans="1:13" ht="15.75" customHeight="1" x14ac:dyDescent="0.25">
      <c r="A230" s="83">
        <v>20580</v>
      </c>
      <c r="B230" s="103" t="s">
        <v>645</v>
      </c>
      <c r="C230" s="103" t="s">
        <v>646</v>
      </c>
      <c r="D230" s="9"/>
      <c r="E230" s="9"/>
      <c r="H230" s="10"/>
      <c r="I230" s="9"/>
      <c r="M230" s="10"/>
    </row>
    <row r="231" spans="1:13" ht="15.75" customHeight="1" x14ac:dyDescent="0.25">
      <c r="A231" s="83">
        <v>26583</v>
      </c>
      <c r="B231" s="103" t="s">
        <v>647</v>
      </c>
      <c r="C231" s="103" t="s">
        <v>648</v>
      </c>
      <c r="D231" s="9"/>
      <c r="E231" s="9"/>
      <c r="H231" s="10"/>
      <c r="I231" s="9"/>
      <c r="M231" s="10"/>
    </row>
    <row r="232" spans="1:13" ht="15.75" customHeight="1" x14ac:dyDescent="0.25">
      <c r="A232" s="83">
        <v>24052</v>
      </c>
      <c r="B232" s="103" t="s">
        <v>630</v>
      </c>
      <c r="C232" s="103" t="s">
        <v>649</v>
      </c>
      <c r="D232" s="9"/>
      <c r="E232" s="9"/>
      <c r="H232" s="10"/>
      <c r="I232" s="9"/>
      <c r="M232" s="10"/>
    </row>
    <row r="233" spans="1:13" ht="15.75" customHeight="1" x14ac:dyDescent="0.25">
      <c r="A233" s="83">
        <v>136793</v>
      </c>
      <c r="B233" s="103" t="s">
        <v>650</v>
      </c>
      <c r="C233" s="103" t="s">
        <v>651</v>
      </c>
      <c r="D233" s="9"/>
      <c r="E233" s="9"/>
      <c r="H233" s="10"/>
      <c r="I233" s="9"/>
      <c r="M233" s="10"/>
    </row>
    <row r="234" spans="1:13" ht="15.75" customHeight="1" x14ac:dyDescent="0.25">
      <c r="A234" s="83">
        <v>27589</v>
      </c>
      <c r="B234" s="103" t="s">
        <v>652</v>
      </c>
      <c r="C234" s="103" t="s">
        <v>653</v>
      </c>
      <c r="D234" s="9"/>
      <c r="E234" s="9"/>
      <c r="H234" s="10"/>
      <c r="I234" s="9"/>
      <c r="M234" s="10"/>
    </row>
    <row r="235" spans="1:13" ht="15.75" customHeight="1" x14ac:dyDescent="0.25">
      <c r="A235" s="83">
        <v>128890</v>
      </c>
      <c r="B235" s="103" t="s">
        <v>654</v>
      </c>
      <c r="C235" s="103" t="s">
        <v>655</v>
      </c>
      <c r="D235" s="9"/>
      <c r="E235" s="9"/>
      <c r="H235" s="10"/>
      <c r="I235" s="9"/>
      <c r="M235" s="10"/>
    </row>
    <row r="236" spans="1:13" ht="15.75" customHeight="1" x14ac:dyDescent="0.25">
      <c r="A236" s="83">
        <v>128338</v>
      </c>
      <c r="B236" s="103" t="s">
        <v>647</v>
      </c>
      <c r="C236" s="103" t="s">
        <v>274</v>
      </c>
      <c r="D236" s="9"/>
      <c r="E236" s="9"/>
      <c r="H236" s="10"/>
      <c r="I236" s="9"/>
      <c r="M236" s="10"/>
    </row>
    <row r="237" spans="1:13" ht="15.75" customHeight="1" x14ac:dyDescent="0.25">
      <c r="A237" s="83">
        <v>122029</v>
      </c>
      <c r="B237" s="103" t="s">
        <v>656</v>
      </c>
      <c r="C237" s="103" t="s">
        <v>657</v>
      </c>
      <c r="D237" s="9"/>
      <c r="E237" s="9"/>
      <c r="H237" s="10"/>
      <c r="I237" s="9"/>
      <c r="M237" s="10"/>
    </row>
    <row r="238" spans="1:13" ht="15.75" customHeight="1" x14ac:dyDescent="0.25">
      <c r="A238" s="83">
        <v>24918</v>
      </c>
      <c r="B238" s="103" t="s">
        <v>638</v>
      </c>
      <c r="C238" s="103" t="s">
        <v>416</v>
      </c>
      <c r="D238" s="9"/>
      <c r="E238" s="9"/>
      <c r="H238" s="10"/>
      <c r="I238" s="9"/>
      <c r="M238" s="10"/>
    </row>
    <row r="239" spans="1:13" ht="15.75" customHeight="1" x14ac:dyDescent="0.25">
      <c r="A239" s="83">
        <v>126464</v>
      </c>
      <c r="B239" s="103" t="s">
        <v>658</v>
      </c>
      <c r="C239" s="103" t="s">
        <v>659</v>
      </c>
      <c r="D239" s="9"/>
      <c r="E239" s="9"/>
      <c r="H239" s="10"/>
      <c r="I239" s="9"/>
      <c r="M239" s="10"/>
    </row>
    <row r="240" spans="1:13" ht="15.75" customHeight="1" x14ac:dyDescent="0.25">
      <c r="A240" s="83">
        <v>20920</v>
      </c>
      <c r="B240" s="103" t="s">
        <v>660</v>
      </c>
      <c r="C240" s="103" t="s">
        <v>661</v>
      </c>
      <c r="D240" s="9"/>
      <c r="E240" s="9"/>
      <c r="H240" s="10"/>
      <c r="I240" s="9"/>
      <c r="M240" s="10"/>
    </row>
    <row r="241" spans="1:13" ht="15.75" customHeight="1" x14ac:dyDescent="0.25">
      <c r="A241" s="83">
        <v>138327</v>
      </c>
      <c r="B241" s="103" t="s">
        <v>638</v>
      </c>
      <c r="C241" s="103" t="s">
        <v>662</v>
      </c>
      <c r="D241" s="9"/>
      <c r="E241" s="9"/>
      <c r="H241" s="10"/>
      <c r="I241" s="9"/>
      <c r="M241" s="10"/>
    </row>
    <row r="242" spans="1:13" ht="15.75" customHeight="1" x14ac:dyDescent="0.25">
      <c r="A242" s="83">
        <v>20630</v>
      </c>
      <c r="B242" s="103" t="s">
        <v>641</v>
      </c>
      <c r="C242" s="103" t="s">
        <v>663</v>
      </c>
      <c r="D242" s="9"/>
      <c r="E242" s="9"/>
      <c r="H242" s="10"/>
      <c r="I242" s="9"/>
      <c r="M242" s="10"/>
    </row>
    <row r="243" spans="1:13" ht="15.75" customHeight="1" x14ac:dyDescent="0.25">
      <c r="A243" s="83">
        <v>131432</v>
      </c>
      <c r="B243" s="103" t="s">
        <v>602</v>
      </c>
      <c r="C243" s="103" t="s">
        <v>339</v>
      </c>
      <c r="D243" s="9"/>
      <c r="E243" s="9"/>
      <c r="H243" s="10"/>
      <c r="I243" s="9"/>
      <c r="M243" s="10"/>
    </row>
    <row r="244" spans="1:13" ht="15.75" customHeight="1" x14ac:dyDescent="0.25">
      <c r="A244" s="83">
        <v>128597</v>
      </c>
      <c r="B244" s="103" t="s">
        <v>638</v>
      </c>
      <c r="C244" s="103" t="s">
        <v>664</v>
      </c>
      <c r="D244" s="9"/>
      <c r="E244" s="9"/>
      <c r="H244" s="10"/>
      <c r="I244" s="9"/>
      <c r="M244" s="10"/>
    </row>
    <row r="245" spans="1:13" ht="15.75" customHeight="1" x14ac:dyDescent="0.25">
      <c r="A245" s="83">
        <v>121649</v>
      </c>
      <c r="B245" s="103" t="s">
        <v>665</v>
      </c>
      <c r="C245" s="103" t="s">
        <v>666</v>
      </c>
      <c r="D245" s="9"/>
      <c r="E245" s="9"/>
      <c r="H245" s="10"/>
      <c r="I245" s="9"/>
      <c r="M245" s="10"/>
    </row>
    <row r="246" spans="1:13" ht="15.75" customHeight="1" x14ac:dyDescent="0.25">
      <c r="A246" s="83">
        <v>136683</v>
      </c>
      <c r="B246" s="103" t="s">
        <v>667</v>
      </c>
      <c r="C246" s="103" t="s">
        <v>668</v>
      </c>
      <c r="D246" s="9"/>
      <c r="E246" s="9"/>
      <c r="H246" s="10"/>
      <c r="I246" s="9"/>
      <c r="M246" s="10"/>
    </row>
    <row r="247" spans="1:13" ht="15.75" customHeight="1" x14ac:dyDescent="0.25">
      <c r="A247" s="83">
        <v>135431</v>
      </c>
      <c r="B247" s="103" t="s">
        <v>638</v>
      </c>
      <c r="C247" s="103" t="s">
        <v>669</v>
      </c>
      <c r="D247" s="9"/>
      <c r="E247" s="9"/>
      <c r="H247" s="10"/>
      <c r="I247" s="9"/>
      <c r="M247" s="10"/>
    </row>
    <row r="248" spans="1:13" ht="15.75" customHeight="1" x14ac:dyDescent="0.25">
      <c r="A248" s="83">
        <v>139711</v>
      </c>
      <c r="B248" s="103" t="s">
        <v>670</v>
      </c>
      <c r="C248" s="103" t="s">
        <v>671</v>
      </c>
      <c r="D248" s="9"/>
      <c r="E248" s="9"/>
      <c r="H248" s="10"/>
      <c r="I248" s="9"/>
      <c r="M248" s="10"/>
    </row>
    <row r="249" spans="1:13" ht="15.75" customHeight="1" x14ac:dyDescent="0.25">
      <c r="A249" s="83">
        <v>24955</v>
      </c>
      <c r="B249" s="103" t="s">
        <v>672</v>
      </c>
      <c r="C249" s="103" t="s">
        <v>471</v>
      </c>
      <c r="D249" s="9"/>
      <c r="E249" s="9"/>
      <c r="H249" s="10"/>
      <c r="I249" s="9"/>
      <c r="M249" s="10"/>
    </row>
    <row r="250" spans="1:13" ht="15.75" customHeight="1" x14ac:dyDescent="0.25">
      <c r="A250" s="83">
        <v>25977</v>
      </c>
      <c r="B250" s="103" t="s">
        <v>673</v>
      </c>
      <c r="C250" s="103" t="s">
        <v>674</v>
      </c>
      <c r="D250" s="9"/>
      <c r="E250" s="9"/>
      <c r="H250" s="10"/>
      <c r="I250" s="9"/>
      <c r="M250" s="10"/>
    </row>
    <row r="251" spans="1:13" ht="15.75" customHeight="1" x14ac:dyDescent="0.25">
      <c r="A251" s="83">
        <v>23590</v>
      </c>
      <c r="B251" s="103" t="s">
        <v>641</v>
      </c>
      <c r="C251" s="103" t="s">
        <v>675</v>
      </c>
      <c r="D251" s="9"/>
      <c r="E251" s="9"/>
      <c r="H251" s="10"/>
      <c r="I251" s="9"/>
      <c r="M251" s="10"/>
    </row>
    <row r="252" spans="1:13" ht="15.75" customHeight="1" x14ac:dyDescent="0.25">
      <c r="A252" s="83">
        <v>23650</v>
      </c>
      <c r="B252" s="103" t="s">
        <v>676</v>
      </c>
      <c r="C252" s="103" t="s">
        <v>677</v>
      </c>
      <c r="D252" s="9"/>
      <c r="E252" s="9"/>
      <c r="H252" s="10"/>
      <c r="I252" s="9"/>
      <c r="M252" s="10"/>
    </row>
    <row r="253" spans="1:13" ht="15.75" customHeight="1" x14ac:dyDescent="0.25">
      <c r="A253" s="83">
        <v>22432</v>
      </c>
      <c r="B253" s="103" t="s">
        <v>678</v>
      </c>
      <c r="C253" s="103" t="s">
        <v>362</v>
      </c>
      <c r="D253" s="9"/>
      <c r="E253" s="9"/>
      <c r="H253" s="10"/>
      <c r="I253" s="9"/>
      <c r="M253" s="10"/>
    </row>
    <row r="254" spans="1:13" ht="15.75" customHeight="1" x14ac:dyDescent="0.25">
      <c r="A254" s="83">
        <v>21935</v>
      </c>
      <c r="B254" s="103" t="s">
        <v>670</v>
      </c>
      <c r="C254" s="103" t="s">
        <v>679</v>
      </c>
      <c r="D254" s="9"/>
      <c r="E254" s="9"/>
      <c r="H254" s="10"/>
      <c r="I254" s="9"/>
      <c r="M254" s="10"/>
    </row>
    <row r="255" spans="1:13" ht="15.75" customHeight="1" x14ac:dyDescent="0.25">
      <c r="A255" s="83">
        <v>22924</v>
      </c>
      <c r="B255" s="103" t="s">
        <v>670</v>
      </c>
      <c r="C255" s="103" t="s">
        <v>680</v>
      </c>
      <c r="D255" s="9"/>
      <c r="E255" s="9"/>
      <c r="H255" s="10"/>
      <c r="I255" s="9"/>
      <c r="M255" s="10"/>
    </row>
    <row r="256" spans="1:13" ht="15.75" customHeight="1" x14ac:dyDescent="0.25">
      <c r="A256" s="83">
        <v>131726</v>
      </c>
      <c r="B256" s="103" t="s">
        <v>660</v>
      </c>
      <c r="C256" s="103" t="s">
        <v>585</v>
      </c>
      <c r="D256" s="9"/>
      <c r="E256" s="9"/>
      <c r="H256" s="10"/>
      <c r="I256" s="9"/>
      <c r="M256" s="10"/>
    </row>
    <row r="257" spans="1:13" ht="15.75" customHeight="1" x14ac:dyDescent="0.25">
      <c r="A257" s="83">
        <v>131043</v>
      </c>
      <c r="B257" s="103" t="s">
        <v>681</v>
      </c>
      <c r="C257" s="103" t="s">
        <v>682</v>
      </c>
      <c r="D257" s="9"/>
      <c r="E257" s="9"/>
      <c r="H257" s="10"/>
      <c r="I257" s="9"/>
      <c r="M257" s="10"/>
    </row>
    <row r="258" spans="1:13" ht="15.75" customHeight="1" x14ac:dyDescent="0.25">
      <c r="A258" s="83">
        <v>27051</v>
      </c>
      <c r="B258" s="103" t="s">
        <v>676</v>
      </c>
      <c r="C258" s="103" t="s">
        <v>480</v>
      </c>
      <c r="D258" s="9"/>
      <c r="E258" s="9"/>
      <c r="H258" s="10"/>
      <c r="I258" s="9"/>
      <c r="M258" s="10"/>
    </row>
    <row r="259" spans="1:13" ht="15.75" customHeight="1" x14ac:dyDescent="0.25">
      <c r="A259" s="83">
        <v>119693</v>
      </c>
      <c r="B259" s="103" t="s">
        <v>683</v>
      </c>
      <c r="C259" s="103" t="s">
        <v>684</v>
      </c>
      <c r="D259" s="9"/>
      <c r="E259" s="9"/>
      <c r="H259" s="10"/>
      <c r="I259" s="9"/>
      <c r="M259" s="10"/>
    </row>
    <row r="260" spans="1:13" ht="15.75" customHeight="1" x14ac:dyDescent="0.25">
      <c r="A260" s="83">
        <v>20963</v>
      </c>
      <c r="B260" s="103" t="s">
        <v>685</v>
      </c>
      <c r="C260" s="103" t="s">
        <v>372</v>
      </c>
      <c r="D260" s="9"/>
      <c r="E260" s="9"/>
      <c r="H260" s="10"/>
      <c r="I260" s="9"/>
      <c r="M260" s="10"/>
    </row>
    <row r="261" spans="1:13" ht="15.75" customHeight="1" x14ac:dyDescent="0.25">
      <c r="A261" s="83">
        <v>130364</v>
      </c>
      <c r="B261" s="103" t="s">
        <v>686</v>
      </c>
      <c r="C261" s="103" t="s">
        <v>687</v>
      </c>
      <c r="D261" s="9"/>
      <c r="E261" s="9"/>
      <c r="H261" s="10"/>
      <c r="I261" s="9"/>
      <c r="M261" s="10"/>
    </row>
    <row r="262" spans="1:13" ht="15.75" customHeight="1" x14ac:dyDescent="0.25">
      <c r="A262" s="83">
        <v>21113</v>
      </c>
      <c r="B262" s="103" t="s">
        <v>688</v>
      </c>
      <c r="C262" s="103" t="s">
        <v>689</v>
      </c>
      <c r="D262" s="9"/>
      <c r="E262" s="9"/>
      <c r="H262" s="10"/>
      <c r="I262" s="9"/>
      <c r="M262" s="10"/>
    </row>
    <row r="263" spans="1:13" ht="15.75" customHeight="1" x14ac:dyDescent="0.25">
      <c r="A263" s="83">
        <v>138474</v>
      </c>
      <c r="B263" s="103" t="s">
        <v>683</v>
      </c>
      <c r="C263" s="103" t="s">
        <v>690</v>
      </c>
      <c r="D263" s="9"/>
      <c r="E263" s="9"/>
      <c r="H263" s="10"/>
      <c r="I263" s="9"/>
      <c r="M263" s="10"/>
    </row>
    <row r="264" spans="1:13" ht="15.75" customHeight="1" x14ac:dyDescent="0.25">
      <c r="A264" s="83">
        <v>23925</v>
      </c>
      <c r="B264" s="103" t="s">
        <v>654</v>
      </c>
      <c r="C264" s="103" t="s">
        <v>691</v>
      </c>
      <c r="D264" s="9"/>
      <c r="E264" s="9"/>
      <c r="H264" s="10"/>
      <c r="I264" s="9"/>
      <c r="M264" s="10"/>
    </row>
    <row r="265" spans="1:13" ht="15.75" customHeight="1" x14ac:dyDescent="0.25">
      <c r="A265" s="83">
        <v>20801</v>
      </c>
      <c r="B265" s="103" t="s">
        <v>692</v>
      </c>
      <c r="C265" s="103" t="s">
        <v>693</v>
      </c>
      <c r="D265" s="9"/>
      <c r="E265" s="9"/>
      <c r="H265" s="10"/>
      <c r="I265" s="9"/>
      <c r="M265" s="10"/>
    </row>
    <row r="266" spans="1:13" ht="15.75" customHeight="1" x14ac:dyDescent="0.25">
      <c r="A266" s="83">
        <v>22808</v>
      </c>
      <c r="B266" s="103" t="s">
        <v>694</v>
      </c>
      <c r="C266" s="103" t="s">
        <v>695</v>
      </c>
      <c r="D266" s="9"/>
      <c r="E266" s="9"/>
      <c r="H266" s="10"/>
      <c r="I266" s="9"/>
      <c r="M266" s="10"/>
    </row>
    <row r="267" spans="1:13" ht="15.75" customHeight="1" x14ac:dyDescent="0.25">
      <c r="A267" s="83">
        <v>20752</v>
      </c>
      <c r="B267" s="103" t="s">
        <v>696</v>
      </c>
      <c r="C267" s="103" t="s">
        <v>563</v>
      </c>
      <c r="D267" s="9"/>
      <c r="E267" s="9"/>
      <c r="H267" s="10"/>
      <c r="I267" s="9"/>
      <c r="M267" s="10"/>
    </row>
    <row r="268" spans="1:13" ht="15.75" customHeight="1" x14ac:dyDescent="0.25">
      <c r="A268" s="83">
        <v>124135</v>
      </c>
      <c r="B268" s="103" t="s">
        <v>670</v>
      </c>
      <c r="C268" s="103" t="s">
        <v>697</v>
      </c>
      <c r="D268" s="9"/>
      <c r="E268" s="9"/>
      <c r="H268" s="10"/>
      <c r="I268" s="9"/>
      <c r="M268" s="10"/>
    </row>
    <row r="269" spans="1:13" ht="15.75" customHeight="1" x14ac:dyDescent="0.25">
      <c r="A269" s="83">
        <v>21823</v>
      </c>
      <c r="B269" s="103" t="s">
        <v>698</v>
      </c>
      <c r="C269" s="103" t="s">
        <v>699</v>
      </c>
      <c r="D269" s="9"/>
      <c r="E269" s="9"/>
      <c r="H269" s="10"/>
      <c r="I269" s="9"/>
      <c r="M269" s="10"/>
    </row>
    <row r="270" spans="1:13" ht="15.75" customHeight="1" x14ac:dyDescent="0.25">
      <c r="A270" s="83">
        <v>23508</v>
      </c>
      <c r="B270" s="103" t="s">
        <v>700</v>
      </c>
      <c r="C270" s="103" t="s">
        <v>701</v>
      </c>
      <c r="D270" s="9"/>
      <c r="E270" s="9"/>
      <c r="H270" s="10"/>
      <c r="I270" s="9"/>
      <c r="M270" s="10"/>
    </row>
    <row r="271" spans="1:13" ht="15.75" customHeight="1" x14ac:dyDescent="0.25">
      <c r="A271" s="83">
        <v>21415</v>
      </c>
      <c r="B271" s="103" t="s">
        <v>702</v>
      </c>
      <c r="C271" s="103" t="s">
        <v>703</v>
      </c>
      <c r="D271" s="9"/>
      <c r="E271" s="9"/>
      <c r="H271" s="10"/>
      <c r="I271" s="9"/>
      <c r="M271" s="10"/>
    </row>
    <row r="272" spans="1:13" ht="15.75" customHeight="1" x14ac:dyDescent="0.25">
      <c r="A272" s="83">
        <v>22331</v>
      </c>
      <c r="B272" s="103" t="s">
        <v>704</v>
      </c>
      <c r="C272" s="103" t="s">
        <v>705</v>
      </c>
      <c r="D272" s="9"/>
      <c r="E272" s="9"/>
      <c r="H272" s="10"/>
      <c r="I272" s="9"/>
      <c r="M272" s="10"/>
    </row>
    <row r="273" spans="1:13" ht="15.75" customHeight="1" x14ac:dyDescent="0.25">
      <c r="A273" s="83">
        <v>125298</v>
      </c>
      <c r="B273" s="103" t="s">
        <v>694</v>
      </c>
      <c r="C273" s="103" t="s">
        <v>367</v>
      </c>
      <c r="D273" s="9"/>
      <c r="E273" s="9"/>
      <c r="H273" s="10"/>
      <c r="I273" s="9"/>
      <c r="M273" s="10"/>
    </row>
    <row r="274" spans="1:13" ht="15.75" customHeight="1" x14ac:dyDescent="0.25">
      <c r="A274" s="83">
        <v>121725</v>
      </c>
      <c r="B274" s="103" t="s">
        <v>706</v>
      </c>
      <c r="C274" s="103" t="s">
        <v>707</v>
      </c>
      <c r="D274" s="9"/>
      <c r="E274" s="9"/>
      <c r="H274" s="10"/>
      <c r="I274" s="9"/>
      <c r="M274" s="10"/>
    </row>
    <row r="275" spans="1:13" ht="15.75" customHeight="1" x14ac:dyDescent="0.25">
      <c r="A275" s="83">
        <v>20660</v>
      </c>
      <c r="B275" s="103" t="s">
        <v>708</v>
      </c>
      <c r="C275" s="103" t="s">
        <v>709</v>
      </c>
      <c r="D275" s="9"/>
      <c r="E275" s="9"/>
      <c r="H275" s="10"/>
      <c r="I275" s="9"/>
      <c r="M275" s="10"/>
    </row>
    <row r="276" spans="1:13" ht="15.75" customHeight="1" x14ac:dyDescent="0.25">
      <c r="A276" s="83">
        <v>94376</v>
      </c>
      <c r="B276" s="103" t="s">
        <v>710</v>
      </c>
      <c r="C276" s="103" t="s">
        <v>711</v>
      </c>
      <c r="D276" s="9"/>
      <c r="E276" s="9"/>
      <c r="H276" s="10"/>
      <c r="I276" s="9"/>
      <c r="M276" s="10"/>
    </row>
    <row r="277" spans="1:13" ht="15.75" customHeight="1" x14ac:dyDescent="0.25">
      <c r="A277" s="83">
        <v>22931</v>
      </c>
      <c r="B277" s="103" t="s">
        <v>712</v>
      </c>
      <c r="C277" s="103" t="s">
        <v>713</v>
      </c>
      <c r="D277" s="9"/>
      <c r="E277" s="9"/>
      <c r="H277" s="10"/>
      <c r="I277" s="9"/>
      <c r="M277" s="10"/>
    </row>
    <row r="278" spans="1:13" ht="15.75" customHeight="1" x14ac:dyDescent="0.25">
      <c r="A278" s="83">
        <v>44204</v>
      </c>
      <c r="B278" s="103" t="s">
        <v>714</v>
      </c>
      <c r="C278" s="103" t="s">
        <v>715</v>
      </c>
      <c r="D278" s="9"/>
      <c r="E278" s="9"/>
      <c r="H278" s="10"/>
      <c r="I278" s="9"/>
      <c r="M278" s="10"/>
    </row>
    <row r="279" spans="1:13" ht="15.75" customHeight="1" x14ac:dyDescent="0.25">
      <c r="A279" s="83">
        <v>125284</v>
      </c>
      <c r="B279" s="103" t="s">
        <v>716</v>
      </c>
      <c r="C279" s="103" t="s">
        <v>717</v>
      </c>
      <c r="D279" s="9"/>
      <c r="E279" s="9"/>
      <c r="H279" s="10"/>
      <c r="I279" s="9"/>
      <c r="M279" s="10"/>
    </row>
    <row r="280" spans="1:13" ht="15.75" customHeight="1" x14ac:dyDescent="0.25">
      <c r="A280" s="83">
        <v>26347</v>
      </c>
      <c r="B280" s="103" t="s">
        <v>718</v>
      </c>
      <c r="C280" s="103" t="s">
        <v>568</v>
      </c>
      <c r="D280" s="9"/>
      <c r="E280" s="9"/>
      <c r="H280" s="10"/>
      <c r="I280" s="9"/>
      <c r="M280" s="10"/>
    </row>
    <row r="281" spans="1:13" ht="15.75" customHeight="1" x14ac:dyDescent="0.25">
      <c r="A281" s="83">
        <v>21281</v>
      </c>
      <c r="B281" s="103" t="s">
        <v>719</v>
      </c>
      <c r="C281" s="103" t="s">
        <v>720</v>
      </c>
      <c r="D281" s="9"/>
      <c r="E281" s="9"/>
      <c r="H281" s="10"/>
      <c r="I281" s="9"/>
      <c r="M281" s="10"/>
    </row>
    <row r="282" spans="1:13" ht="15.75" customHeight="1" x14ac:dyDescent="0.25">
      <c r="A282" s="83">
        <v>24866</v>
      </c>
      <c r="B282" s="103" t="s">
        <v>721</v>
      </c>
      <c r="C282" s="103" t="s">
        <v>360</v>
      </c>
      <c r="D282" s="9"/>
      <c r="E282" s="9"/>
      <c r="H282" s="10"/>
      <c r="I282" s="9"/>
      <c r="M282" s="10"/>
    </row>
    <row r="283" spans="1:13" ht="15.75" customHeight="1" x14ac:dyDescent="0.25">
      <c r="A283" s="83">
        <v>123347</v>
      </c>
      <c r="B283" s="103" t="s">
        <v>722</v>
      </c>
      <c r="C283" s="103" t="s">
        <v>432</v>
      </c>
      <c r="D283" s="9"/>
      <c r="E283" s="9"/>
      <c r="H283" s="10"/>
      <c r="I283" s="9"/>
      <c r="M283" s="10"/>
    </row>
    <row r="284" spans="1:13" ht="15.75" customHeight="1" x14ac:dyDescent="0.25">
      <c r="A284" s="83">
        <v>20785</v>
      </c>
      <c r="B284" s="103" t="s">
        <v>723</v>
      </c>
      <c r="C284" s="103" t="s">
        <v>724</v>
      </c>
      <c r="D284" s="9"/>
      <c r="E284" s="9"/>
      <c r="H284" s="10"/>
      <c r="I284" s="9"/>
      <c r="M284" s="10"/>
    </row>
    <row r="285" spans="1:13" ht="15.75" customHeight="1" x14ac:dyDescent="0.25">
      <c r="A285" s="83">
        <v>21141</v>
      </c>
      <c r="B285" s="103" t="s">
        <v>725</v>
      </c>
      <c r="C285" s="103" t="s">
        <v>369</v>
      </c>
      <c r="D285" s="9"/>
      <c r="E285" s="9"/>
      <c r="H285" s="10"/>
      <c r="I285" s="9"/>
      <c r="M285" s="10"/>
    </row>
    <row r="286" spans="1:13" ht="15.75" customHeight="1" x14ac:dyDescent="0.25">
      <c r="A286" s="83">
        <v>22489</v>
      </c>
      <c r="B286" s="103" t="s">
        <v>726</v>
      </c>
      <c r="C286" s="103" t="s">
        <v>727</v>
      </c>
      <c r="D286" s="9"/>
      <c r="E286" s="9"/>
      <c r="H286" s="10"/>
      <c r="I286" s="9"/>
      <c r="M286" s="10"/>
    </row>
    <row r="287" spans="1:13" ht="15.75" customHeight="1" x14ac:dyDescent="0.25">
      <c r="A287" s="83">
        <v>94270</v>
      </c>
      <c r="B287" s="103" t="s">
        <v>728</v>
      </c>
      <c r="C287" s="103" t="s">
        <v>729</v>
      </c>
      <c r="D287" s="9"/>
      <c r="E287" s="9"/>
      <c r="H287" s="10"/>
      <c r="I287" s="9"/>
      <c r="M287" s="10"/>
    </row>
    <row r="288" spans="1:13" ht="15.75" customHeight="1" x14ac:dyDescent="0.25">
      <c r="A288" s="83">
        <v>127626</v>
      </c>
      <c r="B288" s="103" t="s">
        <v>730</v>
      </c>
      <c r="C288" s="103" t="s">
        <v>644</v>
      </c>
      <c r="D288" s="9"/>
      <c r="E288" s="9"/>
      <c r="H288" s="10"/>
      <c r="I288" s="9"/>
      <c r="M288" s="10"/>
    </row>
    <row r="289" spans="1:13" ht="15.75" customHeight="1" x14ac:dyDescent="0.25">
      <c r="A289" s="83">
        <v>128553</v>
      </c>
      <c r="B289" s="103" t="s">
        <v>731</v>
      </c>
      <c r="C289" s="103" t="s">
        <v>732</v>
      </c>
      <c r="D289" s="9"/>
      <c r="E289" s="9"/>
      <c r="H289" s="10"/>
      <c r="I289" s="9"/>
      <c r="M289" s="10"/>
    </row>
    <row r="290" spans="1:13" ht="15.75" customHeight="1" x14ac:dyDescent="0.25">
      <c r="A290" s="83">
        <v>21389</v>
      </c>
      <c r="B290" s="103" t="s">
        <v>733</v>
      </c>
      <c r="C290" s="103" t="s">
        <v>734</v>
      </c>
      <c r="D290" s="9"/>
      <c r="E290" s="9"/>
      <c r="H290" s="10"/>
      <c r="I290" s="9"/>
      <c r="M290" s="10"/>
    </row>
    <row r="291" spans="1:13" ht="15.75" customHeight="1" x14ac:dyDescent="0.25">
      <c r="A291" s="83">
        <v>137477</v>
      </c>
      <c r="B291" s="103" t="s">
        <v>735</v>
      </c>
      <c r="C291" s="103" t="s">
        <v>736</v>
      </c>
      <c r="D291" s="9"/>
      <c r="E291" s="9"/>
      <c r="H291" s="10"/>
      <c r="I291" s="9"/>
      <c r="M291" s="10"/>
    </row>
    <row r="292" spans="1:13" ht="15.75" customHeight="1" x14ac:dyDescent="0.25">
      <c r="A292" s="83">
        <v>20594</v>
      </c>
      <c r="B292" s="103" t="s">
        <v>737</v>
      </c>
      <c r="C292" s="103" t="s">
        <v>339</v>
      </c>
      <c r="D292" s="9"/>
      <c r="E292" s="9"/>
      <c r="H292" s="10"/>
      <c r="I292" s="9"/>
      <c r="M292" s="10"/>
    </row>
    <row r="293" spans="1:13" ht="15.75" customHeight="1" x14ac:dyDescent="0.25">
      <c r="A293" s="83">
        <v>27355</v>
      </c>
      <c r="B293" s="103" t="s">
        <v>738</v>
      </c>
      <c r="C293" s="103" t="s">
        <v>739</v>
      </c>
      <c r="D293" s="9"/>
      <c r="E293" s="9"/>
      <c r="H293" s="10"/>
      <c r="I293" s="9"/>
      <c r="M293" s="10"/>
    </row>
    <row r="294" spans="1:13" ht="15.75" customHeight="1" x14ac:dyDescent="0.25">
      <c r="A294" s="83">
        <v>127539</v>
      </c>
      <c r="B294" s="103" t="s">
        <v>740</v>
      </c>
      <c r="C294" s="103" t="s">
        <v>741</v>
      </c>
      <c r="D294" s="9"/>
      <c r="E294" s="9"/>
      <c r="H294" s="10"/>
      <c r="I294" s="9"/>
      <c r="M294" s="10"/>
    </row>
    <row r="295" spans="1:13" ht="15.75" customHeight="1" x14ac:dyDescent="0.25">
      <c r="A295" s="83">
        <v>21460</v>
      </c>
      <c r="B295" s="103" t="s">
        <v>742</v>
      </c>
      <c r="C295" s="103" t="s">
        <v>743</v>
      </c>
      <c r="D295" s="9"/>
      <c r="E295" s="9"/>
      <c r="H295" s="10"/>
      <c r="I295" s="9"/>
      <c r="M295" s="10"/>
    </row>
    <row r="296" spans="1:13" ht="15.75" customHeight="1" x14ac:dyDescent="0.25">
      <c r="A296" s="83">
        <v>125932</v>
      </c>
      <c r="B296" s="103" t="s">
        <v>744</v>
      </c>
      <c r="C296" s="103" t="s">
        <v>355</v>
      </c>
      <c r="D296" s="9"/>
      <c r="E296" s="9"/>
      <c r="H296" s="10"/>
      <c r="I296" s="9"/>
      <c r="M296" s="10"/>
    </row>
    <row r="297" spans="1:13" ht="15.75" customHeight="1" x14ac:dyDescent="0.25">
      <c r="A297" s="83">
        <v>21954</v>
      </c>
      <c r="B297" s="103" t="s">
        <v>745</v>
      </c>
      <c r="C297" s="103" t="s">
        <v>746</v>
      </c>
      <c r="D297" s="9"/>
      <c r="E297" s="9"/>
      <c r="H297" s="10"/>
      <c r="I297" s="9"/>
      <c r="M297" s="10"/>
    </row>
    <row r="298" spans="1:13" ht="15.75" customHeight="1" x14ac:dyDescent="0.25">
      <c r="A298" s="83">
        <v>131137</v>
      </c>
      <c r="B298" s="103" t="s">
        <v>747</v>
      </c>
      <c r="C298" s="103" t="s">
        <v>748</v>
      </c>
      <c r="D298" s="9"/>
      <c r="E298" s="9"/>
      <c r="H298" s="10"/>
      <c r="I298" s="9"/>
      <c r="M298" s="10"/>
    </row>
    <row r="299" spans="1:13" ht="15.75" customHeight="1" x14ac:dyDescent="0.25">
      <c r="A299" s="83">
        <v>26231</v>
      </c>
      <c r="B299" s="103" t="s">
        <v>749</v>
      </c>
      <c r="C299" s="103" t="s">
        <v>513</v>
      </c>
      <c r="D299" s="9"/>
      <c r="E299" s="9"/>
      <c r="H299" s="10"/>
      <c r="I299" s="9"/>
      <c r="M299" s="10"/>
    </row>
    <row r="300" spans="1:13" ht="15.75" customHeight="1" x14ac:dyDescent="0.25">
      <c r="A300" s="83">
        <v>94112</v>
      </c>
      <c r="B300" s="103" t="s">
        <v>750</v>
      </c>
      <c r="C300" s="103" t="s">
        <v>751</v>
      </c>
      <c r="D300" s="9"/>
      <c r="E300" s="9"/>
      <c r="H300" s="10"/>
      <c r="I300" s="9"/>
      <c r="M300" s="10"/>
    </row>
    <row r="301" spans="1:13" ht="15.75" customHeight="1" x14ac:dyDescent="0.25">
      <c r="A301" s="83">
        <v>20783</v>
      </c>
      <c r="B301" s="103" t="s">
        <v>752</v>
      </c>
      <c r="C301" s="103" t="s">
        <v>753</v>
      </c>
      <c r="D301" s="9"/>
      <c r="E301" s="9"/>
      <c r="H301" s="10"/>
      <c r="I301" s="9"/>
      <c r="M301" s="10"/>
    </row>
    <row r="302" spans="1:13" ht="15.75" customHeight="1" x14ac:dyDescent="0.25">
      <c r="A302" s="83">
        <v>27748</v>
      </c>
      <c r="B302" s="103" t="s">
        <v>694</v>
      </c>
      <c r="C302" s="103" t="s">
        <v>754</v>
      </c>
      <c r="D302" s="9"/>
      <c r="E302" s="9"/>
      <c r="H302" s="10"/>
      <c r="I302" s="9"/>
      <c r="M302" s="10"/>
    </row>
    <row r="303" spans="1:13" ht="15.75" customHeight="1" x14ac:dyDescent="0.25">
      <c r="A303" s="83">
        <v>128930</v>
      </c>
      <c r="B303" s="103" t="s">
        <v>755</v>
      </c>
      <c r="C303" s="103" t="s">
        <v>756</v>
      </c>
      <c r="D303" s="9"/>
      <c r="E303" s="9"/>
      <c r="H303" s="10"/>
      <c r="I303" s="9"/>
      <c r="M303" s="10"/>
    </row>
    <row r="304" spans="1:13" ht="15.75" customHeight="1" x14ac:dyDescent="0.25">
      <c r="A304" s="83">
        <v>25895</v>
      </c>
      <c r="B304" s="103" t="s">
        <v>757</v>
      </c>
      <c r="C304" s="103" t="s">
        <v>758</v>
      </c>
      <c r="D304" s="9"/>
      <c r="E304" s="9"/>
      <c r="H304" s="10"/>
      <c r="I304" s="9"/>
      <c r="M304" s="10"/>
    </row>
    <row r="305" spans="1:13" ht="15.75" customHeight="1" x14ac:dyDescent="0.25">
      <c r="A305" s="83">
        <v>20432</v>
      </c>
      <c r="B305" s="103" t="s">
        <v>759</v>
      </c>
      <c r="C305" s="103" t="s">
        <v>760</v>
      </c>
      <c r="D305" s="9"/>
      <c r="E305" s="9"/>
      <c r="H305" s="10"/>
      <c r="I305" s="9"/>
      <c r="M305" s="10"/>
    </row>
    <row r="306" spans="1:13" ht="15.75" customHeight="1" x14ac:dyDescent="0.25">
      <c r="A306" s="83">
        <v>127056</v>
      </c>
      <c r="B306" s="103" t="s">
        <v>761</v>
      </c>
      <c r="C306" s="103" t="s">
        <v>762</v>
      </c>
      <c r="D306" s="9"/>
      <c r="E306" s="9"/>
      <c r="H306" s="10"/>
      <c r="I306" s="9"/>
      <c r="M306" s="10"/>
    </row>
    <row r="307" spans="1:13" ht="15.75" customHeight="1" x14ac:dyDescent="0.25">
      <c r="A307" s="83">
        <v>124153</v>
      </c>
      <c r="B307" s="103" t="s">
        <v>763</v>
      </c>
      <c r="C307" s="103" t="s">
        <v>764</v>
      </c>
      <c r="D307" s="9"/>
      <c r="E307" s="9"/>
      <c r="H307" s="10"/>
      <c r="I307" s="9"/>
      <c r="M307" s="10"/>
    </row>
    <row r="308" spans="1:13" ht="15.75" customHeight="1" x14ac:dyDescent="0.25">
      <c r="A308" s="83">
        <v>26548</v>
      </c>
      <c r="B308" s="103" t="s">
        <v>694</v>
      </c>
      <c r="C308" s="103" t="s">
        <v>339</v>
      </c>
      <c r="D308" s="9"/>
      <c r="E308" s="9"/>
      <c r="H308" s="10"/>
      <c r="I308" s="9"/>
      <c r="M308" s="10"/>
    </row>
    <row r="309" spans="1:13" ht="15.75" customHeight="1" x14ac:dyDescent="0.25">
      <c r="A309" s="83">
        <v>141584</v>
      </c>
      <c r="B309" s="103" t="s">
        <v>317</v>
      </c>
      <c r="C309" s="103" t="s">
        <v>765</v>
      </c>
      <c r="D309" s="9"/>
      <c r="E309" s="9"/>
      <c r="H309" s="10"/>
      <c r="I309" s="9"/>
      <c r="M309" s="10"/>
    </row>
    <row r="310" spans="1:13" ht="15.75" customHeight="1" x14ac:dyDescent="0.25">
      <c r="A310" s="83">
        <v>131197</v>
      </c>
      <c r="B310" s="103" t="s">
        <v>766</v>
      </c>
      <c r="C310" s="103" t="s">
        <v>513</v>
      </c>
      <c r="D310" s="9"/>
      <c r="E310" s="9"/>
      <c r="H310" s="10"/>
      <c r="I310" s="9"/>
      <c r="M310" s="10"/>
    </row>
    <row r="311" spans="1:13" ht="15.75" customHeight="1" x14ac:dyDescent="0.25">
      <c r="A311" s="83">
        <v>22434</v>
      </c>
      <c r="B311" s="103" t="s">
        <v>767</v>
      </c>
      <c r="C311" s="103" t="s">
        <v>360</v>
      </c>
      <c r="D311" s="9"/>
      <c r="E311" s="9"/>
      <c r="H311" s="10"/>
      <c r="I311" s="9"/>
      <c r="M311" s="10"/>
    </row>
    <row r="312" spans="1:13" ht="15.75" customHeight="1" x14ac:dyDescent="0.25">
      <c r="A312" s="83">
        <v>20957</v>
      </c>
      <c r="B312" s="103" t="s">
        <v>761</v>
      </c>
      <c r="C312" s="103" t="s">
        <v>768</v>
      </c>
      <c r="D312" s="9"/>
      <c r="E312" s="9"/>
      <c r="H312" s="10"/>
      <c r="I312" s="9"/>
      <c r="M312" s="10"/>
    </row>
    <row r="313" spans="1:13" ht="15.75" customHeight="1" x14ac:dyDescent="0.25">
      <c r="A313" s="83">
        <v>20762</v>
      </c>
      <c r="B313" s="103" t="s">
        <v>769</v>
      </c>
      <c r="C313" s="103" t="s">
        <v>770</v>
      </c>
      <c r="D313" s="9"/>
      <c r="E313" s="9"/>
      <c r="H313" s="10"/>
      <c r="I313" s="9"/>
      <c r="M313" s="10"/>
    </row>
    <row r="314" spans="1:13" ht="15.75" customHeight="1" x14ac:dyDescent="0.25">
      <c r="A314" s="83">
        <v>122330</v>
      </c>
      <c r="B314" s="103" t="s">
        <v>771</v>
      </c>
      <c r="C314" s="103" t="s">
        <v>360</v>
      </c>
      <c r="D314" s="9"/>
      <c r="E314" s="9"/>
      <c r="H314" s="10"/>
      <c r="I314" s="9"/>
      <c r="M314" s="10"/>
    </row>
    <row r="315" spans="1:13" ht="15.75" customHeight="1" x14ac:dyDescent="0.25">
      <c r="A315" s="83">
        <v>21161</v>
      </c>
      <c r="B315" s="103" t="s">
        <v>772</v>
      </c>
      <c r="C315" s="103" t="s">
        <v>773</v>
      </c>
      <c r="D315" s="9"/>
      <c r="E315" s="9"/>
      <c r="H315" s="10"/>
      <c r="I315" s="9"/>
      <c r="M315" s="10"/>
    </row>
    <row r="316" spans="1:13" ht="15.75" customHeight="1" x14ac:dyDescent="0.25">
      <c r="A316" s="83">
        <v>127967</v>
      </c>
      <c r="B316" s="103" t="s">
        <v>767</v>
      </c>
      <c r="C316" s="103" t="s">
        <v>320</v>
      </c>
      <c r="D316" s="9"/>
      <c r="E316" s="9"/>
      <c r="H316" s="10"/>
      <c r="I316" s="9"/>
      <c r="M316" s="10"/>
    </row>
    <row r="317" spans="1:13" ht="15.75" customHeight="1" x14ac:dyDescent="0.25">
      <c r="A317" s="83">
        <v>21608</v>
      </c>
      <c r="B317" s="103" t="s">
        <v>774</v>
      </c>
      <c r="C317" s="103" t="s">
        <v>775</v>
      </c>
      <c r="D317" s="9"/>
      <c r="E317" s="9"/>
      <c r="H317" s="10"/>
      <c r="I317" s="9"/>
      <c r="M317" s="10"/>
    </row>
    <row r="318" spans="1:13" ht="15.75" customHeight="1" x14ac:dyDescent="0.25">
      <c r="A318" s="83">
        <v>133005</v>
      </c>
      <c r="B318" s="103" t="s">
        <v>776</v>
      </c>
      <c r="C318" s="103" t="s">
        <v>777</v>
      </c>
      <c r="D318" s="9"/>
      <c r="E318" s="9"/>
      <c r="H318" s="10"/>
      <c r="I318" s="9"/>
      <c r="M318" s="10"/>
    </row>
    <row r="319" spans="1:13" ht="15.75" customHeight="1" x14ac:dyDescent="0.25">
      <c r="A319" s="83">
        <v>20633</v>
      </c>
      <c r="B319" s="103" t="s">
        <v>778</v>
      </c>
      <c r="C319" s="103" t="s">
        <v>779</v>
      </c>
      <c r="D319" s="9"/>
      <c r="E319" s="9"/>
      <c r="H319" s="10"/>
      <c r="I319" s="9"/>
      <c r="M319" s="10"/>
    </row>
    <row r="320" spans="1:13" ht="15.75" customHeight="1" x14ac:dyDescent="0.25">
      <c r="A320" s="83">
        <v>21007</v>
      </c>
      <c r="B320" s="103" t="s">
        <v>771</v>
      </c>
      <c r="C320" s="103" t="s">
        <v>780</v>
      </c>
      <c r="D320" s="9"/>
      <c r="E320" s="9"/>
      <c r="H320" s="10"/>
      <c r="I320" s="9"/>
      <c r="M320" s="10"/>
    </row>
    <row r="321" spans="1:13" ht="15.75" customHeight="1" x14ac:dyDescent="0.25">
      <c r="A321" s="83">
        <v>20921</v>
      </c>
      <c r="B321" s="103" t="s">
        <v>781</v>
      </c>
      <c r="C321" s="103" t="s">
        <v>366</v>
      </c>
      <c r="D321" s="9"/>
      <c r="E321" s="9"/>
      <c r="H321" s="10"/>
      <c r="I321" s="9"/>
      <c r="M321" s="10"/>
    </row>
    <row r="322" spans="1:13" ht="15.75" customHeight="1" x14ac:dyDescent="0.25">
      <c r="A322" s="83">
        <v>22622</v>
      </c>
      <c r="B322" s="103" t="s">
        <v>782</v>
      </c>
      <c r="C322" s="103" t="s">
        <v>783</v>
      </c>
      <c r="D322" s="9"/>
      <c r="E322" s="9"/>
      <c r="H322" s="10"/>
      <c r="I322" s="9"/>
      <c r="M322" s="10"/>
    </row>
    <row r="323" spans="1:13" ht="15.75" customHeight="1" x14ac:dyDescent="0.25">
      <c r="A323" s="83">
        <v>21647</v>
      </c>
      <c r="B323" s="103" t="s">
        <v>784</v>
      </c>
      <c r="C323" s="103" t="s">
        <v>355</v>
      </c>
      <c r="D323" s="9"/>
      <c r="E323" s="9"/>
      <c r="H323" s="10"/>
      <c r="I323" s="9"/>
      <c r="M323" s="10"/>
    </row>
    <row r="324" spans="1:13" ht="15.75" customHeight="1" x14ac:dyDescent="0.25">
      <c r="A324" s="83">
        <v>20598</v>
      </c>
      <c r="B324" s="103" t="s">
        <v>785</v>
      </c>
      <c r="C324" s="103" t="s">
        <v>786</v>
      </c>
      <c r="D324" s="9"/>
      <c r="E324" s="9"/>
      <c r="H324" s="10"/>
      <c r="I324" s="9"/>
      <c r="M324" s="10"/>
    </row>
    <row r="325" spans="1:13" ht="15.75" customHeight="1" x14ac:dyDescent="0.25">
      <c r="A325" s="83">
        <v>21770</v>
      </c>
      <c r="B325" s="103" t="s">
        <v>771</v>
      </c>
      <c r="C325" s="103" t="s">
        <v>787</v>
      </c>
      <c r="D325" s="9"/>
      <c r="E325" s="9"/>
      <c r="H325" s="10"/>
      <c r="I325" s="9"/>
      <c r="M325" s="10"/>
    </row>
    <row r="326" spans="1:13" ht="15.75" customHeight="1" x14ac:dyDescent="0.25">
      <c r="A326" s="83">
        <v>21805</v>
      </c>
      <c r="B326" s="103" t="s">
        <v>788</v>
      </c>
      <c r="C326" s="103" t="s">
        <v>789</v>
      </c>
      <c r="D326" s="9"/>
      <c r="E326" s="9"/>
      <c r="H326" s="10"/>
      <c r="I326" s="9"/>
      <c r="M326" s="10"/>
    </row>
    <row r="327" spans="1:13" ht="15.75" customHeight="1" x14ac:dyDescent="0.25">
      <c r="A327" s="83">
        <v>42146</v>
      </c>
      <c r="B327" s="103" t="s">
        <v>742</v>
      </c>
      <c r="C327" s="103" t="s">
        <v>790</v>
      </c>
      <c r="D327" s="9"/>
      <c r="E327" s="9"/>
      <c r="H327" s="10"/>
      <c r="I327" s="9"/>
      <c r="M327" s="10"/>
    </row>
    <row r="328" spans="1:13" ht="15.75" customHeight="1" x14ac:dyDescent="0.25">
      <c r="A328" s="83">
        <v>20697</v>
      </c>
      <c r="B328" s="103" t="s">
        <v>791</v>
      </c>
      <c r="C328" s="103" t="s">
        <v>792</v>
      </c>
      <c r="D328" s="9"/>
      <c r="E328" s="9"/>
      <c r="H328" s="10"/>
      <c r="I328" s="9"/>
      <c r="M328" s="10"/>
    </row>
    <row r="329" spans="1:13" ht="15.75" customHeight="1" x14ac:dyDescent="0.25">
      <c r="A329" s="83">
        <v>20647</v>
      </c>
      <c r="B329" s="103" t="s">
        <v>776</v>
      </c>
      <c r="C329" s="103" t="s">
        <v>793</v>
      </c>
      <c r="D329" s="9"/>
      <c r="E329" s="9"/>
      <c r="H329" s="10"/>
      <c r="I329" s="9"/>
      <c r="M329" s="10"/>
    </row>
    <row r="330" spans="1:13" ht="15.75" customHeight="1" x14ac:dyDescent="0.25">
      <c r="A330" s="83">
        <v>140018</v>
      </c>
      <c r="B330" s="103" t="s">
        <v>776</v>
      </c>
      <c r="C330" s="103" t="s">
        <v>794</v>
      </c>
      <c r="D330" s="9"/>
      <c r="E330" s="9"/>
      <c r="H330" s="10"/>
      <c r="I330" s="9"/>
      <c r="M330" s="10"/>
    </row>
    <row r="331" spans="1:13" ht="15.75" customHeight="1" x14ac:dyDescent="0.25">
      <c r="A331" s="83">
        <v>119656</v>
      </c>
      <c r="B331" s="103" t="s">
        <v>795</v>
      </c>
      <c r="C331" s="103" t="s">
        <v>563</v>
      </c>
      <c r="D331" s="9"/>
      <c r="E331" s="9"/>
      <c r="H331" s="10"/>
      <c r="I331" s="9"/>
      <c r="M331" s="10"/>
    </row>
    <row r="332" spans="1:13" ht="15.75" customHeight="1" x14ac:dyDescent="0.25">
      <c r="A332" s="83">
        <v>129073</v>
      </c>
      <c r="B332" s="103" t="s">
        <v>782</v>
      </c>
      <c r="C332" s="103" t="s">
        <v>796</v>
      </c>
      <c r="D332" s="9"/>
      <c r="E332" s="9"/>
      <c r="H332" s="10"/>
      <c r="I332" s="9"/>
      <c r="M332" s="10"/>
    </row>
    <row r="333" spans="1:13" ht="15.75" customHeight="1" x14ac:dyDescent="0.25">
      <c r="A333" s="83">
        <v>20754</v>
      </c>
      <c r="B333" s="103" t="s">
        <v>797</v>
      </c>
      <c r="C333" s="103" t="s">
        <v>798</v>
      </c>
      <c r="D333" s="9"/>
      <c r="E333" s="9"/>
      <c r="H333" s="10"/>
      <c r="I333" s="9"/>
      <c r="M333" s="10"/>
    </row>
    <row r="334" spans="1:13" ht="15.75" customHeight="1" x14ac:dyDescent="0.25">
      <c r="A334" s="83">
        <v>20922</v>
      </c>
      <c r="B334" s="103" t="s">
        <v>799</v>
      </c>
      <c r="C334" s="103" t="s">
        <v>800</v>
      </c>
      <c r="D334" s="9"/>
      <c r="E334" s="9"/>
      <c r="H334" s="10"/>
      <c r="I334" s="9"/>
      <c r="M334" s="10"/>
    </row>
    <row r="335" spans="1:13" ht="15.75" customHeight="1" x14ac:dyDescent="0.25">
      <c r="A335" s="83">
        <v>20515</v>
      </c>
      <c r="B335" s="103" t="s">
        <v>801</v>
      </c>
      <c r="C335" s="103" t="s">
        <v>802</v>
      </c>
      <c r="D335" s="9"/>
      <c r="E335" s="9"/>
      <c r="H335" s="10"/>
      <c r="I335" s="9"/>
      <c r="M335" s="10"/>
    </row>
    <row r="336" spans="1:13" ht="15.75" customHeight="1" x14ac:dyDescent="0.25">
      <c r="A336" s="83">
        <v>21911</v>
      </c>
      <c r="B336" s="103" t="s">
        <v>803</v>
      </c>
      <c r="C336" s="103" t="s">
        <v>804</v>
      </c>
      <c r="D336" s="9"/>
      <c r="E336" s="9"/>
      <c r="H336" s="10"/>
      <c r="I336" s="9"/>
      <c r="M336" s="10"/>
    </row>
    <row r="337" spans="1:13" ht="15.75" customHeight="1" x14ac:dyDescent="0.25">
      <c r="A337" s="83">
        <v>126025</v>
      </c>
      <c r="B337" s="103" t="s">
        <v>782</v>
      </c>
      <c r="C337" s="103" t="s">
        <v>805</v>
      </c>
      <c r="D337" s="9"/>
      <c r="E337" s="9"/>
      <c r="H337" s="10"/>
      <c r="I337" s="9"/>
      <c r="M337" s="10"/>
    </row>
    <row r="338" spans="1:13" ht="15.75" customHeight="1" x14ac:dyDescent="0.25">
      <c r="A338" s="83">
        <v>123556</v>
      </c>
      <c r="B338" s="103" t="s">
        <v>806</v>
      </c>
      <c r="C338" s="103" t="s">
        <v>559</v>
      </c>
      <c r="D338" s="9"/>
      <c r="E338" s="9"/>
      <c r="H338" s="10"/>
      <c r="I338" s="9"/>
      <c r="M338" s="10"/>
    </row>
    <row r="339" spans="1:13" ht="15.75" customHeight="1" x14ac:dyDescent="0.25">
      <c r="A339" s="83">
        <v>20482</v>
      </c>
      <c r="B339" s="103" t="s">
        <v>807</v>
      </c>
      <c r="C339" s="103" t="s">
        <v>357</v>
      </c>
      <c r="D339" s="9"/>
      <c r="E339" s="9"/>
      <c r="H339" s="10"/>
      <c r="I339" s="9"/>
      <c r="M339" s="10"/>
    </row>
    <row r="340" spans="1:13" ht="15.75" customHeight="1" x14ac:dyDescent="0.25">
      <c r="A340" s="83">
        <v>24980</v>
      </c>
      <c r="B340" s="103" t="s">
        <v>808</v>
      </c>
      <c r="C340" s="103" t="s">
        <v>339</v>
      </c>
      <c r="D340" s="9"/>
      <c r="E340" s="9"/>
      <c r="H340" s="10"/>
      <c r="I340" s="9"/>
      <c r="M340" s="10"/>
    </row>
    <row r="341" spans="1:13" ht="15.75" customHeight="1" x14ac:dyDescent="0.25">
      <c r="A341" s="83">
        <v>21135</v>
      </c>
      <c r="B341" s="103" t="s">
        <v>782</v>
      </c>
      <c r="C341" s="103" t="s">
        <v>809</v>
      </c>
      <c r="D341" s="9"/>
      <c r="E341" s="9"/>
      <c r="H341" s="10"/>
      <c r="I341" s="9"/>
      <c r="M341" s="10"/>
    </row>
    <row r="342" spans="1:13" ht="15.75" customHeight="1" x14ac:dyDescent="0.25">
      <c r="A342" s="83">
        <v>126614</v>
      </c>
      <c r="B342" s="103" t="s">
        <v>784</v>
      </c>
      <c r="C342" s="103" t="s">
        <v>810</v>
      </c>
      <c r="D342" s="9"/>
      <c r="E342" s="9"/>
      <c r="H342" s="10"/>
      <c r="I342" s="9"/>
      <c r="M342" s="10"/>
    </row>
    <row r="343" spans="1:13" ht="15.75" customHeight="1" x14ac:dyDescent="0.25">
      <c r="A343" s="83">
        <v>133476</v>
      </c>
      <c r="B343" s="103" t="s">
        <v>811</v>
      </c>
      <c r="C343" s="103" t="s">
        <v>812</v>
      </c>
      <c r="D343" s="9"/>
      <c r="E343" s="9"/>
      <c r="H343" s="10"/>
      <c r="I343" s="9"/>
      <c r="M343" s="10"/>
    </row>
    <row r="344" spans="1:13" ht="15.75" customHeight="1" x14ac:dyDescent="0.25">
      <c r="A344" s="83">
        <v>24634</v>
      </c>
      <c r="B344" s="103" t="s">
        <v>782</v>
      </c>
      <c r="C344" s="103" t="s">
        <v>456</v>
      </c>
      <c r="D344" s="9"/>
      <c r="E344" s="9"/>
      <c r="H344" s="10"/>
      <c r="I344" s="9"/>
      <c r="M344" s="10"/>
    </row>
    <row r="345" spans="1:13" ht="15.75" customHeight="1" x14ac:dyDescent="0.25">
      <c r="A345" s="83">
        <v>128794</v>
      </c>
      <c r="B345" s="103" t="s">
        <v>801</v>
      </c>
      <c r="C345" s="103" t="s">
        <v>813</v>
      </c>
      <c r="D345" s="9"/>
      <c r="E345" s="9"/>
      <c r="H345" s="10"/>
      <c r="I345" s="9"/>
      <c r="M345" s="10"/>
    </row>
    <row r="346" spans="1:13" ht="15.75" customHeight="1" x14ac:dyDescent="0.25">
      <c r="A346" s="83">
        <v>23639</v>
      </c>
      <c r="B346" s="103" t="s">
        <v>814</v>
      </c>
      <c r="C346" s="103" t="s">
        <v>815</v>
      </c>
      <c r="D346" s="9"/>
      <c r="E346" s="9"/>
      <c r="H346" s="10"/>
      <c r="I346" s="9"/>
      <c r="M346" s="10"/>
    </row>
    <row r="347" spans="1:13" ht="15.75" customHeight="1" x14ac:dyDescent="0.25">
      <c r="A347" s="83">
        <v>20921</v>
      </c>
      <c r="B347" s="103" t="s">
        <v>816</v>
      </c>
      <c r="C347" s="103" t="s">
        <v>817</v>
      </c>
      <c r="D347" s="9"/>
      <c r="E347" s="9"/>
      <c r="H347" s="10"/>
      <c r="I347" s="9"/>
      <c r="M347" s="10"/>
    </row>
    <row r="348" spans="1:13" ht="15.75" customHeight="1" x14ac:dyDescent="0.25">
      <c r="A348" s="83">
        <v>26693</v>
      </c>
      <c r="B348" s="103" t="s">
        <v>818</v>
      </c>
      <c r="C348" s="103" t="s">
        <v>819</v>
      </c>
      <c r="D348" s="9"/>
      <c r="E348" s="9"/>
      <c r="H348" s="10"/>
      <c r="I348" s="9"/>
      <c r="M348" s="10"/>
    </row>
    <row r="349" spans="1:13" ht="15.75" customHeight="1" x14ac:dyDescent="0.25">
      <c r="A349" s="83">
        <v>141686</v>
      </c>
      <c r="B349" s="103" t="s">
        <v>820</v>
      </c>
      <c r="C349" s="103" t="s">
        <v>470</v>
      </c>
      <c r="D349" s="9"/>
      <c r="E349" s="9"/>
      <c r="H349" s="10"/>
      <c r="I349" s="9"/>
      <c r="M349" s="10"/>
    </row>
    <row r="350" spans="1:13" ht="15.75" customHeight="1" x14ac:dyDescent="0.25">
      <c r="A350" s="83">
        <v>128829</v>
      </c>
      <c r="B350" s="103" t="s">
        <v>821</v>
      </c>
      <c r="C350" s="103" t="s">
        <v>343</v>
      </c>
      <c r="D350" s="9"/>
      <c r="E350" s="9"/>
      <c r="H350" s="10"/>
      <c r="I350" s="9"/>
      <c r="M350" s="10"/>
    </row>
    <row r="351" spans="1:13" ht="15.75" customHeight="1" x14ac:dyDescent="0.25">
      <c r="A351" s="83">
        <v>20479</v>
      </c>
      <c r="B351" s="103" t="s">
        <v>822</v>
      </c>
      <c r="C351" s="103" t="s">
        <v>823</v>
      </c>
      <c r="D351" s="9"/>
      <c r="E351" s="9"/>
      <c r="H351" s="10"/>
      <c r="I351" s="9"/>
      <c r="M351" s="10"/>
    </row>
    <row r="352" spans="1:13" ht="15.75" customHeight="1" x14ac:dyDescent="0.25">
      <c r="A352" s="83">
        <v>20952</v>
      </c>
      <c r="B352" s="103" t="s">
        <v>824</v>
      </c>
      <c r="C352" s="103" t="s">
        <v>825</v>
      </c>
      <c r="D352" s="9"/>
      <c r="E352" s="9"/>
      <c r="H352" s="10"/>
      <c r="I352" s="9"/>
      <c r="M352" s="10"/>
    </row>
    <row r="353" spans="1:13" ht="15.75" customHeight="1" x14ac:dyDescent="0.25">
      <c r="A353" s="83">
        <v>129568</v>
      </c>
      <c r="B353" s="103" t="s">
        <v>826</v>
      </c>
      <c r="C353" s="103" t="s">
        <v>827</v>
      </c>
      <c r="D353" s="9"/>
      <c r="E353" s="9"/>
      <c r="H353" s="10"/>
      <c r="I353" s="9"/>
      <c r="M353" s="10"/>
    </row>
    <row r="354" spans="1:13" ht="15.75" customHeight="1" x14ac:dyDescent="0.25">
      <c r="A354" s="83">
        <v>26086</v>
      </c>
      <c r="B354" s="103" t="s">
        <v>799</v>
      </c>
      <c r="C354" s="103" t="s">
        <v>828</v>
      </c>
      <c r="D354" s="9"/>
      <c r="E354" s="9"/>
      <c r="H354" s="10"/>
      <c r="I354" s="9"/>
      <c r="M354" s="10"/>
    </row>
    <row r="355" spans="1:13" ht="15.75" customHeight="1" x14ac:dyDescent="0.25">
      <c r="A355" s="83">
        <v>21063</v>
      </c>
      <c r="B355" s="103" t="s">
        <v>829</v>
      </c>
      <c r="C355" s="103" t="s">
        <v>830</v>
      </c>
      <c r="D355" s="9"/>
      <c r="E355" s="9"/>
      <c r="H355" s="10"/>
      <c r="I355" s="9"/>
      <c r="M355" s="10"/>
    </row>
    <row r="356" spans="1:13" ht="15.75" customHeight="1" x14ac:dyDescent="0.25">
      <c r="A356" s="83">
        <v>22217</v>
      </c>
      <c r="B356" s="103" t="s">
        <v>831</v>
      </c>
      <c r="C356" s="103" t="s">
        <v>538</v>
      </c>
      <c r="D356" s="9"/>
      <c r="E356" s="9"/>
      <c r="H356" s="10"/>
      <c r="I356" s="9"/>
      <c r="M356" s="10"/>
    </row>
    <row r="357" spans="1:13" ht="15.75" customHeight="1" x14ac:dyDescent="0.25">
      <c r="A357" s="83">
        <v>132186</v>
      </c>
      <c r="B357" s="103" t="s">
        <v>832</v>
      </c>
      <c r="C357" s="103" t="s">
        <v>833</v>
      </c>
      <c r="D357" s="9"/>
      <c r="E357" s="9"/>
      <c r="H357" s="10"/>
      <c r="I357" s="9"/>
      <c r="M357" s="10"/>
    </row>
    <row r="358" spans="1:13" ht="15.75" customHeight="1" x14ac:dyDescent="0.25">
      <c r="A358" s="83">
        <v>21615</v>
      </c>
      <c r="B358" s="103" t="s">
        <v>834</v>
      </c>
      <c r="C358" s="103" t="s">
        <v>835</v>
      </c>
      <c r="D358" s="9"/>
      <c r="E358" s="9"/>
      <c r="H358" s="10"/>
      <c r="I358" s="9"/>
      <c r="M358" s="10"/>
    </row>
    <row r="359" spans="1:13" ht="15.75" customHeight="1" x14ac:dyDescent="0.25">
      <c r="A359" s="83">
        <v>20546</v>
      </c>
      <c r="B359" s="103" t="s">
        <v>836</v>
      </c>
      <c r="C359" s="103" t="s">
        <v>837</v>
      </c>
      <c r="D359" s="9"/>
      <c r="E359" s="9"/>
      <c r="H359" s="10"/>
      <c r="I359" s="9"/>
      <c r="M359" s="10"/>
    </row>
    <row r="360" spans="1:13" ht="15.75" customHeight="1" x14ac:dyDescent="0.25">
      <c r="A360" s="83">
        <v>31092</v>
      </c>
      <c r="B360" s="103" t="s">
        <v>782</v>
      </c>
      <c r="C360" s="103" t="s">
        <v>838</v>
      </c>
      <c r="D360" s="9"/>
      <c r="E360" s="9"/>
      <c r="H360" s="10"/>
      <c r="I360" s="9"/>
      <c r="M360" s="10"/>
    </row>
    <row r="361" spans="1:13" ht="15.75" customHeight="1" x14ac:dyDescent="0.25">
      <c r="A361" s="83">
        <v>126215</v>
      </c>
      <c r="B361" s="103" t="s">
        <v>821</v>
      </c>
      <c r="C361" s="103" t="s">
        <v>636</v>
      </c>
      <c r="D361" s="9"/>
      <c r="E361" s="9"/>
      <c r="H361" s="10"/>
      <c r="I361" s="9"/>
      <c r="M361" s="10"/>
    </row>
    <row r="362" spans="1:13" ht="15.75" customHeight="1" x14ac:dyDescent="0.25">
      <c r="A362" s="83">
        <v>124244</v>
      </c>
      <c r="B362" s="103" t="s">
        <v>782</v>
      </c>
      <c r="C362" s="103" t="s">
        <v>839</v>
      </c>
      <c r="D362" s="9"/>
      <c r="E362" s="9"/>
      <c r="H362" s="10"/>
      <c r="I362" s="9"/>
      <c r="M362" s="10"/>
    </row>
    <row r="363" spans="1:13" ht="15.75" customHeight="1" x14ac:dyDescent="0.25">
      <c r="A363" s="83">
        <v>124780</v>
      </c>
      <c r="B363" s="103" t="s">
        <v>840</v>
      </c>
      <c r="C363" s="103" t="s">
        <v>841</v>
      </c>
      <c r="D363" s="9"/>
      <c r="E363" s="9"/>
      <c r="H363" s="10"/>
      <c r="I363" s="9"/>
      <c r="M363" s="10"/>
    </row>
    <row r="364" spans="1:13" ht="15.75" customHeight="1" x14ac:dyDescent="0.25">
      <c r="A364" s="83">
        <v>21756</v>
      </c>
      <c r="B364" s="103" t="s">
        <v>842</v>
      </c>
      <c r="C364" s="103" t="s">
        <v>843</v>
      </c>
      <c r="D364" s="9"/>
      <c r="E364" s="9"/>
      <c r="H364" s="10"/>
      <c r="I364" s="9"/>
      <c r="M364" s="10"/>
    </row>
    <row r="365" spans="1:13" ht="15.75" customHeight="1" x14ac:dyDescent="0.25">
      <c r="A365" s="83">
        <v>121041</v>
      </c>
      <c r="B365" s="103" t="s">
        <v>788</v>
      </c>
      <c r="C365" s="103" t="s">
        <v>369</v>
      </c>
      <c r="D365" s="9"/>
      <c r="E365" s="9"/>
      <c r="H365" s="10"/>
      <c r="I365" s="9"/>
      <c r="M365" s="10"/>
    </row>
    <row r="366" spans="1:13" ht="15.75" customHeight="1" x14ac:dyDescent="0.25">
      <c r="A366" s="83">
        <v>25921</v>
      </c>
      <c r="B366" s="103" t="s">
        <v>844</v>
      </c>
      <c r="C366" s="103" t="s">
        <v>845</v>
      </c>
      <c r="D366" s="9"/>
      <c r="E366" s="9"/>
      <c r="H366" s="10"/>
      <c r="I366" s="9"/>
      <c r="M366" s="10"/>
    </row>
    <row r="367" spans="1:13" ht="15.75" customHeight="1" x14ac:dyDescent="0.25">
      <c r="A367" s="83">
        <v>128402</v>
      </c>
      <c r="B367" s="103" t="s">
        <v>846</v>
      </c>
      <c r="C367" s="103" t="s">
        <v>458</v>
      </c>
      <c r="D367" s="9"/>
      <c r="E367" s="9"/>
      <c r="H367" s="10"/>
      <c r="I367" s="9"/>
      <c r="M367" s="10"/>
    </row>
    <row r="368" spans="1:13" ht="15.75" customHeight="1" x14ac:dyDescent="0.25">
      <c r="A368" s="83">
        <v>94307</v>
      </c>
      <c r="B368" s="103" t="s">
        <v>821</v>
      </c>
      <c r="C368" s="103" t="s">
        <v>847</v>
      </c>
      <c r="D368" s="9"/>
      <c r="E368" s="9"/>
      <c r="H368" s="10"/>
      <c r="I368" s="9"/>
      <c r="M368" s="10"/>
    </row>
    <row r="369" spans="1:13" ht="15.75" customHeight="1" x14ac:dyDescent="0.25">
      <c r="A369" s="83">
        <v>130041</v>
      </c>
      <c r="B369" s="103" t="s">
        <v>842</v>
      </c>
      <c r="C369" s="103" t="s">
        <v>339</v>
      </c>
      <c r="D369" s="9"/>
      <c r="E369" s="9"/>
      <c r="H369" s="10"/>
      <c r="I369" s="9"/>
      <c r="M369" s="10"/>
    </row>
    <row r="370" spans="1:13" ht="15.75" customHeight="1" x14ac:dyDescent="0.25">
      <c r="A370" s="83">
        <v>121810</v>
      </c>
      <c r="B370" s="103" t="s">
        <v>848</v>
      </c>
      <c r="C370" s="103" t="s">
        <v>849</v>
      </c>
      <c r="D370" s="9"/>
      <c r="E370" s="9"/>
      <c r="H370" s="10"/>
      <c r="I370" s="9"/>
      <c r="M370" s="10"/>
    </row>
    <row r="371" spans="1:13" ht="15.75" customHeight="1" x14ac:dyDescent="0.25">
      <c r="A371" s="83">
        <v>21727</v>
      </c>
      <c r="B371" s="103" t="s">
        <v>327</v>
      </c>
      <c r="C371" s="103" t="s">
        <v>850</v>
      </c>
      <c r="D371" s="9"/>
      <c r="E371" s="9"/>
      <c r="H371" s="10"/>
      <c r="I371" s="9"/>
      <c r="M371" s="10"/>
    </row>
    <row r="372" spans="1:13" ht="15.75" customHeight="1" x14ac:dyDescent="0.25">
      <c r="A372" s="83">
        <v>26259</v>
      </c>
      <c r="B372" s="103" t="s">
        <v>851</v>
      </c>
      <c r="C372" s="103" t="s">
        <v>852</v>
      </c>
      <c r="D372" s="9"/>
      <c r="E372" s="9"/>
      <c r="H372" s="10"/>
      <c r="I372" s="9"/>
      <c r="M372" s="10"/>
    </row>
    <row r="373" spans="1:13" ht="15.75" customHeight="1" x14ac:dyDescent="0.25">
      <c r="A373" s="83">
        <v>26548</v>
      </c>
      <c r="B373" s="103" t="s">
        <v>853</v>
      </c>
      <c r="C373" s="103" t="s">
        <v>585</v>
      </c>
      <c r="D373" s="9"/>
      <c r="E373" s="9"/>
      <c r="H373" s="10"/>
      <c r="I373" s="9"/>
      <c r="M373" s="10"/>
    </row>
    <row r="374" spans="1:13" ht="15.75" customHeight="1" x14ac:dyDescent="0.25">
      <c r="A374" s="83">
        <v>123547</v>
      </c>
      <c r="B374" s="103" t="s">
        <v>854</v>
      </c>
      <c r="C374" s="103" t="s">
        <v>855</v>
      </c>
      <c r="D374" s="9"/>
      <c r="E374" s="9"/>
      <c r="H374" s="10"/>
      <c r="I374" s="9"/>
      <c r="M374" s="10"/>
    </row>
    <row r="375" spans="1:13" ht="15.75" customHeight="1" x14ac:dyDescent="0.25">
      <c r="A375" s="83">
        <v>128519</v>
      </c>
      <c r="B375" s="103" t="s">
        <v>856</v>
      </c>
      <c r="C375" s="103" t="s">
        <v>857</v>
      </c>
      <c r="D375" s="9"/>
      <c r="E375" s="9"/>
      <c r="H375" s="10"/>
      <c r="I375" s="9"/>
      <c r="M375" s="10"/>
    </row>
    <row r="376" spans="1:13" ht="15.75" customHeight="1" x14ac:dyDescent="0.25">
      <c r="A376" s="83">
        <v>121892</v>
      </c>
      <c r="B376" s="103" t="s">
        <v>858</v>
      </c>
      <c r="C376" s="103" t="s">
        <v>585</v>
      </c>
      <c r="D376" s="9"/>
      <c r="E376" s="9"/>
      <c r="H376" s="10"/>
      <c r="I376" s="9"/>
      <c r="M376" s="10"/>
    </row>
    <row r="377" spans="1:13" ht="15.75" customHeight="1" x14ac:dyDescent="0.25">
      <c r="A377" s="83">
        <v>20427</v>
      </c>
      <c r="B377" s="103" t="s">
        <v>859</v>
      </c>
      <c r="C377" s="103" t="s">
        <v>860</v>
      </c>
      <c r="D377" s="9"/>
      <c r="E377" s="9"/>
      <c r="H377" s="10"/>
      <c r="I377" s="9"/>
      <c r="M377" s="10"/>
    </row>
    <row r="378" spans="1:13" ht="15.75" customHeight="1" x14ac:dyDescent="0.25">
      <c r="A378" s="83">
        <v>22515</v>
      </c>
      <c r="B378" s="103" t="s">
        <v>861</v>
      </c>
      <c r="C378" s="103" t="s">
        <v>862</v>
      </c>
      <c r="D378" s="9"/>
      <c r="E378" s="9"/>
      <c r="H378" s="10"/>
      <c r="I378" s="9"/>
      <c r="M378" s="10"/>
    </row>
    <row r="379" spans="1:13" ht="15.75" customHeight="1" x14ac:dyDescent="0.25">
      <c r="A379" s="83">
        <v>21021</v>
      </c>
      <c r="B379" s="103" t="s">
        <v>863</v>
      </c>
      <c r="C379" s="103" t="s">
        <v>513</v>
      </c>
      <c r="D379" s="9"/>
      <c r="E379" s="9"/>
      <c r="H379" s="10"/>
      <c r="I379" s="9"/>
      <c r="M379" s="10"/>
    </row>
    <row r="380" spans="1:13" ht="15.75" customHeight="1" x14ac:dyDescent="0.25">
      <c r="A380" s="83">
        <v>24659</v>
      </c>
      <c r="B380" s="103" t="s">
        <v>864</v>
      </c>
      <c r="C380" s="103" t="s">
        <v>865</v>
      </c>
      <c r="D380" s="9"/>
      <c r="E380" s="9"/>
      <c r="H380" s="10"/>
      <c r="I380" s="9"/>
      <c r="M380" s="10"/>
    </row>
    <row r="381" spans="1:13" ht="15.75" customHeight="1" x14ac:dyDescent="0.25">
      <c r="A381" s="83">
        <v>20745</v>
      </c>
      <c r="B381" s="103" t="s">
        <v>854</v>
      </c>
      <c r="C381" s="103" t="s">
        <v>866</v>
      </c>
      <c r="D381" s="9"/>
      <c r="E381" s="9"/>
      <c r="H381" s="10"/>
      <c r="I381" s="9"/>
      <c r="M381" s="10"/>
    </row>
    <row r="382" spans="1:13" ht="15.75" customHeight="1" x14ac:dyDescent="0.25">
      <c r="A382" s="83">
        <v>131022</v>
      </c>
      <c r="B382" s="103" t="s">
        <v>867</v>
      </c>
      <c r="C382" s="103" t="s">
        <v>868</v>
      </c>
      <c r="D382" s="9"/>
      <c r="E382" s="9"/>
      <c r="H382" s="10"/>
      <c r="I382" s="9"/>
      <c r="M382" s="10"/>
    </row>
    <row r="383" spans="1:13" ht="15.75" customHeight="1" x14ac:dyDescent="0.25">
      <c r="A383" s="83">
        <v>20766</v>
      </c>
      <c r="B383" s="103" t="s">
        <v>854</v>
      </c>
      <c r="C383" s="103" t="s">
        <v>717</v>
      </c>
      <c r="D383" s="9"/>
      <c r="E383" s="9"/>
      <c r="H383" s="10"/>
      <c r="I383" s="9"/>
      <c r="M383" s="10"/>
    </row>
    <row r="384" spans="1:13" ht="15.75" customHeight="1" x14ac:dyDescent="0.25">
      <c r="A384" s="83">
        <v>20477</v>
      </c>
      <c r="B384" s="103" t="s">
        <v>869</v>
      </c>
      <c r="C384" s="103" t="s">
        <v>870</v>
      </c>
      <c r="D384" s="9"/>
      <c r="E384" s="9"/>
      <c r="H384" s="10"/>
      <c r="I384" s="9"/>
      <c r="M384" s="10"/>
    </row>
    <row r="385" spans="1:13" ht="15.75" customHeight="1" x14ac:dyDescent="0.25">
      <c r="A385" s="83">
        <v>24859</v>
      </c>
      <c r="B385" s="103" t="s">
        <v>869</v>
      </c>
      <c r="C385" s="103" t="s">
        <v>871</v>
      </c>
      <c r="D385" s="9"/>
      <c r="E385" s="9"/>
      <c r="H385" s="10"/>
      <c r="I385" s="9"/>
      <c r="M385" s="10"/>
    </row>
    <row r="386" spans="1:13" ht="15.75" customHeight="1" x14ac:dyDescent="0.25">
      <c r="A386" s="83">
        <v>127508</v>
      </c>
      <c r="B386" s="103" t="s">
        <v>844</v>
      </c>
      <c r="C386" s="103" t="s">
        <v>454</v>
      </c>
      <c r="D386" s="9"/>
      <c r="E386" s="9"/>
      <c r="H386" s="10"/>
      <c r="I386" s="9"/>
      <c r="M386" s="10"/>
    </row>
    <row r="387" spans="1:13" ht="15.75" customHeight="1" x14ac:dyDescent="0.25">
      <c r="A387" s="83">
        <v>21878</v>
      </c>
      <c r="B387" s="103" t="s">
        <v>872</v>
      </c>
      <c r="C387" s="103" t="s">
        <v>873</v>
      </c>
      <c r="D387" s="9"/>
      <c r="E387" s="9"/>
      <c r="H387" s="10"/>
      <c r="I387" s="9"/>
      <c r="M387" s="10"/>
    </row>
    <row r="388" spans="1:13" ht="15.75" customHeight="1" x14ac:dyDescent="0.25">
      <c r="A388" s="83">
        <v>125093</v>
      </c>
      <c r="B388" s="103" t="s">
        <v>854</v>
      </c>
      <c r="C388" s="103" t="s">
        <v>874</v>
      </c>
      <c r="D388" s="9"/>
      <c r="E388" s="9"/>
      <c r="H388" s="10"/>
      <c r="I388" s="9"/>
      <c r="M388" s="10"/>
    </row>
    <row r="389" spans="1:13" ht="15.75" customHeight="1" x14ac:dyDescent="0.25">
      <c r="A389" s="83">
        <v>21145</v>
      </c>
      <c r="B389" s="103" t="s">
        <v>875</v>
      </c>
      <c r="C389" s="103" t="s">
        <v>489</v>
      </c>
      <c r="D389" s="9"/>
      <c r="E389" s="9"/>
      <c r="H389" s="10"/>
      <c r="I389" s="9"/>
      <c r="M389" s="10"/>
    </row>
    <row r="390" spans="1:13" ht="15.75" customHeight="1" x14ac:dyDescent="0.25">
      <c r="A390" s="83">
        <v>20942</v>
      </c>
      <c r="B390" s="103" t="s">
        <v>876</v>
      </c>
      <c r="C390" s="103" t="s">
        <v>406</v>
      </c>
      <c r="D390" s="9"/>
      <c r="E390" s="9"/>
      <c r="H390" s="10"/>
      <c r="I390" s="9"/>
      <c r="M390" s="10"/>
    </row>
    <row r="391" spans="1:13" ht="15.75" customHeight="1" x14ac:dyDescent="0.25">
      <c r="A391" s="83">
        <v>20763</v>
      </c>
      <c r="B391" s="103" t="s">
        <v>875</v>
      </c>
      <c r="C391" s="103" t="s">
        <v>339</v>
      </c>
      <c r="D391" s="9"/>
      <c r="E391" s="9"/>
      <c r="H391" s="10"/>
      <c r="I391" s="9"/>
      <c r="M391" s="10"/>
    </row>
    <row r="392" spans="1:13" ht="15.75" customHeight="1" x14ac:dyDescent="0.25">
      <c r="A392" s="83">
        <v>20433</v>
      </c>
      <c r="B392" s="103" t="s">
        <v>844</v>
      </c>
      <c r="C392" s="103" t="s">
        <v>343</v>
      </c>
      <c r="D392" s="9"/>
      <c r="E392" s="9"/>
      <c r="H392" s="10"/>
      <c r="I392" s="9"/>
      <c r="M392" s="10"/>
    </row>
    <row r="393" spans="1:13" ht="15.75" customHeight="1" x14ac:dyDescent="0.25">
      <c r="A393" s="83">
        <v>26565</v>
      </c>
      <c r="B393" s="103" t="s">
        <v>863</v>
      </c>
      <c r="C393" s="103" t="s">
        <v>600</v>
      </c>
      <c r="D393" s="9"/>
      <c r="E393" s="9"/>
      <c r="H393" s="10"/>
      <c r="I393" s="9"/>
      <c r="M393" s="10"/>
    </row>
    <row r="394" spans="1:13" ht="15.75" customHeight="1" x14ac:dyDescent="0.25">
      <c r="A394" s="83">
        <v>22357</v>
      </c>
      <c r="B394" s="103" t="s">
        <v>877</v>
      </c>
      <c r="C394" s="103" t="s">
        <v>878</v>
      </c>
      <c r="D394" s="9"/>
      <c r="E394" s="9"/>
      <c r="H394" s="10"/>
      <c r="I394" s="9"/>
      <c r="M394" s="10"/>
    </row>
    <row r="395" spans="1:13" ht="15.75" customHeight="1" x14ac:dyDescent="0.25">
      <c r="A395" s="83">
        <v>22047</v>
      </c>
      <c r="B395" s="103" t="s">
        <v>854</v>
      </c>
      <c r="C395" s="103" t="s">
        <v>879</v>
      </c>
      <c r="D395" s="9"/>
      <c r="E395" s="9"/>
      <c r="H395" s="10"/>
      <c r="I395" s="9"/>
      <c r="M395" s="10"/>
    </row>
    <row r="396" spans="1:13" ht="15.75" customHeight="1" x14ac:dyDescent="0.25">
      <c r="A396" s="83">
        <v>39151</v>
      </c>
      <c r="B396" s="103" t="s">
        <v>854</v>
      </c>
      <c r="C396" s="103" t="s">
        <v>880</v>
      </c>
      <c r="D396" s="9"/>
      <c r="E396" s="9"/>
      <c r="H396" s="10"/>
      <c r="I396" s="9"/>
      <c r="M396" s="10"/>
    </row>
    <row r="397" spans="1:13" ht="15.75" customHeight="1" x14ac:dyDescent="0.25">
      <c r="A397" s="83">
        <v>21080</v>
      </c>
      <c r="B397" s="103" t="s">
        <v>842</v>
      </c>
      <c r="C397" s="103" t="s">
        <v>497</v>
      </c>
      <c r="D397" s="9"/>
      <c r="E397" s="9"/>
      <c r="H397" s="10"/>
      <c r="I397" s="9"/>
      <c r="M397" s="10"/>
    </row>
    <row r="398" spans="1:13" ht="15.75" customHeight="1" x14ac:dyDescent="0.25">
      <c r="A398" s="83">
        <v>21251</v>
      </c>
      <c r="B398" s="103" t="s">
        <v>881</v>
      </c>
      <c r="C398" s="103" t="s">
        <v>882</v>
      </c>
      <c r="D398" s="9"/>
      <c r="E398" s="9"/>
      <c r="H398" s="10"/>
      <c r="I398" s="9"/>
      <c r="M398" s="10"/>
    </row>
    <row r="399" spans="1:13" ht="15.75" customHeight="1" x14ac:dyDescent="0.25">
      <c r="A399" s="83">
        <v>22905</v>
      </c>
      <c r="B399" s="103" t="s">
        <v>883</v>
      </c>
      <c r="C399" s="103" t="s">
        <v>884</v>
      </c>
      <c r="D399" s="9"/>
      <c r="E399" s="9"/>
      <c r="H399" s="10"/>
      <c r="I399" s="9"/>
      <c r="M399" s="10"/>
    </row>
    <row r="400" spans="1:13" ht="15.75" customHeight="1" x14ac:dyDescent="0.25">
      <c r="A400" s="83">
        <v>25711</v>
      </c>
      <c r="B400" s="103" t="s">
        <v>885</v>
      </c>
      <c r="C400" s="103" t="s">
        <v>886</v>
      </c>
      <c r="D400" s="9"/>
      <c r="E400" s="9"/>
      <c r="H400" s="10"/>
      <c r="I400" s="9"/>
      <c r="M400" s="10"/>
    </row>
    <row r="401" spans="1:13" ht="15.75" customHeight="1" x14ac:dyDescent="0.25">
      <c r="A401" s="83">
        <v>129528</v>
      </c>
      <c r="B401" s="103" t="s">
        <v>854</v>
      </c>
      <c r="C401" s="103" t="s">
        <v>887</v>
      </c>
      <c r="D401" s="9"/>
      <c r="E401" s="9"/>
      <c r="H401" s="10"/>
      <c r="I401" s="9"/>
      <c r="M401" s="10"/>
    </row>
    <row r="402" spans="1:13" ht="15.75" customHeight="1" x14ac:dyDescent="0.25">
      <c r="A402" s="83">
        <v>131440</v>
      </c>
      <c r="B402" s="103" t="s">
        <v>888</v>
      </c>
      <c r="C402" s="103" t="s">
        <v>425</v>
      </c>
      <c r="D402" s="9"/>
      <c r="E402" s="9"/>
      <c r="H402" s="10"/>
      <c r="I402" s="9"/>
      <c r="M402" s="10"/>
    </row>
    <row r="403" spans="1:13" ht="15.75" customHeight="1" x14ac:dyDescent="0.25">
      <c r="A403" s="83">
        <v>24012</v>
      </c>
      <c r="B403" s="103" t="s">
        <v>889</v>
      </c>
      <c r="C403" s="103" t="s">
        <v>890</v>
      </c>
      <c r="D403" s="9"/>
      <c r="E403" s="9"/>
      <c r="H403" s="10"/>
      <c r="I403" s="9"/>
      <c r="M403" s="10"/>
    </row>
    <row r="404" spans="1:13" ht="15.75" customHeight="1" x14ac:dyDescent="0.25">
      <c r="A404" s="83">
        <v>21820</v>
      </c>
      <c r="B404" s="103" t="s">
        <v>875</v>
      </c>
      <c r="C404" s="103" t="s">
        <v>891</v>
      </c>
      <c r="D404" s="9"/>
      <c r="E404" s="9"/>
      <c r="H404" s="10"/>
      <c r="I404" s="9"/>
      <c r="M404" s="10"/>
    </row>
    <row r="405" spans="1:13" ht="15.75" customHeight="1" x14ac:dyDescent="0.25">
      <c r="A405" s="83">
        <v>25461</v>
      </c>
      <c r="B405" s="103" t="s">
        <v>892</v>
      </c>
      <c r="C405" s="103" t="s">
        <v>893</v>
      </c>
      <c r="D405" s="9"/>
      <c r="E405" s="9"/>
      <c r="H405" s="10"/>
      <c r="I405" s="9"/>
      <c r="M405" s="10"/>
    </row>
    <row r="406" spans="1:13" ht="15.75" customHeight="1" x14ac:dyDescent="0.25">
      <c r="A406" s="83">
        <v>126732</v>
      </c>
      <c r="B406" s="103" t="s">
        <v>875</v>
      </c>
      <c r="C406" s="103" t="s">
        <v>891</v>
      </c>
      <c r="D406" s="9"/>
      <c r="E406" s="9"/>
      <c r="H406" s="10"/>
      <c r="I406" s="9"/>
      <c r="M406" s="10"/>
    </row>
    <row r="407" spans="1:13" ht="15.75" customHeight="1" x14ac:dyDescent="0.25">
      <c r="A407" s="83">
        <v>27664</v>
      </c>
      <c r="B407" s="103" t="s">
        <v>894</v>
      </c>
      <c r="C407" s="103" t="s">
        <v>422</v>
      </c>
      <c r="D407" s="9"/>
      <c r="E407" s="9"/>
      <c r="H407" s="10"/>
      <c r="I407" s="9"/>
      <c r="M407" s="10"/>
    </row>
    <row r="408" spans="1:13" ht="15.75" customHeight="1" x14ac:dyDescent="0.25">
      <c r="A408" s="83">
        <v>133138</v>
      </c>
      <c r="B408" s="103" t="s">
        <v>892</v>
      </c>
      <c r="C408" s="103" t="s">
        <v>895</v>
      </c>
      <c r="D408" s="9"/>
      <c r="E408" s="9"/>
      <c r="H408" s="10"/>
      <c r="I408" s="9"/>
      <c r="M408" s="10"/>
    </row>
    <row r="409" spans="1:13" ht="15.75" customHeight="1" x14ac:dyDescent="0.25">
      <c r="A409" s="83">
        <v>122734</v>
      </c>
      <c r="B409" s="103" t="s">
        <v>896</v>
      </c>
      <c r="C409" s="103" t="s">
        <v>897</v>
      </c>
      <c r="D409" s="9"/>
      <c r="E409" s="9"/>
      <c r="H409" s="10"/>
      <c r="I409" s="9"/>
      <c r="M409" s="10"/>
    </row>
    <row r="410" spans="1:13" ht="15.75" customHeight="1" x14ac:dyDescent="0.25">
      <c r="A410" s="83">
        <v>22167</v>
      </c>
      <c r="B410" s="103" t="s">
        <v>898</v>
      </c>
      <c r="C410" s="103" t="s">
        <v>756</v>
      </c>
      <c r="D410" s="9"/>
      <c r="E410" s="9"/>
      <c r="H410" s="10"/>
      <c r="I410" s="9"/>
      <c r="M410" s="10"/>
    </row>
    <row r="411" spans="1:13" ht="15.75" customHeight="1" x14ac:dyDescent="0.25">
      <c r="A411" s="83">
        <v>26642</v>
      </c>
      <c r="B411" s="103" t="s">
        <v>899</v>
      </c>
      <c r="C411" s="103" t="s">
        <v>868</v>
      </c>
      <c r="D411" s="9"/>
      <c r="E411" s="9"/>
      <c r="H411" s="10"/>
      <c r="I411" s="9"/>
      <c r="M411" s="10"/>
    </row>
    <row r="412" spans="1:13" ht="15.75" customHeight="1" x14ac:dyDescent="0.25">
      <c r="A412" s="83">
        <v>138213</v>
      </c>
      <c r="B412" s="103" t="s">
        <v>900</v>
      </c>
      <c r="C412" s="103" t="s">
        <v>901</v>
      </c>
      <c r="D412" s="9"/>
      <c r="E412" s="9"/>
      <c r="H412" s="10"/>
      <c r="I412" s="9"/>
      <c r="M412" s="10"/>
    </row>
    <row r="413" spans="1:13" ht="15.75" customHeight="1" x14ac:dyDescent="0.25">
      <c r="A413" s="83">
        <v>126676</v>
      </c>
      <c r="B413" s="103" t="s">
        <v>898</v>
      </c>
      <c r="C413" s="103" t="s">
        <v>489</v>
      </c>
      <c r="D413" s="9"/>
      <c r="E413" s="9"/>
      <c r="H413" s="10"/>
      <c r="I413" s="9"/>
      <c r="M413" s="10"/>
    </row>
    <row r="414" spans="1:13" ht="15.75" customHeight="1" x14ac:dyDescent="0.25">
      <c r="A414" s="83">
        <v>129168</v>
      </c>
      <c r="B414" s="103" t="s">
        <v>902</v>
      </c>
      <c r="C414" s="103" t="s">
        <v>339</v>
      </c>
      <c r="D414" s="9"/>
      <c r="E414" s="9"/>
      <c r="H414" s="10"/>
      <c r="I414" s="9"/>
      <c r="M414" s="10"/>
    </row>
    <row r="415" spans="1:13" ht="15.75" customHeight="1" x14ac:dyDescent="0.25">
      <c r="A415" s="83">
        <v>121576</v>
      </c>
      <c r="B415" s="103" t="s">
        <v>898</v>
      </c>
      <c r="C415" s="103" t="s">
        <v>903</v>
      </c>
      <c r="D415" s="9"/>
      <c r="E415" s="9"/>
      <c r="H415" s="10"/>
      <c r="I415" s="9"/>
      <c r="M415" s="10"/>
    </row>
    <row r="416" spans="1:13" ht="15.75" customHeight="1" x14ac:dyDescent="0.25">
      <c r="A416" s="83">
        <v>21346</v>
      </c>
      <c r="B416" s="103" t="s">
        <v>904</v>
      </c>
      <c r="C416" s="103" t="s">
        <v>905</v>
      </c>
      <c r="D416" s="9"/>
      <c r="E416" s="9"/>
      <c r="H416" s="10"/>
      <c r="I416" s="9"/>
      <c r="M416" s="10"/>
    </row>
    <row r="417" spans="1:13" ht="15.75" customHeight="1" x14ac:dyDescent="0.25">
      <c r="A417" s="83">
        <v>128641</v>
      </c>
      <c r="B417" s="103" t="s">
        <v>906</v>
      </c>
      <c r="C417" s="103" t="s">
        <v>907</v>
      </c>
      <c r="D417" s="9"/>
      <c r="E417" s="9"/>
      <c r="H417" s="10"/>
      <c r="I417" s="9"/>
      <c r="M417" s="10"/>
    </row>
    <row r="418" spans="1:13" ht="15.75" customHeight="1" x14ac:dyDescent="0.25">
      <c r="A418" s="83">
        <v>94442</v>
      </c>
      <c r="B418" s="103" t="s">
        <v>908</v>
      </c>
      <c r="C418" s="103" t="s">
        <v>884</v>
      </c>
      <c r="D418" s="9"/>
      <c r="E418" s="9"/>
      <c r="H418" s="10"/>
      <c r="I418" s="9"/>
      <c r="M418" s="10"/>
    </row>
    <row r="419" spans="1:13" ht="15.75" customHeight="1" x14ac:dyDescent="0.25">
      <c r="A419" s="83">
        <v>21427</v>
      </c>
      <c r="B419" s="103" t="s">
        <v>909</v>
      </c>
      <c r="C419" s="103" t="s">
        <v>354</v>
      </c>
      <c r="D419" s="9"/>
      <c r="E419" s="9"/>
      <c r="H419" s="10"/>
      <c r="I419" s="9"/>
      <c r="M419" s="10"/>
    </row>
    <row r="420" spans="1:13" ht="15.75" customHeight="1" x14ac:dyDescent="0.25">
      <c r="A420" s="83">
        <v>140105</v>
      </c>
      <c r="B420" s="103" t="s">
        <v>898</v>
      </c>
      <c r="C420" s="103" t="s">
        <v>339</v>
      </c>
      <c r="D420" s="9"/>
      <c r="E420" s="9"/>
      <c r="H420" s="10"/>
      <c r="I420" s="9"/>
      <c r="M420" s="10"/>
    </row>
    <row r="421" spans="1:13" ht="15.75" customHeight="1" x14ac:dyDescent="0.25">
      <c r="A421" s="83">
        <v>123382</v>
      </c>
      <c r="B421" s="103" t="s">
        <v>898</v>
      </c>
      <c r="C421" s="103" t="s">
        <v>910</v>
      </c>
      <c r="D421" s="9"/>
      <c r="E421" s="9"/>
      <c r="H421" s="10"/>
      <c r="I421" s="9"/>
      <c r="M421" s="10"/>
    </row>
    <row r="422" spans="1:13" ht="15.75" customHeight="1" x14ac:dyDescent="0.25">
      <c r="A422" s="83">
        <v>125910</v>
      </c>
      <c r="B422" s="103" t="s">
        <v>898</v>
      </c>
      <c r="C422" s="103" t="s">
        <v>454</v>
      </c>
      <c r="D422" s="9"/>
      <c r="E422" s="9"/>
      <c r="H422" s="10"/>
      <c r="I422" s="9"/>
      <c r="M422" s="10"/>
    </row>
    <row r="423" spans="1:13" ht="15.75" customHeight="1" x14ac:dyDescent="0.25">
      <c r="A423" s="83">
        <v>117259</v>
      </c>
      <c r="B423" s="103" t="s">
        <v>911</v>
      </c>
      <c r="C423" s="103" t="s">
        <v>912</v>
      </c>
      <c r="D423" s="9"/>
      <c r="E423" s="9"/>
      <c r="H423" s="10"/>
      <c r="I423" s="9"/>
      <c r="M423" s="10"/>
    </row>
    <row r="424" spans="1:13" ht="15.75" customHeight="1" x14ac:dyDescent="0.25">
      <c r="A424" s="83">
        <v>23332</v>
      </c>
      <c r="B424" s="103" t="s">
        <v>898</v>
      </c>
      <c r="C424" s="103" t="s">
        <v>913</v>
      </c>
      <c r="D424" s="9"/>
      <c r="E424" s="9"/>
      <c r="H424" s="10"/>
      <c r="I424" s="9"/>
      <c r="M424" s="10"/>
    </row>
    <row r="425" spans="1:13" ht="15.75" customHeight="1" x14ac:dyDescent="0.25">
      <c r="A425" s="83">
        <v>121357</v>
      </c>
      <c r="B425" s="103" t="s">
        <v>898</v>
      </c>
      <c r="C425" s="103" t="s">
        <v>914</v>
      </c>
      <c r="D425" s="9"/>
      <c r="E425" s="9"/>
      <c r="H425" s="10"/>
      <c r="I425" s="9"/>
      <c r="M425" s="10"/>
    </row>
    <row r="426" spans="1:13" ht="15.75" customHeight="1" x14ac:dyDescent="0.25">
      <c r="A426" s="83">
        <v>134724</v>
      </c>
      <c r="B426" s="103" t="s">
        <v>915</v>
      </c>
      <c r="C426" s="103" t="s">
        <v>916</v>
      </c>
      <c r="D426" s="9"/>
      <c r="E426" s="9"/>
      <c r="H426" s="10"/>
      <c r="I426" s="9"/>
      <c r="M426" s="10"/>
    </row>
    <row r="427" spans="1:13" ht="15.75" customHeight="1" x14ac:dyDescent="0.25">
      <c r="A427" s="83">
        <v>24986</v>
      </c>
      <c r="B427" s="103" t="s">
        <v>917</v>
      </c>
      <c r="C427" s="103" t="s">
        <v>918</v>
      </c>
      <c r="D427" s="9"/>
      <c r="E427" s="9"/>
      <c r="H427" s="10"/>
      <c r="I427" s="9"/>
      <c r="M427" s="10"/>
    </row>
    <row r="428" spans="1:13" ht="15.75" customHeight="1" x14ac:dyDescent="0.25">
      <c r="A428" s="83">
        <v>21134</v>
      </c>
      <c r="B428" s="103" t="s">
        <v>898</v>
      </c>
      <c r="C428" s="103" t="s">
        <v>919</v>
      </c>
      <c r="D428" s="9"/>
      <c r="E428" s="9"/>
      <c r="H428" s="10"/>
      <c r="I428" s="9"/>
      <c r="M428" s="10"/>
    </row>
    <row r="429" spans="1:13" ht="15.75" customHeight="1" x14ac:dyDescent="0.25">
      <c r="A429" s="83">
        <v>133911</v>
      </c>
      <c r="B429" s="103" t="s">
        <v>920</v>
      </c>
      <c r="C429" s="103" t="s">
        <v>921</v>
      </c>
      <c r="D429" s="9"/>
      <c r="E429" s="9"/>
      <c r="H429" s="10"/>
      <c r="I429" s="9"/>
      <c r="M429" s="10"/>
    </row>
    <row r="430" spans="1:13" ht="15.75" customHeight="1" x14ac:dyDescent="0.25">
      <c r="A430" s="83">
        <v>122645</v>
      </c>
      <c r="B430" s="103" t="s">
        <v>894</v>
      </c>
      <c r="C430" s="103" t="s">
        <v>922</v>
      </c>
      <c r="D430" s="9"/>
      <c r="E430" s="9"/>
      <c r="H430" s="10"/>
      <c r="I430" s="9"/>
      <c r="M430" s="10"/>
    </row>
    <row r="431" spans="1:13" ht="15.75" customHeight="1" x14ac:dyDescent="0.25">
      <c r="A431" s="83">
        <v>126056</v>
      </c>
      <c r="B431" s="103" t="s">
        <v>902</v>
      </c>
      <c r="C431" s="103" t="s">
        <v>416</v>
      </c>
      <c r="D431" s="9"/>
      <c r="E431" s="9"/>
      <c r="H431" s="10"/>
      <c r="I431" s="9"/>
      <c r="M431" s="10"/>
    </row>
    <row r="432" spans="1:13" ht="15.75" customHeight="1" x14ac:dyDescent="0.25">
      <c r="A432" s="83">
        <v>22100</v>
      </c>
      <c r="B432" s="103" t="s">
        <v>908</v>
      </c>
      <c r="C432" s="103" t="s">
        <v>884</v>
      </c>
      <c r="D432" s="9"/>
      <c r="E432" s="9"/>
      <c r="H432" s="10"/>
      <c r="I432" s="9"/>
      <c r="M432" s="10"/>
    </row>
    <row r="433" spans="1:13" ht="15.75" customHeight="1" x14ac:dyDescent="0.25">
      <c r="A433" s="83">
        <v>121138</v>
      </c>
      <c r="B433" s="103" t="s">
        <v>898</v>
      </c>
      <c r="C433" s="103" t="s">
        <v>923</v>
      </c>
      <c r="D433" s="9"/>
      <c r="E433" s="9"/>
      <c r="H433" s="10"/>
      <c r="I433" s="9"/>
      <c r="M433" s="10"/>
    </row>
    <row r="434" spans="1:13" ht="15.75" customHeight="1" x14ac:dyDescent="0.25">
      <c r="A434" s="83">
        <v>121279</v>
      </c>
      <c r="B434" s="103" t="s">
        <v>892</v>
      </c>
      <c r="C434" s="103" t="s">
        <v>924</v>
      </c>
      <c r="D434" s="9"/>
      <c r="E434" s="9"/>
      <c r="H434" s="10"/>
      <c r="I434" s="9"/>
      <c r="M434" s="10"/>
    </row>
    <row r="435" spans="1:13" ht="15.75" customHeight="1" x14ac:dyDescent="0.25">
      <c r="A435" s="83">
        <v>24842</v>
      </c>
      <c r="B435" s="103" t="s">
        <v>925</v>
      </c>
      <c r="C435" s="103" t="s">
        <v>926</v>
      </c>
      <c r="D435" s="9"/>
      <c r="E435" s="9"/>
      <c r="H435" s="10"/>
      <c r="I435" s="9"/>
      <c r="M435" s="10"/>
    </row>
    <row r="436" spans="1:13" ht="15.75" customHeight="1" x14ac:dyDescent="0.25">
      <c r="A436" s="83">
        <v>47221</v>
      </c>
      <c r="B436" s="103" t="s">
        <v>920</v>
      </c>
      <c r="C436" s="103" t="s">
        <v>927</v>
      </c>
      <c r="D436" s="9"/>
      <c r="E436" s="9"/>
      <c r="H436" s="10"/>
      <c r="I436" s="9"/>
      <c r="M436" s="10"/>
    </row>
    <row r="437" spans="1:13" ht="15.75" customHeight="1" x14ac:dyDescent="0.25">
      <c r="A437" s="83">
        <v>131473</v>
      </c>
      <c r="B437" s="103" t="s">
        <v>896</v>
      </c>
      <c r="C437" s="103" t="s">
        <v>600</v>
      </c>
      <c r="D437" s="9"/>
      <c r="E437" s="9"/>
      <c r="H437" s="10"/>
      <c r="I437" s="9"/>
      <c r="M437" s="10"/>
    </row>
    <row r="438" spans="1:13" ht="15.75" customHeight="1" x14ac:dyDescent="0.25">
      <c r="A438" s="83">
        <v>26897</v>
      </c>
      <c r="B438" s="103" t="s">
        <v>902</v>
      </c>
      <c r="C438" s="103" t="s">
        <v>928</v>
      </c>
      <c r="D438" s="9"/>
      <c r="E438" s="9"/>
      <c r="H438" s="10"/>
      <c r="I438" s="9"/>
      <c r="M438" s="10"/>
    </row>
    <row r="439" spans="1:13" ht="15.75" customHeight="1" x14ac:dyDescent="0.25">
      <c r="A439" s="83">
        <v>137627</v>
      </c>
      <c r="B439" s="103" t="s">
        <v>898</v>
      </c>
      <c r="C439" s="103" t="s">
        <v>929</v>
      </c>
      <c r="D439" s="9"/>
      <c r="E439" s="9"/>
      <c r="H439" s="10"/>
      <c r="I439" s="9"/>
      <c r="M439" s="10"/>
    </row>
    <row r="440" spans="1:13" ht="15.75" customHeight="1" x14ac:dyDescent="0.25">
      <c r="A440" s="83">
        <v>130871</v>
      </c>
      <c r="B440" s="103" t="s">
        <v>898</v>
      </c>
      <c r="C440" s="103" t="s">
        <v>930</v>
      </c>
      <c r="D440" s="9"/>
      <c r="E440" s="9"/>
      <c r="H440" s="10"/>
      <c r="I440" s="9"/>
      <c r="M440" s="10"/>
    </row>
    <row r="441" spans="1:13" ht="15.75" customHeight="1" x14ac:dyDescent="0.25">
      <c r="A441" s="83">
        <v>20789</v>
      </c>
      <c r="B441" s="103" t="s">
        <v>931</v>
      </c>
      <c r="C441" s="103" t="s">
        <v>932</v>
      </c>
      <c r="D441" s="9"/>
      <c r="E441" s="9"/>
      <c r="H441" s="10"/>
      <c r="I441" s="9"/>
      <c r="M441" s="10"/>
    </row>
    <row r="442" spans="1:13" ht="15.75" customHeight="1" x14ac:dyDescent="0.25">
      <c r="A442" s="83">
        <v>131558</v>
      </c>
      <c r="B442" s="103" t="s">
        <v>908</v>
      </c>
      <c r="C442" s="103" t="s">
        <v>680</v>
      </c>
      <c r="D442" s="9"/>
      <c r="E442" s="9"/>
      <c r="H442" s="10"/>
      <c r="I442" s="9"/>
      <c r="M442" s="10"/>
    </row>
    <row r="443" spans="1:13" ht="15.75" customHeight="1" x14ac:dyDescent="0.25">
      <c r="A443" s="83">
        <v>94307</v>
      </c>
      <c r="B443" s="103" t="s">
        <v>933</v>
      </c>
      <c r="C443" s="103" t="s">
        <v>934</v>
      </c>
      <c r="D443" s="9"/>
      <c r="E443" s="9"/>
      <c r="H443" s="10"/>
      <c r="I443" s="9"/>
      <c r="M443" s="10"/>
    </row>
    <row r="444" spans="1:13" ht="15.75" customHeight="1" x14ac:dyDescent="0.25">
      <c r="A444" s="83">
        <v>140709</v>
      </c>
      <c r="B444" s="103" t="s">
        <v>933</v>
      </c>
      <c r="C444" s="103" t="s">
        <v>406</v>
      </c>
      <c r="D444" s="9"/>
      <c r="E444" s="9"/>
      <c r="H444" s="10"/>
      <c r="I444" s="9"/>
      <c r="M444" s="10"/>
    </row>
    <row r="445" spans="1:13" ht="15.75" customHeight="1" x14ac:dyDescent="0.25">
      <c r="A445" s="83">
        <v>123122</v>
      </c>
      <c r="B445" s="103" t="s">
        <v>917</v>
      </c>
      <c r="C445" s="103" t="s">
        <v>935</v>
      </c>
      <c r="D445" s="9"/>
      <c r="E445" s="9"/>
      <c r="H445" s="10"/>
      <c r="I445" s="9"/>
      <c r="M445" s="10"/>
    </row>
    <row r="446" spans="1:13" ht="15.75" customHeight="1" x14ac:dyDescent="0.25">
      <c r="A446" s="83">
        <v>22458</v>
      </c>
      <c r="B446" s="103" t="s">
        <v>936</v>
      </c>
      <c r="C446" s="103" t="s">
        <v>425</v>
      </c>
      <c r="D446" s="9"/>
      <c r="E446" s="9"/>
      <c r="H446" s="10"/>
      <c r="I446" s="9"/>
      <c r="M446" s="10"/>
    </row>
    <row r="447" spans="1:13" ht="15.75" customHeight="1" x14ac:dyDescent="0.25">
      <c r="A447" s="83">
        <v>93908</v>
      </c>
      <c r="B447" s="103" t="s">
        <v>933</v>
      </c>
      <c r="C447" s="103" t="s">
        <v>937</v>
      </c>
      <c r="D447" s="9"/>
      <c r="E447" s="9"/>
      <c r="H447" s="10"/>
      <c r="I447" s="9"/>
      <c r="M447" s="10"/>
    </row>
    <row r="448" spans="1:13" ht="15.75" customHeight="1" x14ac:dyDescent="0.25">
      <c r="A448" s="83">
        <v>125323</v>
      </c>
      <c r="B448" s="103" t="s">
        <v>938</v>
      </c>
      <c r="C448" s="103" t="s">
        <v>454</v>
      </c>
      <c r="D448" s="9"/>
      <c r="E448" s="9"/>
      <c r="H448" s="10"/>
      <c r="I448" s="9"/>
      <c r="M448" s="10"/>
    </row>
    <row r="449" spans="1:13" ht="15.75" customHeight="1" x14ac:dyDescent="0.25">
      <c r="A449" s="83">
        <v>136688</v>
      </c>
      <c r="B449" s="103" t="s">
        <v>939</v>
      </c>
      <c r="C449" s="103" t="s">
        <v>406</v>
      </c>
      <c r="D449" s="9"/>
      <c r="E449" s="9"/>
      <c r="H449" s="10"/>
      <c r="I449" s="9"/>
      <c r="M449" s="10"/>
    </row>
    <row r="450" spans="1:13" ht="15.75" customHeight="1" x14ac:dyDescent="0.25">
      <c r="A450" s="83">
        <v>128961</v>
      </c>
      <c r="B450" s="103" t="s">
        <v>940</v>
      </c>
      <c r="C450" s="103" t="s">
        <v>756</v>
      </c>
      <c r="D450" s="9"/>
      <c r="E450" s="9"/>
      <c r="H450" s="10"/>
      <c r="I450" s="9"/>
      <c r="M450" s="10"/>
    </row>
    <row r="451" spans="1:13" ht="15.75" customHeight="1" x14ac:dyDescent="0.25">
      <c r="A451" s="83">
        <v>20646</v>
      </c>
      <c r="B451" s="103" t="s">
        <v>941</v>
      </c>
      <c r="C451" s="103" t="s">
        <v>942</v>
      </c>
      <c r="D451" s="9"/>
      <c r="E451" s="9"/>
      <c r="H451" s="10"/>
      <c r="I451" s="9"/>
      <c r="M451" s="10"/>
    </row>
    <row r="452" spans="1:13" ht="15.75" customHeight="1" x14ac:dyDescent="0.25">
      <c r="A452" s="83">
        <v>42271</v>
      </c>
      <c r="B452" s="103" t="s">
        <v>943</v>
      </c>
      <c r="C452" s="103" t="s">
        <v>944</v>
      </c>
      <c r="D452" s="9"/>
      <c r="E452" s="9"/>
      <c r="H452" s="10"/>
      <c r="I452" s="9"/>
      <c r="M452" s="10"/>
    </row>
    <row r="453" spans="1:13" ht="15.75" customHeight="1" x14ac:dyDescent="0.25">
      <c r="A453" s="83">
        <v>22053</v>
      </c>
      <c r="B453" s="103" t="s">
        <v>945</v>
      </c>
      <c r="C453" s="103" t="s">
        <v>946</v>
      </c>
      <c r="D453" s="9"/>
      <c r="E453" s="9"/>
      <c r="H453" s="10"/>
      <c r="I453" s="9"/>
      <c r="M453" s="10"/>
    </row>
    <row r="454" spans="1:13" ht="15.75" customHeight="1" x14ac:dyDescent="0.25">
      <c r="A454" s="83">
        <v>26352</v>
      </c>
      <c r="B454" s="103" t="s">
        <v>947</v>
      </c>
      <c r="C454" s="103" t="s">
        <v>948</v>
      </c>
      <c r="D454" s="9"/>
      <c r="E454" s="9"/>
      <c r="H454" s="10"/>
      <c r="I454" s="9"/>
      <c r="M454" s="10"/>
    </row>
    <row r="455" spans="1:13" ht="15.75" customHeight="1" x14ac:dyDescent="0.25">
      <c r="A455" s="83">
        <v>27003</v>
      </c>
      <c r="B455" s="103" t="s">
        <v>949</v>
      </c>
      <c r="C455" s="103" t="s">
        <v>950</v>
      </c>
      <c r="D455" s="9"/>
      <c r="E455" s="9"/>
      <c r="H455" s="10"/>
      <c r="I455" s="9"/>
      <c r="M455" s="10"/>
    </row>
    <row r="456" spans="1:13" ht="15.75" customHeight="1" x14ac:dyDescent="0.25">
      <c r="A456" s="83">
        <v>129265</v>
      </c>
      <c r="B456" s="103" t="s">
        <v>933</v>
      </c>
      <c r="C456" s="103" t="s">
        <v>449</v>
      </c>
      <c r="D456" s="9"/>
      <c r="E456" s="9"/>
      <c r="H456" s="10"/>
      <c r="I456" s="9"/>
      <c r="M456" s="10"/>
    </row>
    <row r="457" spans="1:13" ht="15.75" customHeight="1" x14ac:dyDescent="0.25">
      <c r="A457" s="83">
        <v>22636</v>
      </c>
      <c r="B457" s="103" t="s">
        <v>951</v>
      </c>
      <c r="C457" s="103" t="s">
        <v>952</v>
      </c>
      <c r="D457" s="9"/>
      <c r="E457" s="9"/>
      <c r="H457" s="10"/>
      <c r="I457" s="9"/>
      <c r="M457" s="10"/>
    </row>
    <row r="458" spans="1:13" ht="15.75" customHeight="1" x14ac:dyDescent="0.25">
      <c r="A458" s="83">
        <v>20894</v>
      </c>
      <c r="B458" s="103" t="s">
        <v>949</v>
      </c>
      <c r="C458" s="103" t="s">
        <v>953</v>
      </c>
      <c r="D458" s="9"/>
      <c r="E458" s="9"/>
      <c r="H458" s="10"/>
      <c r="I458" s="9"/>
      <c r="M458" s="10"/>
    </row>
    <row r="459" spans="1:13" ht="15.75" customHeight="1" x14ac:dyDescent="0.25">
      <c r="A459" s="83">
        <v>20571</v>
      </c>
      <c r="B459" s="103" t="s">
        <v>954</v>
      </c>
      <c r="C459" s="103" t="s">
        <v>339</v>
      </c>
      <c r="D459" s="9"/>
      <c r="E459" s="9"/>
      <c r="H459" s="10"/>
      <c r="I459" s="9"/>
      <c r="M459" s="10"/>
    </row>
    <row r="460" spans="1:13" ht="15.75" customHeight="1" x14ac:dyDescent="0.25">
      <c r="A460" s="83">
        <v>33416</v>
      </c>
      <c r="B460" s="103" t="s">
        <v>955</v>
      </c>
      <c r="C460" s="103" t="s">
        <v>956</v>
      </c>
      <c r="D460" s="9"/>
      <c r="E460" s="9"/>
      <c r="H460" s="10"/>
      <c r="I460" s="9"/>
      <c r="M460" s="10"/>
    </row>
    <row r="461" spans="1:13" ht="15.75" customHeight="1" x14ac:dyDescent="0.25">
      <c r="A461" s="83">
        <v>23633</v>
      </c>
      <c r="B461" s="103" t="s">
        <v>949</v>
      </c>
      <c r="C461" s="103" t="s">
        <v>847</v>
      </c>
      <c r="D461" s="9"/>
      <c r="E461" s="9"/>
      <c r="H461" s="10"/>
      <c r="I461" s="9"/>
      <c r="M461" s="10"/>
    </row>
    <row r="462" spans="1:13" ht="15.75" customHeight="1" x14ac:dyDescent="0.25">
      <c r="A462" s="83">
        <v>129777</v>
      </c>
      <c r="B462" s="103" t="s">
        <v>957</v>
      </c>
      <c r="C462" s="103" t="s">
        <v>958</v>
      </c>
      <c r="D462" s="9"/>
      <c r="E462" s="9"/>
      <c r="H462" s="10"/>
      <c r="I462" s="9"/>
      <c r="M462" s="10"/>
    </row>
    <row r="463" spans="1:13" ht="15.75" customHeight="1" x14ac:dyDescent="0.25">
      <c r="A463" s="83">
        <v>141694</v>
      </c>
      <c r="B463" s="103" t="s">
        <v>959</v>
      </c>
      <c r="C463" s="103" t="s">
        <v>960</v>
      </c>
      <c r="D463" s="9"/>
      <c r="E463" s="9"/>
      <c r="H463" s="10"/>
      <c r="I463" s="9"/>
      <c r="M463" s="10"/>
    </row>
    <row r="464" spans="1:13" ht="15.75" customHeight="1" x14ac:dyDescent="0.25">
      <c r="A464" s="83">
        <v>121398</v>
      </c>
      <c r="B464" s="103" t="s">
        <v>961</v>
      </c>
      <c r="C464" s="103" t="s">
        <v>365</v>
      </c>
      <c r="D464" s="9"/>
      <c r="E464" s="9"/>
      <c r="H464" s="10"/>
      <c r="I464" s="9"/>
      <c r="M464" s="10"/>
    </row>
    <row r="465" spans="1:13" ht="15.75" customHeight="1" x14ac:dyDescent="0.25">
      <c r="A465" s="83">
        <v>120444</v>
      </c>
      <c r="B465" s="103" t="s">
        <v>962</v>
      </c>
      <c r="C465" s="103" t="s">
        <v>963</v>
      </c>
      <c r="D465" s="9"/>
      <c r="E465" s="9"/>
      <c r="H465" s="10"/>
      <c r="I465" s="9"/>
      <c r="M465" s="10"/>
    </row>
    <row r="466" spans="1:13" ht="15.75" customHeight="1" x14ac:dyDescent="0.25">
      <c r="A466" s="83">
        <v>37310</v>
      </c>
      <c r="B466" s="103" t="s">
        <v>964</v>
      </c>
      <c r="C466" s="103" t="s">
        <v>425</v>
      </c>
      <c r="D466" s="9"/>
      <c r="E466" s="9"/>
      <c r="H466" s="10"/>
      <c r="I466" s="9"/>
      <c r="M466" s="10"/>
    </row>
    <row r="467" spans="1:13" ht="15.75" customHeight="1" x14ac:dyDescent="0.25">
      <c r="A467" s="83">
        <v>120375</v>
      </c>
      <c r="B467" s="103" t="s">
        <v>957</v>
      </c>
      <c r="C467" s="103" t="s">
        <v>600</v>
      </c>
      <c r="D467" s="9"/>
      <c r="E467" s="9"/>
      <c r="H467" s="10"/>
      <c r="I467" s="9"/>
      <c r="M467" s="10"/>
    </row>
    <row r="468" spans="1:13" ht="15.75" customHeight="1" x14ac:dyDescent="0.25">
      <c r="A468" s="83">
        <v>27392</v>
      </c>
      <c r="B468" s="103" t="s">
        <v>965</v>
      </c>
      <c r="C468" s="103" t="s">
        <v>358</v>
      </c>
      <c r="D468" s="9"/>
      <c r="E468" s="9"/>
      <c r="H468" s="10"/>
      <c r="I468" s="9"/>
      <c r="M468" s="10"/>
    </row>
    <row r="469" spans="1:13" ht="15.75" customHeight="1" x14ac:dyDescent="0.25">
      <c r="A469" s="83">
        <v>36155</v>
      </c>
      <c r="B469" s="103" t="s">
        <v>949</v>
      </c>
      <c r="C469" s="103" t="s">
        <v>966</v>
      </c>
      <c r="D469" s="9"/>
      <c r="E469" s="9"/>
      <c r="H469" s="10"/>
      <c r="I469" s="9"/>
      <c r="M469" s="10"/>
    </row>
    <row r="470" spans="1:13" ht="15.75" customHeight="1" x14ac:dyDescent="0.25">
      <c r="A470" s="83">
        <v>140169</v>
      </c>
      <c r="B470" s="103" t="s">
        <v>957</v>
      </c>
      <c r="C470" s="103" t="s">
        <v>967</v>
      </c>
      <c r="D470" s="9"/>
      <c r="E470" s="9"/>
      <c r="H470" s="10"/>
      <c r="I470" s="9"/>
      <c r="M470" s="10"/>
    </row>
    <row r="471" spans="1:13" ht="15.75" customHeight="1" x14ac:dyDescent="0.25">
      <c r="A471" s="83">
        <v>128689</v>
      </c>
      <c r="B471" s="103" t="s">
        <v>968</v>
      </c>
      <c r="C471" s="103" t="s">
        <v>969</v>
      </c>
      <c r="D471" s="9"/>
      <c r="E471" s="9"/>
      <c r="H471" s="10"/>
      <c r="I471" s="9"/>
      <c r="M471" s="10"/>
    </row>
    <row r="472" spans="1:13" ht="15.75" customHeight="1" x14ac:dyDescent="0.25">
      <c r="A472" s="83">
        <v>31817</v>
      </c>
      <c r="B472" s="103" t="s">
        <v>965</v>
      </c>
      <c r="C472" s="103" t="s">
        <v>970</v>
      </c>
      <c r="D472" s="9"/>
      <c r="E472" s="9"/>
      <c r="H472" s="10"/>
      <c r="I472" s="9"/>
      <c r="M472" s="10"/>
    </row>
    <row r="473" spans="1:13" ht="15.75" customHeight="1" x14ac:dyDescent="0.25">
      <c r="A473" s="83">
        <v>21759</v>
      </c>
      <c r="B473" s="103" t="s">
        <v>957</v>
      </c>
      <c r="C473" s="103" t="s">
        <v>339</v>
      </c>
      <c r="D473" s="9"/>
      <c r="E473" s="9"/>
      <c r="H473" s="10"/>
      <c r="I473" s="9"/>
      <c r="M473" s="10"/>
    </row>
    <row r="474" spans="1:13" ht="15.75" customHeight="1" x14ac:dyDescent="0.25">
      <c r="A474" s="83">
        <v>129446</v>
      </c>
      <c r="B474" s="103" t="s">
        <v>971</v>
      </c>
      <c r="C474" s="103" t="s">
        <v>972</v>
      </c>
      <c r="D474" s="9"/>
      <c r="E474" s="9"/>
      <c r="H474" s="10"/>
      <c r="I474" s="9"/>
      <c r="M474" s="10"/>
    </row>
    <row r="475" spans="1:13" ht="15.75" customHeight="1" x14ac:dyDescent="0.25">
      <c r="A475" s="83">
        <v>130192</v>
      </c>
      <c r="B475" s="103" t="s">
        <v>965</v>
      </c>
      <c r="C475" s="103" t="s">
        <v>780</v>
      </c>
      <c r="D475" s="9"/>
      <c r="E475" s="9"/>
      <c r="H475" s="10"/>
      <c r="I475" s="9"/>
      <c r="M475" s="10"/>
    </row>
    <row r="476" spans="1:13" ht="15.75" customHeight="1" x14ac:dyDescent="0.25">
      <c r="A476" s="83">
        <v>20875</v>
      </c>
      <c r="B476" s="103" t="s">
        <v>957</v>
      </c>
      <c r="C476" s="103" t="s">
        <v>339</v>
      </c>
      <c r="D476" s="9"/>
      <c r="E476" s="9"/>
      <c r="H476" s="10"/>
      <c r="I476" s="9"/>
      <c r="M476" s="10"/>
    </row>
    <row r="477" spans="1:13" ht="15.75" customHeight="1" x14ac:dyDescent="0.25">
      <c r="A477" s="83">
        <v>26811</v>
      </c>
      <c r="B477" s="103" t="s">
        <v>973</v>
      </c>
      <c r="C477" s="103" t="s">
        <v>974</v>
      </c>
      <c r="D477" s="9"/>
      <c r="E477" s="9"/>
      <c r="H477" s="10"/>
      <c r="I477" s="9"/>
      <c r="M477" s="10"/>
    </row>
    <row r="478" spans="1:13" ht="15.75" customHeight="1" x14ac:dyDescent="0.25">
      <c r="A478" s="83">
        <v>129858</v>
      </c>
      <c r="B478" s="103" t="s">
        <v>971</v>
      </c>
      <c r="C478" s="103" t="s">
        <v>454</v>
      </c>
      <c r="D478" s="9"/>
      <c r="E478" s="9"/>
      <c r="H478" s="10"/>
      <c r="I478" s="9"/>
      <c r="M478" s="10"/>
    </row>
    <row r="479" spans="1:13" ht="15.75" customHeight="1" x14ac:dyDescent="0.25">
      <c r="A479" s="83">
        <v>25535</v>
      </c>
      <c r="B479" s="103" t="s">
        <v>975</v>
      </c>
      <c r="C479" s="103" t="s">
        <v>976</v>
      </c>
      <c r="D479" s="9"/>
      <c r="E479" s="9"/>
      <c r="H479" s="10"/>
      <c r="I479" s="9"/>
      <c r="M479" s="10"/>
    </row>
    <row r="480" spans="1:13" ht="15.75" customHeight="1" x14ac:dyDescent="0.25">
      <c r="A480" s="83">
        <v>132997</v>
      </c>
      <c r="B480" s="103" t="s">
        <v>965</v>
      </c>
      <c r="C480" s="103" t="s">
        <v>977</v>
      </c>
      <c r="D480" s="9"/>
      <c r="E480" s="9"/>
      <c r="H480" s="10"/>
      <c r="I480" s="9"/>
      <c r="M480" s="10"/>
    </row>
    <row r="481" spans="1:13" ht="15.75" customHeight="1" x14ac:dyDescent="0.25">
      <c r="A481" s="83">
        <v>124337</v>
      </c>
      <c r="B481" s="103" t="s">
        <v>978</v>
      </c>
      <c r="C481" s="103" t="s">
        <v>339</v>
      </c>
      <c r="D481" s="9"/>
      <c r="E481" s="9"/>
      <c r="H481" s="10"/>
      <c r="I481" s="9"/>
      <c r="M481" s="10"/>
    </row>
    <row r="482" spans="1:13" ht="15.75" customHeight="1" x14ac:dyDescent="0.25">
      <c r="A482" s="83">
        <v>21283</v>
      </c>
      <c r="B482" s="103" t="s">
        <v>965</v>
      </c>
      <c r="C482" s="103" t="s">
        <v>979</v>
      </c>
      <c r="D482" s="9"/>
      <c r="E482" s="9"/>
      <c r="H482" s="10"/>
      <c r="I482" s="9"/>
      <c r="M482" s="10"/>
    </row>
    <row r="483" spans="1:13" ht="15.75" customHeight="1" x14ac:dyDescent="0.25">
      <c r="A483" s="83">
        <v>30474</v>
      </c>
      <c r="B483" s="103" t="s">
        <v>965</v>
      </c>
      <c r="C483" s="103" t="s">
        <v>980</v>
      </c>
      <c r="D483" s="9"/>
      <c r="E483" s="9"/>
      <c r="H483" s="10"/>
      <c r="I483" s="9"/>
      <c r="M483" s="10"/>
    </row>
    <row r="484" spans="1:13" ht="15.75" customHeight="1" x14ac:dyDescent="0.25">
      <c r="A484" s="83">
        <v>21089</v>
      </c>
      <c r="B484" s="103" t="s">
        <v>981</v>
      </c>
      <c r="C484" s="103" t="s">
        <v>780</v>
      </c>
      <c r="D484" s="9"/>
      <c r="E484" s="9"/>
      <c r="H484" s="10"/>
      <c r="I484" s="9"/>
      <c r="M484" s="10"/>
    </row>
    <row r="485" spans="1:13" ht="15.75" customHeight="1" x14ac:dyDescent="0.25">
      <c r="A485" s="83">
        <v>129154</v>
      </c>
      <c r="B485" s="103" t="s">
        <v>981</v>
      </c>
      <c r="C485" s="103" t="s">
        <v>982</v>
      </c>
      <c r="D485" s="9"/>
      <c r="E485" s="9"/>
      <c r="H485" s="10"/>
      <c r="I485" s="9"/>
      <c r="M485" s="10"/>
    </row>
    <row r="486" spans="1:13" ht="15.75" customHeight="1" x14ac:dyDescent="0.25">
      <c r="A486" s="83">
        <v>122594</v>
      </c>
      <c r="B486" s="103" t="s">
        <v>983</v>
      </c>
      <c r="C486" s="103" t="s">
        <v>984</v>
      </c>
      <c r="D486" s="9"/>
      <c r="E486" s="9"/>
      <c r="H486" s="10"/>
      <c r="I486" s="9"/>
      <c r="M486" s="10"/>
    </row>
    <row r="487" spans="1:13" ht="15.75" customHeight="1" x14ac:dyDescent="0.25">
      <c r="A487" s="83">
        <v>20529</v>
      </c>
      <c r="B487" s="103" t="s">
        <v>983</v>
      </c>
      <c r="C487" s="103" t="s">
        <v>341</v>
      </c>
      <c r="D487" s="9"/>
      <c r="E487" s="9"/>
      <c r="H487" s="10"/>
      <c r="I487" s="9"/>
      <c r="M487" s="10"/>
    </row>
    <row r="488" spans="1:13" ht="15.75" customHeight="1" x14ac:dyDescent="0.25">
      <c r="A488" s="83">
        <v>139532</v>
      </c>
      <c r="B488" s="103" t="s">
        <v>983</v>
      </c>
      <c r="C488" s="103" t="s">
        <v>985</v>
      </c>
      <c r="D488" s="9"/>
      <c r="E488" s="9"/>
      <c r="H488" s="10"/>
      <c r="I488" s="9"/>
      <c r="M488" s="10"/>
    </row>
    <row r="489" spans="1:13" ht="15.75" customHeight="1" x14ac:dyDescent="0.25">
      <c r="A489" s="83">
        <v>21547</v>
      </c>
      <c r="B489" s="103" t="s">
        <v>986</v>
      </c>
      <c r="C489" s="103" t="s">
        <v>339</v>
      </c>
      <c r="D489" s="9"/>
      <c r="E489" s="9"/>
      <c r="H489" s="10"/>
      <c r="I489" s="9"/>
      <c r="M489" s="10"/>
    </row>
    <row r="490" spans="1:13" ht="15.75" customHeight="1" x14ac:dyDescent="0.25">
      <c r="A490" s="83">
        <v>22414</v>
      </c>
      <c r="B490" s="103" t="s">
        <v>986</v>
      </c>
      <c r="C490" s="103" t="s">
        <v>987</v>
      </c>
      <c r="D490" s="9"/>
      <c r="E490" s="9"/>
      <c r="H490" s="10"/>
      <c r="I490" s="9"/>
      <c r="M490" s="10"/>
    </row>
    <row r="491" spans="1:13" ht="15.75" customHeight="1" x14ac:dyDescent="0.25">
      <c r="A491" s="83">
        <v>22076</v>
      </c>
      <c r="B491" s="103" t="s">
        <v>983</v>
      </c>
      <c r="C491" s="103" t="s">
        <v>988</v>
      </c>
      <c r="D491" s="9"/>
      <c r="E491" s="9"/>
      <c r="H491" s="10"/>
      <c r="I491" s="9"/>
      <c r="M491" s="10"/>
    </row>
    <row r="492" spans="1:13" ht="15.75" customHeight="1" x14ac:dyDescent="0.25">
      <c r="A492" s="83">
        <v>94257</v>
      </c>
      <c r="B492" s="103" t="s">
        <v>983</v>
      </c>
      <c r="C492" s="103" t="s">
        <v>408</v>
      </c>
      <c r="D492" s="9"/>
      <c r="E492" s="9"/>
      <c r="H492" s="10"/>
      <c r="I492" s="9"/>
      <c r="M492" s="10"/>
    </row>
    <row r="493" spans="1:13" ht="15.75" customHeight="1" x14ac:dyDescent="0.25">
      <c r="A493" s="83">
        <v>22085</v>
      </c>
      <c r="B493" s="103" t="s">
        <v>986</v>
      </c>
      <c r="C493" s="103" t="s">
        <v>989</v>
      </c>
      <c r="D493" s="9"/>
      <c r="E493" s="9"/>
      <c r="H493" s="10"/>
      <c r="I493" s="9"/>
      <c r="M493" s="10"/>
    </row>
    <row r="494" spans="1:13" ht="15.75" customHeight="1" x14ac:dyDescent="0.25">
      <c r="A494" s="83">
        <v>125335</v>
      </c>
      <c r="B494" s="103" t="s">
        <v>986</v>
      </c>
      <c r="C494" s="103" t="s">
        <v>990</v>
      </c>
      <c r="D494" s="9"/>
      <c r="E494" s="9"/>
      <c r="H494" s="10"/>
      <c r="I494" s="9"/>
      <c r="M494" s="10"/>
    </row>
    <row r="495" spans="1:13" ht="15.75" customHeight="1" x14ac:dyDescent="0.25">
      <c r="A495" s="83">
        <v>123608</v>
      </c>
      <c r="B495" s="103" t="s">
        <v>991</v>
      </c>
      <c r="C495" s="103" t="s">
        <v>992</v>
      </c>
      <c r="D495" s="9"/>
      <c r="E495" s="9"/>
      <c r="H495" s="10"/>
      <c r="I495" s="9"/>
      <c r="M495" s="10"/>
    </row>
    <row r="496" spans="1:13" ht="15.75" customHeight="1" x14ac:dyDescent="0.25">
      <c r="A496" s="83">
        <v>134874</v>
      </c>
      <c r="B496" s="103" t="s">
        <v>991</v>
      </c>
      <c r="C496" s="103" t="s">
        <v>339</v>
      </c>
      <c r="D496" s="9"/>
      <c r="E496" s="9"/>
      <c r="H496" s="10"/>
      <c r="I496" s="9"/>
      <c r="M496" s="10"/>
    </row>
    <row r="497" spans="1:13" ht="15.75" customHeight="1" x14ac:dyDescent="0.25">
      <c r="A497" s="83">
        <v>24335</v>
      </c>
      <c r="B497" s="103" t="s">
        <v>991</v>
      </c>
      <c r="C497" s="103" t="s">
        <v>993</v>
      </c>
      <c r="D497" s="9"/>
      <c r="E497" s="9"/>
      <c r="H497" s="10"/>
      <c r="I497" s="9"/>
      <c r="M497" s="10"/>
    </row>
    <row r="498" spans="1:13" ht="15.75" customHeight="1" x14ac:dyDescent="0.25">
      <c r="A498" s="83">
        <v>22299</v>
      </c>
      <c r="B498" s="103" t="s">
        <v>991</v>
      </c>
      <c r="C498" s="103" t="s">
        <v>994</v>
      </c>
      <c r="D498" s="9"/>
      <c r="E498" s="9"/>
      <c r="H498" s="10"/>
      <c r="I498" s="9"/>
      <c r="M498" s="10"/>
    </row>
    <row r="499" spans="1:13" ht="15.75" customHeight="1" x14ac:dyDescent="0.25">
      <c r="A499" s="83">
        <v>125064</v>
      </c>
      <c r="B499" s="103" t="s">
        <v>991</v>
      </c>
      <c r="C499" s="103" t="s">
        <v>995</v>
      </c>
      <c r="D499" s="9"/>
      <c r="E499" s="9"/>
      <c r="H499" s="10"/>
      <c r="I499" s="9"/>
      <c r="M499" s="10"/>
    </row>
    <row r="500" spans="1:13" ht="15.75" customHeight="1" x14ac:dyDescent="0.25">
      <c r="A500" s="83">
        <v>27411</v>
      </c>
      <c r="B500" s="103" t="s">
        <v>996</v>
      </c>
      <c r="C500" s="103" t="s">
        <v>997</v>
      </c>
      <c r="D500" s="9"/>
      <c r="E500" s="9"/>
      <c r="H500" s="10"/>
      <c r="I500" s="9"/>
      <c r="M500" s="10"/>
    </row>
    <row r="501" spans="1:13" ht="15.75" customHeight="1" x14ac:dyDescent="0.25">
      <c r="A501" s="94">
        <v>131079</v>
      </c>
      <c r="B501" s="119" t="s">
        <v>998</v>
      </c>
      <c r="C501" s="119" t="s">
        <v>999</v>
      </c>
      <c r="D501" s="9"/>
      <c r="E501" s="9"/>
      <c r="H501" s="10"/>
      <c r="I501" s="9"/>
      <c r="M501" s="10"/>
    </row>
    <row r="502" spans="1:13" ht="15.75" customHeight="1" x14ac:dyDescent="0.25"/>
    <row r="503" spans="1:13" ht="15.75" customHeight="1" x14ac:dyDescent="0.25"/>
    <row r="504" spans="1:13" ht="15.75" customHeight="1" x14ac:dyDescent="0.25"/>
    <row r="505" spans="1:13" ht="15.75" customHeight="1" x14ac:dyDescent="0.25"/>
    <row r="506" spans="1:13" ht="15.75" customHeight="1" x14ac:dyDescent="0.25"/>
    <row r="507" spans="1:13" ht="15.75" customHeight="1" x14ac:dyDescent="0.25"/>
    <row r="508" spans="1:13" ht="15.75" customHeight="1" x14ac:dyDescent="0.25"/>
    <row r="509" spans="1:13" ht="15.75" customHeight="1" x14ac:dyDescent="0.25"/>
    <row r="510" spans="1:13" ht="15.75" customHeight="1" x14ac:dyDescent="0.25"/>
    <row r="511" spans="1:13" ht="15.75" customHeight="1" x14ac:dyDescent="0.25"/>
    <row r="512" spans="1:13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P1710"/>
  <sheetViews>
    <sheetView showGridLines="0" tabSelected="1" workbookViewId="0"/>
  </sheetViews>
  <sheetFormatPr defaultColWidth="14.42578125" defaultRowHeight="15" customHeight="1" x14ac:dyDescent="0.25"/>
  <cols>
    <col min="1" max="1" width="9.7109375" customWidth="1"/>
    <col min="2" max="2" width="16" customWidth="1"/>
    <col min="3" max="3" width="16.7109375" customWidth="1"/>
    <col min="4" max="4" width="18.85546875" customWidth="1"/>
    <col min="5" max="5" width="21" customWidth="1"/>
    <col min="6" max="6" width="8.7109375" customWidth="1"/>
    <col min="7" max="7" width="18.5703125" customWidth="1"/>
    <col min="8" max="8" width="11.28515625" customWidth="1"/>
    <col min="9" max="9" width="23.5703125" customWidth="1"/>
    <col min="10" max="10" width="8.7109375" customWidth="1"/>
    <col min="11" max="11" width="14.140625" customWidth="1"/>
    <col min="12" max="12" width="12.42578125" customWidth="1"/>
    <col min="13" max="13" width="11.42578125" customWidth="1"/>
    <col min="14" max="14" width="13" customWidth="1"/>
    <col min="15" max="15" width="11.140625" customWidth="1"/>
    <col min="16" max="16" width="11.5703125" customWidth="1"/>
    <col min="17" max="17" width="13.28515625" customWidth="1"/>
    <col min="18" max="26" width="8.7109375" customWidth="1"/>
  </cols>
  <sheetData>
    <row r="1" spans="1:16" ht="18.75" x14ac:dyDescent="0.25">
      <c r="A1" s="1" t="s">
        <v>1</v>
      </c>
      <c r="B1" s="1" t="s">
        <v>2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6" x14ac:dyDescent="0.25">
      <c r="A2" s="103" t="s">
        <v>12</v>
      </c>
      <c r="B2" s="120">
        <v>29664</v>
      </c>
      <c r="C2" s="103" t="s">
        <v>13</v>
      </c>
      <c r="D2" s="83">
        <v>22039</v>
      </c>
      <c r="E2" s="103" t="s">
        <v>14</v>
      </c>
      <c r="F2" s="103" t="s">
        <v>15</v>
      </c>
      <c r="G2" s="121">
        <v>46686</v>
      </c>
      <c r="H2" s="122">
        <v>4668625</v>
      </c>
      <c r="P2" s="42"/>
    </row>
    <row r="3" spans="1:16" x14ac:dyDescent="0.25">
      <c r="A3" s="103" t="s">
        <v>12</v>
      </c>
      <c r="B3" s="120">
        <v>31200</v>
      </c>
      <c r="C3" s="103" t="s">
        <v>16</v>
      </c>
      <c r="D3" s="83">
        <v>132808</v>
      </c>
      <c r="E3" s="103" t="s">
        <v>17</v>
      </c>
      <c r="F3" s="103" t="s">
        <v>18</v>
      </c>
      <c r="G3" s="121">
        <v>24442</v>
      </c>
      <c r="H3" s="122">
        <v>2444164</v>
      </c>
    </row>
    <row r="4" spans="1:16" x14ac:dyDescent="0.25">
      <c r="A4" s="103" t="s">
        <v>12</v>
      </c>
      <c r="B4" s="120">
        <v>25324</v>
      </c>
      <c r="C4" s="103" t="s">
        <v>19</v>
      </c>
      <c r="D4" s="83">
        <v>39820</v>
      </c>
      <c r="E4" s="103" t="s">
        <v>20</v>
      </c>
      <c r="F4" s="103" t="s">
        <v>15</v>
      </c>
      <c r="G4" s="121">
        <v>19060</v>
      </c>
      <c r="H4" s="122">
        <v>1905960</v>
      </c>
    </row>
    <row r="5" spans="1:16" x14ac:dyDescent="0.25">
      <c r="A5" s="103" t="s">
        <v>12</v>
      </c>
      <c r="B5" s="120">
        <v>29221</v>
      </c>
      <c r="C5" s="103" t="s">
        <v>21</v>
      </c>
      <c r="D5" s="83">
        <v>20513</v>
      </c>
      <c r="E5" s="103" t="s">
        <v>22</v>
      </c>
      <c r="F5" s="103" t="s">
        <v>23</v>
      </c>
      <c r="G5" s="121">
        <v>16364</v>
      </c>
      <c r="H5" s="122">
        <v>1636428</v>
      </c>
    </row>
    <row r="6" spans="1:16" x14ac:dyDescent="0.25">
      <c r="A6" s="103" t="s">
        <v>24</v>
      </c>
      <c r="B6" s="120">
        <v>32248</v>
      </c>
      <c r="C6" s="103" t="s">
        <v>25</v>
      </c>
      <c r="D6" s="83">
        <v>122186</v>
      </c>
      <c r="E6" s="103" t="s">
        <v>26</v>
      </c>
      <c r="F6" s="103" t="s">
        <v>23</v>
      </c>
      <c r="G6" s="121">
        <v>12800</v>
      </c>
      <c r="H6" s="122">
        <v>1280000</v>
      </c>
    </row>
    <row r="7" spans="1:16" x14ac:dyDescent="0.25">
      <c r="A7" s="103" t="s">
        <v>12</v>
      </c>
      <c r="B7" s="120">
        <v>28642</v>
      </c>
      <c r="C7" s="103" t="s">
        <v>27</v>
      </c>
      <c r="D7" s="83">
        <v>128245</v>
      </c>
      <c r="E7" s="103" t="s">
        <v>28</v>
      </c>
      <c r="F7" s="103" t="s">
        <v>23</v>
      </c>
      <c r="G7" s="121">
        <v>12402</v>
      </c>
      <c r="H7" s="122">
        <v>1240248</v>
      </c>
    </row>
    <row r="8" spans="1:16" x14ac:dyDescent="0.25">
      <c r="A8" s="103" t="s">
        <v>12</v>
      </c>
      <c r="B8" s="120">
        <v>27397</v>
      </c>
      <c r="C8" s="103" t="s">
        <v>29</v>
      </c>
      <c r="D8" s="83">
        <v>22140</v>
      </c>
      <c r="E8" s="103" t="s">
        <v>14</v>
      </c>
      <c r="F8" s="103" t="s">
        <v>15</v>
      </c>
      <c r="G8" s="121">
        <v>12220</v>
      </c>
      <c r="H8" s="122">
        <v>1221966</v>
      </c>
    </row>
    <row r="9" spans="1:16" x14ac:dyDescent="0.25">
      <c r="A9" s="103" t="s">
        <v>12</v>
      </c>
      <c r="B9" s="120">
        <v>27853</v>
      </c>
      <c r="C9" s="103" t="s">
        <v>30</v>
      </c>
      <c r="D9" s="83">
        <v>24385</v>
      </c>
      <c r="E9" s="103" t="s">
        <v>20</v>
      </c>
      <c r="F9" s="103" t="s">
        <v>15</v>
      </c>
      <c r="G9" s="121">
        <v>11297</v>
      </c>
      <c r="H9" s="122">
        <v>1129653</v>
      </c>
    </row>
    <row r="10" spans="1:16" x14ac:dyDescent="0.25">
      <c r="A10" s="103" t="s">
        <v>12</v>
      </c>
      <c r="B10" s="120">
        <v>34247</v>
      </c>
      <c r="C10" s="103" t="s">
        <v>31</v>
      </c>
      <c r="D10" s="83">
        <v>125925</v>
      </c>
      <c r="E10" s="103" t="s">
        <v>20</v>
      </c>
      <c r="F10" s="103" t="s">
        <v>15</v>
      </c>
      <c r="G10" s="121">
        <v>11232</v>
      </c>
      <c r="H10" s="122">
        <v>1123200</v>
      </c>
    </row>
    <row r="11" spans="1:16" x14ac:dyDescent="0.25">
      <c r="A11" s="103" t="s">
        <v>12</v>
      </c>
      <c r="B11" s="120">
        <v>29546</v>
      </c>
      <c r="C11" s="103" t="s">
        <v>32</v>
      </c>
      <c r="D11" s="83">
        <v>21152</v>
      </c>
      <c r="E11" s="103" t="s">
        <v>20</v>
      </c>
      <c r="F11" s="103" t="s">
        <v>15</v>
      </c>
      <c r="G11" s="121">
        <v>8765</v>
      </c>
      <c r="H11" s="122">
        <v>876509</v>
      </c>
    </row>
    <row r="12" spans="1:16" x14ac:dyDescent="0.25">
      <c r="A12" s="103" t="s">
        <v>12</v>
      </c>
      <c r="B12" s="120">
        <v>25349</v>
      </c>
      <c r="C12" s="103" t="s">
        <v>33</v>
      </c>
      <c r="D12" s="83">
        <v>25063</v>
      </c>
      <c r="E12" s="103" t="s">
        <v>20</v>
      </c>
      <c r="F12" s="103" t="s">
        <v>15</v>
      </c>
      <c r="G12" s="121">
        <v>8251</v>
      </c>
      <c r="H12" s="122">
        <v>825110</v>
      </c>
    </row>
    <row r="13" spans="1:16" x14ac:dyDescent="0.25">
      <c r="A13" s="103" t="s">
        <v>12</v>
      </c>
      <c r="B13" s="120">
        <v>28523</v>
      </c>
      <c r="C13" s="103" t="s">
        <v>34</v>
      </c>
      <c r="D13" s="83">
        <v>126880</v>
      </c>
      <c r="E13" s="103" t="s">
        <v>35</v>
      </c>
      <c r="F13" s="103" t="s">
        <v>15</v>
      </c>
      <c r="G13" s="121">
        <v>8100</v>
      </c>
      <c r="H13" s="122">
        <v>809965</v>
      </c>
    </row>
    <row r="14" spans="1:16" x14ac:dyDescent="0.25">
      <c r="A14" s="103" t="s">
        <v>12</v>
      </c>
      <c r="B14" s="120">
        <v>28856</v>
      </c>
      <c r="C14" s="103" t="s">
        <v>36</v>
      </c>
      <c r="D14" s="83">
        <v>22328</v>
      </c>
      <c r="E14" s="103" t="s">
        <v>37</v>
      </c>
      <c r="F14" s="103" t="s">
        <v>18</v>
      </c>
      <c r="G14" s="121">
        <v>7228</v>
      </c>
      <c r="H14" s="122">
        <v>722800</v>
      </c>
    </row>
    <row r="15" spans="1:16" x14ac:dyDescent="0.25">
      <c r="A15" s="103" t="s">
        <v>12</v>
      </c>
      <c r="B15" s="120">
        <v>25830</v>
      </c>
      <c r="C15" s="103" t="s">
        <v>38</v>
      </c>
      <c r="D15" s="83">
        <v>20598</v>
      </c>
      <c r="E15" s="103" t="s">
        <v>39</v>
      </c>
      <c r="F15" s="103" t="s">
        <v>40</v>
      </c>
      <c r="G15" s="121">
        <v>7205</v>
      </c>
      <c r="H15" s="122">
        <v>720518</v>
      </c>
    </row>
    <row r="16" spans="1:16" x14ac:dyDescent="0.25">
      <c r="A16" s="103" t="s">
        <v>12</v>
      </c>
      <c r="B16" s="120">
        <v>30431</v>
      </c>
      <c r="C16" s="103" t="s">
        <v>41</v>
      </c>
      <c r="D16" s="83">
        <v>22501</v>
      </c>
      <c r="E16" s="103" t="s">
        <v>20</v>
      </c>
      <c r="F16" s="103" t="s">
        <v>15</v>
      </c>
      <c r="G16" s="121">
        <v>6267</v>
      </c>
      <c r="H16" s="122">
        <v>626725</v>
      </c>
    </row>
    <row r="17" spans="1:8" x14ac:dyDescent="0.25">
      <c r="A17" s="103" t="s">
        <v>24</v>
      </c>
      <c r="B17" s="120">
        <v>28312</v>
      </c>
      <c r="C17" s="103" t="s">
        <v>42</v>
      </c>
      <c r="D17" s="83">
        <v>132808</v>
      </c>
      <c r="E17" s="103" t="s">
        <v>17</v>
      </c>
      <c r="F17" s="103" t="s">
        <v>18</v>
      </c>
      <c r="G17" s="121">
        <v>6100</v>
      </c>
      <c r="H17" s="122">
        <v>610000</v>
      </c>
    </row>
    <row r="18" spans="1:8" x14ac:dyDescent="0.25">
      <c r="A18" s="103" t="s">
        <v>12</v>
      </c>
      <c r="B18" s="120">
        <v>30296</v>
      </c>
      <c r="C18" s="103" t="s">
        <v>43</v>
      </c>
      <c r="D18" s="83">
        <v>20528</v>
      </c>
      <c r="E18" s="103" t="s">
        <v>35</v>
      </c>
      <c r="F18" s="103" t="s">
        <v>15</v>
      </c>
      <c r="G18" s="121">
        <v>5954</v>
      </c>
      <c r="H18" s="122">
        <v>595370</v>
      </c>
    </row>
    <row r="19" spans="1:8" x14ac:dyDescent="0.25">
      <c r="A19" s="103" t="s">
        <v>12</v>
      </c>
      <c r="B19" s="120">
        <v>29683</v>
      </c>
      <c r="C19" s="103" t="s">
        <v>44</v>
      </c>
      <c r="D19" s="83">
        <v>25809</v>
      </c>
      <c r="E19" s="103" t="s">
        <v>35</v>
      </c>
      <c r="F19" s="103" t="s">
        <v>15</v>
      </c>
      <c r="G19" s="121">
        <v>5919</v>
      </c>
      <c r="H19" s="122">
        <v>591894</v>
      </c>
    </row>
    <row r="20" spans="1:8" x14ac:dyDescent="0.25">
      <c r="A20" s="103" t="s">
        <v>24</v>
      </c>
      <c r="B20" s="120">
        <v>27763</v>
      </c>
      <c r="C20" s="103" t="s">
        <v>41</v>
      </c>
      <c r="D20" s="83">
        <v>22221</v>
      </c>
      <c r="E20" s="103" t="s">
        <v>20</v>
      </c>
      <c r="F20" s="103" t="s">
        <v>15</v>
      </c>
      <c r="G20" s="121">
        <v>5800</v>
      </c>
      <c r="H20" s="122">
        <v>580000</v>
      </c>
    </row>
    <row r="21" spans="1:8" ht="15.75" customHeight="1" x14ac:dyDescent="0.25">
      <c r="A21" s="103" t="s">
        <v>12</v>
      </c>
      <c r="B21" s="120">
        <v>27183</v>
      </c>
      <c r="C21" s="103" t="s">
        <v>33</v>
      </c>
      <c r="D21" s="83">
        <v>123841</v>
      </c>
      <c r="E21" s="103" t="s">
        <v>20</v>
      </c>
      <c r="F21" s="103" t="s">
        <v>15</v>
      </c>
      <c r="G21" s="121">
        <v>5733</v>
      </c>
      <c r="H21" s="122">
        <v>573300</v>
      </c>
    </row>
    <row r="22" spans="1:8" ht="15.75" customHeight="1" x14ac:dyDescent="0.25">
      <c r="A22" s="103" t="s">
        <v>12</v>
      </c>
      <c r="B22" s="120">
        <v>28351</v>
      </c>
      <c r="C22" s="103" t="s">
        <v>45</v>
      </c>
      <c r="D22" s="83">
        <v>122822</v>
      </c>
      <c r="E22" s="103" t="s">
        <v>28</v>
      </c>
      <c r="F22" s="103" t="s">
        <v>23</v>
      </c>
      <c r="G22" s="121">
        <v>5499</v>
      </c>
      <c r="H22" s="122">
        <v>549945</v>
      </c>
    </row>
    <row r="23" spans="1:8" ht="15.75" customHeight="1" x14ac:dyDescent="0.25">
      <c r="A23" s="103" t="s">
        <v>12</v>
      </c>
      <c r="B23" s="120">
        <v>22288</v>
      </c>
      <c r="C23" s="103" t="s">
        <v>46</v>
      </c>
      <c r="D23" s="83">
        <v>140424</v>
      </c>
      <c r="E23" s="103" t="s">
        <v>35</v>
      </c>
      <c r="F23" s="103" t="s">
        <v>15</v>
      </c>
      <c r="G23" s="121">
        <v>5407</v>
      </c>
      <c r="H23" s="122">
        <v>540748</v>
      </c>
    </row>
    <row r="24" spans="1:8" ht="15.75" customHeight="1" x14ac:dyDescent="0.25">
      <c r="A24" s="103" t="s">
        <v>12</v>
      </c>
      <c r="B24" s="120">
        <v>24120</v>
      </c>
      <c r="C24" s="103" t="s">
        <v>47</v>
      </c>
      <c r="D24" s="83">
        <v>139670</v>
      </c>
      <c r="E24" s="103" t="s">
        <v>14</v>
      </c>
      <c r="F24" s="103" t="s">
        <v>15</v>
      </c>
      <c r="G24" s="121">
        <v>5380</v>
      </c>
      <c r="H24" s="122">
        <v>538044</v>
      </c>
    </row>
    <row r="25" spans="1:8" ht="15.75" customHeight="1" x14ac:dyDescent="0.25">
      <c r="A25" s="103" t="s">
        <v>12</v>
      </c>
      <c r="B25" s="120">
        <v>26482</v>
      </c>
      <c r="C25" s="103" t="s">
        <v>48</v>
      </c>
      <c r="D25" s="83">
        <v>21184</v>
      </c>
      <c r="E25" s="103" t="s">
        <v>20</v>
      </c>
      <c r="F25" s="103" t="s">
        <v>15</v>
      </c>
      <c r="G25" s="121">
        <v>5275</v>
      </c>
      <c r="H25" s="122">
        <v>527520</v>
      </c>
    </row>
    <row r="26" spans="1:8" ht="15.75" customHeight="1" x14ac:dyDescent="0.25">
      <c r="A26" s="103" t="s">
        <v>12</v>
      </c>
      <c r="B26" s="120">
        <v>30162</v>
      </c>
      <c r="C26" s="103" t="s">
        <v>49</v>
      </c>
      <c r="D26" s="83">
        <v>26206</v>
      </c>
      <c r="E26" s="103" t="s">
        <v>20</v>
      </c>
      <c r="F26" s="103" t="s">
        <v>15</v>
      </c>
      <c r="G26" s="121">
        <v>5130</v>
      </c>
      <c r="H26" s="122">
        <v>513000</v>
      </c>
    </row>
    <row r="27" spans="1:8" ht="15.75" customHeight="1" x14ac:dyDescent="0.25">
      <c r="A27" s="103" t="s">
        <v>12</v>
      </c>
      <c r="B27" s="120">
        <v>19457</v>
      </c>
      <c r="C27" s="103" t="s">
        <v>25</v>
      </c>
      <c r="D27" s="83">
        <v>41490</v>
      </c>
      <c r="E27" s="103" t="s">
        <v>26</v>
      </c>
      <c r="F27" s="103" t="s">
        <v>23</v>
      </c>
      <c r="G27" s="121">
        <v>4968</v>
      </c>
      <c r="H27" s="122">
        <v>496848</v>
      </c>
    </row>
    <row r="28" spans="1:8" ht="15.75" customHeight="1" x14ac:dyDescent="0.25">
      <c r="A28" s="103" t="s">
        <v>12</v>
      </c>
      <c r="B28" s="120">
        <v>27234</v>
      </c>
      <c r="C28" s="103" t="s">
        <v>50</v>
      </c>
      <c r="D28" s="83">
        <v>20707</v>
      </c>
      <c r="E28" s="103" t="s">
        <v>20</v>
      </c>
      <c r="F28" s="103" t="s">
        <v>15</v>
      </c>
      <c r="G28" s="121">
        <v>4940</v>
      </c>
      <c r="H28" s="122">
        <v>494000</v>
      </c>
    </row>
    <row r="29" spans="1:8" ht="15.75" customHeight="1" x14ac:dyDescent="0.25">
      <c r="A29" s="103" t="s">
        <v>12</v>
      </c>
      <c r="B29" s="120">
        <v>23480</v>
      </c>
      <c r="C29" s="103" t="s">
        <v>51</v>
      </c>
      <c r="D29" s="83">
        <v>26423</v>
      </c>
      <c r="E29" s="103" t="s">
        <v>52</v>
      </c>
      <c r="F29" s="103" t="s">
        <v>15</v>
      </c>
      <c r="G29" s="121">
        <v>4586</v>
      </c>
      <c r="H29" s="122">
        <v>458640</v>
      </c>
    </row>
    <row r="30" spans="1:8" ht="15.75" customHeight="1" x14ac:dyDescent="0.25">
      <c r="A30" s="103" t="s">
        <v>24</v>
      </c>
      <c r="B30" s="120">
        <v>25310</v>
      </c>
      <c r="C30" s="103" t="s">
        <v>53</v>
      </c>
      <c r="D30" s="83">
        <v>26219</v>
      </c>
      <c r="E30" s="103" t="s">
        <v>37</v>
      </c>
      <c r="F30" s="103" t="s">
        <v>18</v>
      </c>
      <c r="G30" s="121">
        <v>4465</v>
      </c>
      <c r="H30" s="122">
        <v>446544</v>
      </c>
    </row>
    <row r="31" spans="1:8" ht="15.75" customHeight="1" x14ac:dyDescent="0.25">
      <c r="A31" s="103" t="s">
        <v>12</v>
      </c>
      <c r="B31" s="120">
        <v>32874</v>
      </c>
      <c r="C31" s="103" t="s">
        <v>45</v>
      </c>
      <c r="D31" s="83">
        <v>123939</v>
      </c>
      <c r="E31" s="103" t="s">
        <v>28</v>
      </c>
      <c r="F31" s="103" t="s">
        <v>23</v>
      </c>
      <c r="G31" s="121">
        <v>4243</v>
      </c>
      <c r="H31" s="122">
        <v>424255</v>
      </c>
    </row>
    <row r="32" spans="1:8" ht="15.75" customHeight="1" x14ac:dyDescent="0.25">
      <c r="A32" s="103" t="s">
        <v>12</v>
      </c>
      <c r="B32" s="120">
        <v>21294</v>
      </c>
      <c r="C32" s="103" t="s">
        <v>54</v>
      </c>
      <c r="D32" s="83">
        <v>119941</v>
      </c>
      <c r="E32" s="103" t="s">
        <v>55</v>
      </c>
      <c r="F32" s="103" t="s">
        <v>18</v>
      </c>
      <c r="G32" s="121">
        <v>3987</v>
      </c>
      <c r="H32" s="122">
        <v>398719</v>
      </c>
    </row>
    <row r="33" spans="1:8" ht="15.75" customHeight="1" x14ac:dyDescent="0.25">
      <c r="A33" s="103" t="s">
        <v>12</v>
      </c>
      <c r="B33" s="120">
        <v>22447</v>
      </c>
      <c r="C33" s="103" t="s">
        <v>56</v>
      </c>
      <c r="D33" s="83">
        <v>141457</v>
      </c>
      <c r="E33" s="103" t="s">
        <v>14</v>
      </c>
      <c r="F33" s="103" t="s">
        <v>15</v>
      </c>
      <c r="G33" s="121">
        <v>3939</v>
      </c>
      <c r="H33" s="122">
        <v>393856</v>
      </c>
    </row>
    <row r="34" spans="1:8" ht="15.75" customHeight="1" x14ac:dyDescent="0.25">
      <c r="A34" s="103" t="s">
        <v>12</v>
      </c>
      <c r="B34" s="120">
        <v>30167</v>
      </c>
      <c r="C34" s="103" t="s">
        <v>57</v>
      </c>
      <c r="D34" s="83">
        <v>20529</v>
      </c>
      <c r="E34" s="103" t="s">
        <v>35</v>
      </c>
      <c r="F34" s="103" t="s">
        <v>15</v>
      </c>
      <c r="G34" s="121">
        <v>3808</v>
      </c>
      <c r="H34" s="122">
        <v>380800</v>
      </c>
    </row>
    <row r="35" spans="1:8" ht="15.75" customHeight="1" x14ac:dyDescent="0.25">
      <c r="A35" s="103" t="s">
        <v>24</v>
      </c>
      <c r="B35" s="120">
        <v>31954</v>
      </c>
      <c r="C35" s="103" t="s">
        <v>58</v>
      </c>
      <c r="D35" s="83">
        <v>21742</v>
      </c>
      <c r="E35" s="103" t="s">
        <v>14</v>
      </c>
      <c r="F35" s="103" t="s">
        <v>15</v>
      </c>
      <c r="G35" s="121">
        <v>3786</v>
      </c>
      <c r="H35" s="122">
        <v>378566</v>
      </c>
    </row>
    <row r="36" spans="1:8" ht="15.75" customHeight="1" x14ac:dyDescent="0.25">
      <c r="A36" s="103" t="s">
        <v>12</v>
      </c>
      <c r="B36" s="120">
        <v>31798</v>
      </c>
      <c r="C36" s="103" t="s">
        <v>59</v>
      </c>
      <c r="D36" s="83">
        <v>127029</v>
      </c>
      <c r="E36" s="103" t="s">
        <v>28</v>
      </c>
      <c r="F36" s="103" t="s">
        <v>23</v>
      </c>
      <c r="G36" s="121">
        <v>3727</v>
      </c>
      <c r="H36" s="122">
        <v>372710</v>
      </c>
    </row>
    <row r="37" spans="1:8" ht="15.75" customHeight="1" x14ac:dyDescent="0.25">
      <c r="A37" s="103" t="s">
        <v>12</v>
      </c>
      <c r="B37" s="120">
        <v>28919</v>
      </c>
      <c r="C37" s="103" t="s">
        <v>60</v>
      </c>
      <c r="D37" s="83">
        <v>20968</v>
      </c>
      <c r="E37" s="103" t="s">
        <v>20</v>
      </c>
      <c r="F37" s="103" t="s">
        <v>15</v>
      </c>
      <c r="G37" s="121">
        <v>3714</v>
      </c>
      <c r="H37" s="122">
        <v>371355</v>
      </c>
    </row>
    <row r="38" spans="1:8" ht="15.75" customHeight="1" x14ac:dyDescent="0.25">
      <c r="A38" s="103" t="s">
        <v>12</v>
      </c>
      <c r="B38" s="120">
        <v>35312</v>
      </c>
      <c r="C38" s="103" t="s">
        <v>61</v>
      </c>
      <c r="D38" s="83">
        <v>124191</v>
      </c>
      <c r="E38" s="103" t="s">
        <v>26</v>
      </c>
      <c r="F38" s="103" t="s">
        <v>23</v>
      </c>
      <c r="G38" s="121">
        <v>3628</v>
      </c>
      <c r="H38" s="122">
        <v>362767</v>
      </c>
    </row>
    <row r="39" spans="1:8" ht="15.75" customHeight="1" x14ac:dyDescent="0.25">
      <c r="A39" s="103" t="s">
        <v>12</v>
      </c>
      <c r="B39" s="120">
        <v>23017</v>
      </c>
      <c r="C39" s="103" t="s">
        <v>62</v>
      </c>
      <c r="D39" s="83">
        <v>127312</v>
      </c>
      <c r="E39" s="103" t="s">
        <v>14</v>
      </c>
      <c r="F39" s="103" t="s">
        <v>15</v>
      </c>
      <c r="G39" s="121">
        <v>3577</v>
      </c>
      <c r="H39" s="122">
        <v>357714</v>
      </c>
    </row>
    <row r="40" spans="1:8" ht="15.75" customHeight="1" x14ac:dyDescent="0.25">
      <c r="A40" s="103" t="s">
        <v>12</v>
      </c>
      <c r="B40" s="120">
        <v>19947</v>
      </c>
      <c r="C40" s="103" t="s">
        <v>57</v>
      </c>
      <c r="D40" s="83">
        <v>20735</v>
      </c>
      <c r="E40" s="103" t="s">
        <v>35</v>
      </c>
      <c r="F40" s="103" t="s">
        <v>15</v>
      </c>
      <c r="G40" s="121">
        <v>3554</v>
      </c>
      <c r="H40" s="122">
        <v>355410</v>
      </c>
    </row>
    <row r="41" spans="1:8" ht="15.75" customHeight="1" x14ac:dyDescent="0.25">
      <c r="A41" s="103" t="s">
        <v>12</v>
      </c>
      <c r="B41" s="120">
        <v>20961</v>
      </c>
      <c r="C41" s="103" t="s">
        <v>54</v>
      </c>
      <c r="D41" s="83">
        <v>38293</v>
      </c>
      <c r="E41" s="103" t="s">
        <v>55</v>
      </c>
      <c r="F41" s="103" t="s">
        <v>18</v>
      </c>
      <c r="G41" s="121">
        <v>3532</v>
      </c>
      <c r="H41" s="122">
        <v>353210</v>
      </c>
    </row>
    <row r="42" spans="1:8" ht="15.75" customHeight="1" x14ac:dyDescent="0.25">
      <c r="A42" s="103" t="s">
        <v>12</v>
      </c>
      <c r="B42" s="120">
        <v>29028</v>
      </c>
      <c r="C42" s="103" t="s">
        <v>63</v>
      </c>
      <c r="D42" s="83">
        <v>126772</v>
      </c>
      <c r="E42" s="103" t="s">
        <v>14</v>
      </c>
      <c r="F42" s="103" t="s">
        <v>15</v>
      </c>
      <c r="G42" s="121">
        <v>3450</v>
      </c>
      <c r="H42" s="122">
        <v>344988</v>
      </c>
    </row>
    <row r="43" spans="1:8" ht="15.75" customHeight="1" x14ac:dyDescent="0.25">
      <c r="A43" s="103" t="s">
        <v>12</v>
      </c>
      <c r="B43" s="120">
        <v>23776</v>
      </c>
      <c r="C43" s="103" t="s">
        <v>64</v>
      </c>
      <c r="D43" s="83">
        <v>22104</v>
      </c>
      <c r="E43" s="103" t="s">
        <v>37</v>
      </c>
      <c r="F43" s="103" t="s">
        <v>18</v>
      </c>
      <c r="G43" s="121">
        <v>3437</v>
      </c>
      <c r="H43" s="122">
        <v>343675</v>
      </c>
    </row>
    <row r="44" spans="1:8" ht="15.75" customHeight="1" x14ac:dyDescent="0.25">
      <c r="A44" s="103" t="s">
        <v>12</v>
      </c>
      <c r="B44" s="120">
        <v>25568</v>
      </c>
      <c r="C44" s="103" t="s">
        <v>54</v>
      </c>
      <c r="D44" s="83">
        <v>20770</v>
      </c>
      <c r="E44" s="103" t="s">
        <v>55</v>
      </c>
      <c r="F44" s="103" t="s">
        <v>18</v>
      </c>
      <c r="G44" s="121">
        <v>3418</v>
      </c>
      <c r="H44" s="122">
        <v>341767</v>
      </c>
    </row>
    <row r="45" spans="1:8" ht="15.75" customHeight="1" x14ac:dyDescent="0.25">
      <c r="A45" s="103" t="s">
        <v>12</v>
      </c>
      <c r="B45" s="120">
        <v>21541</v>
      </c>
      <c r="C45" s="103" t="s">
        <v>48</v>
      </c>
      <c r="D45" s="83">
        <v>22221</v>
      </c>
      <c r="E45" s="103" t="s">
        <v>20</v>
      </c>
      <c r="F45" s="103" t="s">
        <v>15</v>
      </c>
      <c r="G45" s="121">
        <v>3366</v>
      </c>
      <c r="H45" s="122">
        <v>336600</v>
      </c>
    </row>
    <row r="46" spans="1:8" ht="15.75" customHeight="1" x14ac:dyDescent="0.25">
      <c r="A46" s="103" t="s">
        <v>12</v>
      </c>
      <c r="B46" s="120">
        <v>22799</v>
      </c>
      <c r="C46" s="103" t="s">
        <v>25</v>
      </c>
      <c r="D46" s="83">
        <v>22036</v>
      </c>
      <c r="E46" s="103" t="s">
        <v>26</v>
      </c>
      <c r="F46" s="103" t="s">
        <v>23</v>
      </c>
      <c r="G46" s="121">
        <v>3246</v>
      </c>
      <c r="H46" s="122">
        <v>324576</v>
      </c>
    </row>
    <row r="47" spans="1:8" ht="15.75" customHeight="1" x14ac:dyDescent="0.25">
      <c r="A47" s="103" t="s">
        <v>12</v>
      </c>
      <c r="B47" s="120">
        <v>32539</v>
      </c>
      <c r="C47" s="103" t="s">
        <v>36</v>
      </c>
      <c r="D47" s="83">
        <v>23067</v>
      </c>
      <c r="E47" s="103" t="s">
        <v>37</v>
      </c>
      <c r="F47" s="103" t="s">
        <v>18</v>
      </c>
      <c r="G47" s="121">
        <v>3180</v>
      </c>
      <c r="H47" s="122">
        <v>318000</v>
      </c>
    </row>
    <row r="48" spans="1:8" ht="15.75" customHeight="1" x14ac:dyDescent="0.25">
      <c r="A48" s="103" t="s">
        <v>12</v>
      </c>
      <c r="B48" s="120">
        <v>32139</v>
      </c>
      <c r="C48" s="103" t="s">
        <v>54</v>
      </c>
      <c r="D48" s="83">
        <v>124124</v>
      </c>
      <c r="E48" s="103" t="s">
        <v>55</v>
      </c>
      <c r="F48" s="103" t="s">
        <v>18</v>
      </c>
      <c r="G48" s="121">
        <v>3142</v>
      </c>
      <c r="H48" s="122">
        <v>314160</v>
      </c>
    </row>
    <row r="49" spans="1:8" ht="15.75" customHeight="1" x14ac:dyDescent="0.25">
      <c r="A49" s="103" t="s">
        <v>12</v>
      </c>
      <c r="B49" s="120">
        <v>30097</v>
      </c>
      <c r="C49" s="103" t="s">
        <v>65</v>
      </c>
      <c r="D49" s="83">
        <v>25437</v>
      </c>
      <c r="E49" s="103" t="s">
        <v>17</v>
      </c>
      <c r="F49" s="103" t="s">
        <v>23</v>
      </c>
      <c r="G49" s="121">
        <v>3114</v>
      </c>
      <c r="H49" s="122">
        <v>311428</v>
      </c>
    </row>
    <row r="50" spans="1:8" ht="15.75" customHeight="1" x14ac:dyDescent="0.25">
      <c r="A50" s="103" t="s">
        <v>24</v>
      </c>
      <c r="B50" s="120">
        <v>25134</v>
      </c>
      <c r="C50" s="103" t="s">
        <v>66</v>
      </c>
      <c r="D50" s="83">
        <v>21389</v>
      </c>
      <c r="E50" s="103" t="s">
        <v>26</v>
      </c>
      <c r="F50" s="103" t="s">
        <v>23</v>
      </c>
      <c r="G50" s="121">
        <v>3049</v>
      </c>
      <c r="H50" s="122">
        <v>304939</v>
      </c>
    </row>
    <row r="51" spans="1:8" ht="15.75" customHeight="1" x14ac:dyDescent="0.25">
      <c r="A51" s="103" t="s">
        <v>12</v>
      </c>
      <c r="B51" s="120">
        <v>29342</v>
      </c>
      <c r="C51" s="103" t="s">
        <v>67</v>
      </c>
      <c r="D51" s="83">
        <v>126870</v>
      </c>
      <c r="E51" s="103" t="s">
        <v>67</v>
      </c>
      <c r="F51" s="103" t="s">
        <v>23</v>
      </c>
      <c r="G51" s="121">
        <v>3007</v>
      </c>
      <c r="H51" s="122">
        <v>300696</v>
      </c>
    </row>
    <row r="52" spans="1:8" ht="15.75" customHeight="1" x14ac:dyDescent="0.25">
      <c r="A52" s="103" t="s">
        <v>12</v>
      </c>
      <c r="B52" s="120">
        <v>33297</v>
      </c>
      <c r="C52" s="103" t="s">
        <v>68</v>
      </c>
      <c r="D52" s="83">
        <v>31074</v>
      </c>
      <c r="E52" s="103" t="s">
        <v>28</v>
      </c>
      <c r="F52" s="103" t="s">
        <v>23</v>
      </c>
      <c r="G52" s="121">
        <v>2908</v>
      </c>
      <c r="H52" s="122">
        <v>290752</v>
      </c>
    </row>
    <row r="53" spans="1:8" ht="15.75" customHeight="1" x14ac:dyDescent="0.25">
      <c r="A53" s="103" t="s">
        <v>24</v>
      </c>
      <c r="B53" s="120">
        <v>29351</v>
      </c>
      <c r="C53" s="103" t="s">
        <v>65</v>
      </c>
      <c r="D53" s="83">
        <v>129557</v>
      </c>
      <c r="E53" s="103" t="s">
        <v>17</v>
      </c>
      <c r="F53" s="103" t="s">
        <v>23</v>
      </c>
      <c r="G53" s="121">
        <v>2890</v>
      </c>
      <c r="H53" s="122">
        <v>288960</v>
      </c>
    </row>
    <row r="54" spans="1:8" ht="15.75" customHeight="1" x14ac:dyDescent="0.25">
      <c r="A54" s="103" t="s">
        <v>24</v>
      </c>
      <c r="B54" s="120">
        <v>32961</v>
      </c>
      <c r="C54" s="103" t="s">
        <v>50</v>
      </c>
      <c r="D54" s="83">
        <v>25535</v>
      </c>
      <c r="E54" s="103" t="s">
        <v>20</v>
      </c>
      <c r="F54" s="103" t="s">
        <v>15</v>
      </c>
      <c r="G54" s="121">
        <v>2885</v>
      </c>
      <c r="H54" s="122">
        <v>288534</v>
      </c>
    </row>
    <row r="55" spans="1:8" ht="15.75" customHeight="1" x14ac:dyDescent="0.25">
      <c r="A55" s="103" t="s">
        <v>12</v>
      </c>
      <c r="B55" s="120">
        <v>26659</v>
      </c>
      <c r="C55" s="103" t="s">
        <v>69</v>
      </c>
      <c r="D55" s="83">
        <v>20487</v>
      </c>
      <c r="E55" s="103" t="s">
        <v>39</v>
      </c>
      <c r="F55" s="103" t="s">
        <v>40</v>
      </c>
      <c r="G55" s="121">
        <v>2778</v>
      </c>
      <c r="H55" s="122">
        <v>277830</v>
      </c>
    </row>
    <row r="56" spans="1:8" ht="15.75" customHeight="1" x14ac:dyDescent="0.25">
      <c r="A56" s="103" t="s">
        <v>12</v>
      </c>
      <c r="B56" s="120">
        <v>28741</v>
      </c>
      <c r="C56" s="103" t="s">
        <v>70</v>
      </c>
      <c r="D56" s="83">
        <v>124772</v>
      </c>
      <c r="E56" s="103" t="s">
        <v>55</v>
      </c>
      <c r="F56" s="103" t="s">
        <v>18</v>
      </c>
      <c r="G56" s="121">
        <v>2704</v>
      </c>
      <c r="H56" s="122">
        <v>270400</v>
      </c>
    </row>
    <row r="57" spans="1:8" ht="15.75" customHeight="1" x14ac:dyDescent="0.25">
      <c r="A57" s="103" t="s">
        <v>12</v>
      </c>
      <c r="B57" s="120">
        <v>21916</v>
      </c>
      <c r="C57" s="103" t="s">
        <v>42</v>
      </c>
      <c r="D57" s="83">
        <v>132656</v>
      </c>
      <c r="E57" s="103" t="s">
        <v>17</v>
      </c>
      <c r="F57" s="103" t="s">
        <v>18</v>
      </c>
      <c r="G57" s="121">
        <v>2704</v>
      </c>
      <c r="H57" s="122">
        <v>270400</v>
      </c>
    </row>
    <row r="58" spans="1:8" ht="15.75" customHeight="1" x14ac:dyDescent="0.25">
      <c r="A58" s="103" t="s">
        <v>12</v>
      </c>
      <c r="B58" s="120">
        <v>30736</v>
      </c>
      <c r="C58" s="103" t="s">
        <v>71</v>
      </c>
      <c r="D58" s="83">
        <v>26467</v>
      </c>
      <c r="E58" s="103" t="s">
        <v>72</v>
      </c>
      <c r="F58" s="103" t="s">
        <v>18</v>
      </c>
      <c r="G58" s="121">
        <v>2561</v>
      </c>
      <c r="H58" s="122">
        <v>256060</v>
      </c>
    </row>
    <row r="59" spans="1:8" ht="15.75" customHeight="1" x14ac:dyDescent="0.25">
      <c r="A59" s="103" t="s">
        <v>24</v>
      </c>
      <c r="B59" s="120">
        <v>26562</v>
      </c>
      <c r="C59" s="103" t="s">
        <v>73</v>
      </c>
      <c r="D59" s="83">
        <v>20995</v>
      </c>
      <c r="E59" s="103" t="s">
        <v>74</v>
      </c>
      <c r="F59" s="103" t="s">
        <v>23</v>
      </c>
      <c r="G59" s="121">
        <v>2553</v>
      </c>
      <c r="H59" s="122">
        <v>255339</v>
      </c>
    </row>
    <row r="60" spans="1:8" ht="15.75" customHeight="1" x14ac:dyDescent="0.25">
      <c r="A60" s="103" t="s">
        <v>12</v>
      </c>
      <c r="B60" s="120">
        <v>31933</v>
      </c>
      <c r="C60" s="103" t="s">
        <v>60</v>
      </c>
      <c r="D60" s="83">
        <v>20569</v>
      </c>
      <c r="E60" s="103" t="s">
        <v>20</v>
      </c>
      <c r="F60" s="103" t="s">
        <v>15</v>
      </c>
      <c r="G60" s="121">
        <v>2497</v>
      </c>
      <c r="H60" s="122">
        <v>249744</v>
      </c>
    </row>
    <row r="61" spans="1:8" ht="15.75" customHeight="1" x14ac:dyDescent="0.25">
      <c r="A61" s="103" t="s">
        <v>12</v>
      </c>
      <c r="B61" s="120">
        <v>17535</v>
      </c>
      <c r="C61" s="103" t="s">
        <v>49</v>
      </c>
      <c r="D61" s="83">
        <v>127365</v>
      </c>
      <c r="E61" s="103" t="s">
        <v>20</v>
      </c>
      <c r="F61" s="103" t="s">
        <v>15</v>
      </c>
      <c r="G61" s="121">
        <v>2487</v>
      </c>
      <c r="H61" s="122">
        <v>248700</v>
      </c>
    </row>
    <row r="62" spans="1:8" ht="15.75" customHeight="1" x14ac:dyDescent="0.25">
      <c r="A62" s="103" t="s">
        <v>12</v>
      </c>
      <c r="B62" s="120">
        <v>29451</v>
      </c>
      <c r="C62" s="103" t="s">
        <v>49</v>
      </c>
      <c r="D62" s="83">
        <v>134616</v>
      </c>
      <c r="E62" s="103" t="s">
        <v>20</v>
      </c>
      <c r="F62" s="103" t="s">
        <v>15</v>
      </c>
      <c r="G62" s="121">
        <v>2470</v>
      </c>
      <c r="H62" s="122">
        <v>246974</v>
      </c>
    </row>
    <row r="63" spans="1:8" ht="15.75" customHeight="1" x14ac:dyDescent="0.25">
      <c r="A63" s="103" t="s">
        <v>12</v>
      </c>
      <c r="B63" s="120">
        <v>29903</v>
      </c>
      <c r="C63" s="103" t="s">
        <v>75</v>
      </c>
      <c r="D63" s="83">
        <v>26681</v>
      </c>
      <c r="E63" s="103" t="s">
        <v>20</v>
      </c>
      <c r="F63" s="103" t="s">
        <v>15</v>
      </c>
      <c r="G63" s="121">
        <v>2400</v>
      </c>
      <c r="H63" s="122">
        <v>240000</v>
      </c>
    </row>
    <row r="64" spans="1:8" ht="15.75" customHeight="1" x14ac:dyDescent="0.25">
      <c r="A64" s="103" t="s">
        <v>12</v>
      </c>
      <c r="B64" s="120">
        <v>24802</v>
      </c>
      <c r="C64" s="103" t="s">
        <v>13</v>
      </c>
      <c r="D64" s="83">
        <v>21235</v>
      </c>
      <c r="E64" s="103" t="s">
        <v>14</v>
      </c>
      <c r="F64" s="103" t="s">
        <v>15</v>
      </c>
      <c r="G64" s="121">
        <v>2392</v>
      </c>
      <c r="H64" s="122">
        <v>239200</v>
      </c>
    </row>
    <row r="65" spans="1:8" ht="15.75" customHeight="1" x14ac:dyDescent="0.25">
      <c r="A65" s="103" t="s">
        <v>12</v>
      </c>
      <c r="B65" s="120">
        <v>28222</v>
      </c>
      <c r="C65" s="103" t="s">
        <v>75</v>
      </c>
      <c r="D65" s="83">
        <v>20795</v>
      </c>
      <c r="E65" s="103" t="s">
        <v>20</v>
      </c>
      <c r="F65" s="103" t="s">
        <v>15</v>
      </c>
      <c r="G65" s="121">
        <v>2358</v>
      </c>
      <c r="H65" s="122">
        <v>235752</v>
      </c>
    </row>
    <row r="66" spans="1:8" ht="15.75" customHeight="1" x14ac:dyDescent="0.25">
      <c r="A66" s="103" t="s">
        <v>12</v>
      </c>
      <c r="B66" s="120">
        <v>26058</v>
      </c>
      <c r="C66" s="103" t="s">
        <v>76</v>
      </c>
      <c r="D66" s="83">
        <v>35721</v>
      </c>
      <c r="E66" s="103" t="s">
        <v>55</v>
      </c>
      <c r="F66" s="103" t="s">
        <v>18</v>
      </c>
      <c r="G66" s="121">
        <v>2308</v>
      </c>
      <c r="H66" s="122">
        <v>230750</v>
      </c>
    </row>
    <row r="67" spans="1:8" ht="15.75" customHeight="1" x14ac:dyDescent="0.25">
      <c r="A67" s="103" t="s">
        <v>12</v>
      </c>
      <c r="B67" s="120">
        <v>29711</v>
      </c>
      <c r="C67" s="103" t="s">
        <v>75</v>
      </c>
      <c r="D67" s="83">
        <v>23034</v>
      </c>
      <c r="E67" s="103" t="s">
        <v>20</v>
      </c>
      <c r="F67" s="103" t="s">
        <v>15</v>
      </c>
      <c r="G67" s="121">
        <v>2273</v>
      </c>
      <c r="H67" s="122">
        <v>227328</v>
      </c>
    </row>
    <row r="68" spans="1:8" ht="15.75" customHeight="1" x14ac:dyDescent="0.25">
      <c r="A68" s="103" t="s">
        <v>12</v>
      </c>
      <c r="B68" s="120">
        <v>22074</v>
      </c>
      <c r="C68" s="103" t="s">
        <v>77</v>
      </c>
      <c r="D68" s="83">
        <v>129382</v>
      </c>
      <c r="E68" s="103" t="s">
        <v>26</v>
      </c>
      <c r="F68" s="103" t="s">
        <v>23</v>
      </c>
      <c r="G68" s="121">
        <v>2268</v>
      </c>
      <c r="H68" s="122">
        <v>226800</v>
      </c>
    </row>
    <row r="69" spans="1:8" ht="15.75" customHeight="1" x14ac:dyDescent="0.25">
      <c r="A69" s="103" t="s">
        <v>12</v>
      </c>
      <c r="B69" s="120">
        <v>29865</v>
      </c>
      <c r="C69" s="103" t="s">
        <v>61</v>
      </c>
      <c r="D69" s="83">
        <v>25689</v>
      </c>
      <c r="E69" s="103" t="s">
        <v>26</v>
      </c>
      <c r="F69" s="103" t="s">
        <v>23</v>
      </c>
      <c r="G69" s="121">
        <v>2231</v>
      </c>
      <c r="H69" s="122">
        <v>223146</v>
      </c>
    </row>
    <row r="70" spans="1:8" ht="15.75" customHeight="1" x14ac:dyDescent="0.25">
      <c r="A70" s="103" t="s">
        <v>12</v>
      </c>
      <c r="B70" s="120">
        <v>25673</v>
      </c>
      <c r="C70" s="103" t="s">
        <v>75</v>
      </c>
      <c r="D70" s="83">
        <v>22298</v>
      </c>
      <c r="E70" s="103" t="s">
        <v>20</v>
      </c>
      <c r="F70" s="103" t="s">
        <v>15</v>
      </c>
      <c r="G70" s="121">
        <v>2204</v>
      </c>
      <c r="H70" s="122">
        <v>220374</v>
      </c>
    </row>
    <row r="71" spans="1:8" ht="15.75" customHeight="1" x14ac:dyDescent="0.25">
      <c r="A71" s="103" t="s">
        <v>12</v>
      </c>
      <c r="B71" s="120">
        <v>32861</v>
      </c>
      <c r="C71" s="103" t="s">
        <v>78</v>
      </c>
      <c r="D71" s="83">
        <v>25778</v>
      </c>
      <c r="E71" s="103" t="s">
        <v>74</v>
      </c>
      <c r="F71" s="103" t="s">
        <v>79</v>
      </c>
      <c r="G71" s="121">
        <v>2194</v>
      </c>
      <c r="H71" s="122">
        <v>219418</v>
      </c>
    </row>
    <row r="72" spans="1:8" ht="15.75" customHeight="1" x14ac:dyDescent="0.25">
      <c r="A72" s="103" t="s">
        <v>12</v>
      </c>
      <c r="B72" s="120">
        <v>32716</v>
      </c>
      <c r="C72" s="103" t="s">
        <v>69</v>
      </c>
      <c r="D72" s="83">
        <v>125733</v>
      </c>
      <c r="E72" s="103" t="s">
        <v>39</v>
      </c>
      <c r="F72" s="103" t="s">
        <v>40</v>
      </c>
      <c r="G72" s="121">
        <v>2173</v>
      </c>
      <c r="H72" s="122">
        <v>217250</v>
      </c>
    </row>
    <row r="73" spans="1:8" ht="15.75" customHeight="1" x14ac:dyDescent="0.25">
      <c r="A73" s="103" t="s">
        <v>24</v>
      </c>
      <c r="B73" s="120">
        <v>21352</v>
      </c>
      <c r="C73" s="103" t="s">
        <v>19</v>
      </c>
      <c r="D73" s="83">
        <v>24442</v>
      </c>
      <c r="E73" s="103" t="s">
        <v>20</v>
      </c>
      <c r="F73" s="103" t="s">
        <v>15</v>
      </c>
      <c r="G73" s="121">
        <v>2128</v>
      </c>
      <c r="H73" s="122">
        <v>212800</v>
      </c>
    </row>
    <row r="74" spans="1:8" ht="15.75" customHeight="1" x14ac:dyDescent="0.25">
      <c r="A74" s="103" t="s">
        <v>12</v>
      </c>
      <c r="B74" s="120">
        <v>28949</v>
      </c>
      <c r="C74" s="103" t="s">
        <v>54</v>
      </c>
      <c r="D74" s="83">
        <v>140452</v>
      </c>
      <c r="E74" s="103" t="s">
        <v>55</v>
      </c>
      <c r="F74" s="103" t="s">
        <v>18</v>
      </c>
      <c r="G74" s="121">
        <v>2123</v>
      </c>
      <c r="H74" s="122">
        <v>212256</v>
      </c>
    </row>
    <row r="75" spans="1:8" ht="15.75" customHeight="1" x14ac:dyDescent="0.25">
      <c r="A75" s="103" t="s">
        <v>12</v>
      </c>
      <c r="B75" s="120">
        <v>23590</v>
      </c>
      <c r="C75" s="103" t="s">
        <v>80</v>
      </c>
      <c r="D75" s="83">
        <v>127817</v>
      </c>
      <c r="E75" s="103" t="s">
        <v>26</v>
      </c>
      <c r="F75" s="103" t="s">
        <v>23</v>
      </c>
      <c r="G75" s="121">
        <v>2080</v>
      </c>
      <c r="H75" s="122">
        <v>208000</v>
      </c>
    </row>
    <row r="76" spans="1:8" ht="15.75" customHeight="1" x14ac:dyDescent="0.25">
      <c r="A76" s="103" t="s">
        <v>12</v>
      </c>
      <c r="B76" s="120">
        <v>20880</v>
      </c>
      <c r="C76" s="103" t="s">
        <v>50</v>
      </c>
      <c r="D76" s="83">
        <v>21004</v>
      </c>
      <c r="E76" s="103" t="s">
        <v>20</v>
      </c>
      <c r="F76" s="103" t="s">
        <v>15</v>
      </c>
      <c r="G76" s="121">
        <v>2054</v>
      </c>
      <c r="H76" s="122">
        <v>205387</v>
      </c>
    </row>
    <row r="77" spans="1:8" ht="15.75" customHeight="1" x14ac:dyDescent="0.25">
      <c r="A77" s="103" t="s">
        <v>12</v>
      </c>
      <c r="B77" s="120">
        <v>27616</v>
      </c>
      <c r="C77" s="103" t="s">
        <v>81</v>
      </c>
      <c r="D77" s="83">
        <v>20603</v>
      </c>
      <c r="E77" s="103" t="s">
        <v>39</v>
      </c>
      <c r="F77" s="103" t="s">
        <v>40</v>
      </c>
      <c r="G77" s="121">
        <v>2040</v>
      </c>
      <c r="H77" s="122">
        <v>204000</v>
      </c>
    </row>
    <row r="78" spans="1:8" ht="15.75" customHeight="1" x14ac:dyDescent="0.25">
      <c r="A78" s="103" t="s">
        <v>24</v>
      </c>
      <c r="B78" s="120">
        <v>29989</v>
      </c>
      <c r="C78" s="103" t="s">
        <v>82</v>
      </c>
      <c r="D78" s="83">
        <v>20786</v>
      </c>
      <c r="E78" s="103" t="s">
        <v>22</v>
      </c>
      <c r="F78" s="103" t="s">
        <v>23</v>
      </c>
      <c r="G78" s="121">
        <v>2027</v>
      </c>
      <c r="H78" s="122">
        <v>202735</v>
      </c>
    </row>
    <row r="79" spans="1:8" ht="15.75" customHeight="1" x14ac:dyDescent="0.25">
      <c r="A79" s="103" t="s">
        <v>12</v>
      </c>
      <c r="B79" s="120">
        <v>28730</v>
      </c>
      <c r="C79" s="103" t="s">
        <v>83</v>
      </c>
      <c r="D79" s="83">
        <v>20526</v>
      </c>
      <c r="E79" s="103" t="s">
        <v>84</v>
      </c>
      <c r="F79" s="103" t="s">
        <v>40</v>
      </c>
      <c r="G79" s="121">
        <v>1966</v>
      </c>
      <c r="H79" s="122">
        <v>196593</v>
      </c>
    </row>
    <row r="80" spans="1:8" ht="15.75" customHeight="1" x14ac:dyDescent="0.25">
      <c r="A80" s="103" t="s">
        <v>12</v>
      </c>
      <c r="B80" s="120">
        <v>25272</v>
      </c>
      <c r="C80" s="103" t="s">
        <v>85</v>
      </c>
      <c r="D80" s="83">
        <v>93908</v>
      </c>
      <c r="E80" s="103" t="s">
        <v>86</v>
      </c>
      <c r="F80" s="103" t="s">
        <v>40</v>
      </c>
      <c r="G80" s="121">
        <v>1942</v>
      </c>
      <c r="H80" s="122">
        <v>194233</v>
      </c>
    </row>
    <row r="81" spans="1:8" ht="15.75" customHeight="1" x14ac:dyDescent="0.25">
      <c r="A81" s="103" t="s">
        <v>12</v>
      </c>
      <c r="B81" s="120">
        <v>28217</v>
      </c>
      <c r="C81" s="103" t="s">
        <v>87</v>
      </c>
      <c r="D81" s="83">
        <v>20947</v>
      </c>
      <c r="E81" s="103" t="s">
        <v>28</v>
      </c>
      <c r="F81" s="103" t="s">
        <v>23</v>
      </c>
      <c r="G81" s="121">
        <v>1890</v>
      </c>
      <c r="H81" s="122">
        <v>189000</v>
      </c>
    </row>
    <row r="82" spans="1:8" ht="15.75" customHeight="1" x14ac:dyDescent="0.25">
      <c r="A82" s="103" t="s">
        <v>12</v>
      </c>
      <c r="B82" s="120">
        <v>24960</v>
      </c>
      <c r="C82" s="103" t="s">
        <v>48</v>
      </c>
      <c r="D82" s="83">
        <v>20635</v>
      </c>
      <c r="E82" s="103" t="s">
        <v>20</v>
      </c>
      <c r="F82" s="103" t="s">
        <v>15</v>
      </c>
      <c r="G82" s="121">
        <v>1835</v>
      </c>
      <c r="H82" s="122">
        <v>183456</v>
      </c>
    </row>
    <row r="83" spans="1:8" ht="15.75" customHeight="1" x14ac:dyDescent="0.25">
      <c r="A83" s="103" t="s">
        <v>24</v>
      </c>
      <c r="B83" s="120">
        <v>29527</v>
      </c>
      <c r="C83" s="103" t="s">
        <v>88</v>
      </c>
      <c r="D83" s="83">
        <v>22561</v>
      </c>
      <c r="E83" s="103" t="s">
        <v>52</v>
      </c>
      <c r="F83" s="103" t="s">
        <v>15</v>
      </c>
      <c r="G83" s="121">
        <v>1792</v>
      </c>
      <c r="H83" s="122">
        <v>179200</v>
      </c>
    </row>
    <row r="84" spans="1:8" ht="15.75" customHeight="1" x14ac:dyDescent="0.25">
      <c r="A84" s="103" t="s">
        <v>24</v>
      </c>
      <c r="B84" s="120">
        <v>24887</v>
      </c>
      <c r="C84" s="103" t="s">
        <v>60</v>
      </c>
      <c r="D84" s="83">
        <v>21578</v>
      </c>
      <c r="E84" s="103" t="s">
        <v>20</v>
      </c>
      <c r="F84" s="103" t="s">
        <v>15</v>
      </c>
      <c r="G84" s="121">
        <v>1787</v>
      </c>
      <c r="H84" s="122">
        <v>178689</v>
      </c>
    </row>
    <row r="85" spans="1:8" ht="15.75" customHeight="1" x14ac:dyDescent="0.25">
      <c r="A85" s="103" t="s">
        <v>12</v>
      </c>
      <c r="B85" s="120">
        <v>16695</v>
      </c>
      <c r="C85" s="103" t="s">
        <v>54</v>
      </c>
      <c r="D85" s="83">
        <v>22993</v>
      </c>
      <c r="E85" s="103" t="s">
        <v>55</v>
      </c>
      <c r="F85" s="103" t="s">
        <v>18</v>
      </c>
      <c r="G85" s="121">
        <v>1776</v>
      </c>
      <c r="H85" s="122">
        <v>177568</v>
      </c>
    </row>
    <row r="86" spans="1:8" ht="15.75" customHeight="1" x14ac:dyDescent="0.25">
      <c r="A86" s="103" t="s">
        <v>12</v>
      </c>
      <c r="B86" s="120">
        <v>29057</v>
      </c>
      <c r="C86" s="103" t="s">
        <v>61</v>
      </c>
      <c r="D86" s="83">
        <v>25330</v>
      </c>
      <c r="E86" s="103" t="s">
        <v>26</v>
      </c>
      <c r="F86" s="103" t="s">
        <v>23</v>
      </c>
      <c r="G86" s="121">
        <v>1765</v>
      </c>
      <c r="H86" s="122">
        <v>176472</v>
      </c>
    </row>
    <row r="87" spans="1:8" ht="15.75" customHeight="1" x14ac:dyDescent="0.25">
      <c r="A87" s="103" t="s">
        <v>12</v>
      </c>
      <c r="B87" s="120">
        <v>31413</v>
      </c>
      <c r="C87" s="103" t="s">
        <v>89</v>
      </c>
      <c r="D87" s="83">
        <v>123665</v>
      </c>
      <c r="E87" s="103" t="s">
        <v>39</v>
      </c>
      <c r="F87" s="103" t="s">
        <v>40</v>
      </c>
      <c r="G87" s="121">
        <v>1739</v>
      </c>
      <c r="H87" s="122">
        <v>173936</v>
      </c>
    </row>
    <row r="88" spans="1:8" ht="15.75" customHeight="1" x14ac:dyDescent="0.25">
      <c r="A88" s="103" t="s">
        <v>12</v>
      </c>
      <c r="B88" s="120">
        <v>26830</v>
      </c>
      <c r="C88" s="103" t="s">
        <v>30</v>
      </c>
      <c r="D88" s="83">
        <v>23705</v>
      </c>
      <c r="E88" s="103" t="s">
        <v>20</v>
      </c>
      <c r="F88" s="103" t="s">
        <v>15</v>
      </c>
      <c r="G88" s="121">
        <v>1724</v>
      </c>
      <c r="H88" s="122">
        <v>172356</v>
      </c>
    </row>
    <row r="89" spans="1:8" ht="15.75" customHeight="1" x14ac:dyDescent="0.25">
      <c r="A89" s="103" t="s">
        <v>12</v>
      </c>
      <c r="B89" s="120">
        <v>29722</v>
      </c>
      <c r="C89" s="103" t="s">
        <v>90</v>
      </c>
      <c r="D89" s="83">
        <v>21979</v>
      </c>
      <c r="E89" s="103" t="s">
        <v>14</v>
      </c>
      <c r="F89" s="103" t="s">
        <v>15</v>
      </c>
      <c r="G89" s="121">
        <v>1687</v>
      </c>
      <c r="H89" s="122">
        <v>168665</v>
      </c>
    </row>
    <row r="90" spans="1:8" ht="15.75" customHeight="1" x14ac:dyDescent="0.25">
      <c r="A90" s="103" t="s">
        <v>12</v>
      </c>
      <c r="B90" s="120">
        <v>31949</v>
      </c>
      <c r="C90" s="103" t="s">
        <v>48</v>
      </c>
      <c r="D90" s="83">
        <v>26269</v>
      </c>
      <c r="E90" s="103" t="s">
        <v>20</v>
      </c>
      <c r="F90" s="103" t="s">
        <v>15</v>
      </c>
      <c r="G90" s="121">
        <v>1675</v>
      </c>
      <c r="H90" s="122">
        <v>167500</v>
      </c>
    </row>
    <row r="91" spans="1:8" ht="15.75" customHeight="1" x14ac:dyDescent="0.25">
      <c r="A91" s="103" t="s">
        <v>12</v>
      </c>
      <c r="B91" s="120">
        <v>28270</v>
      </c>
      <c r="C91" s="103" t="s">
        <v>91</v>
      </c>
      <c r="D91" s="83">
        <v>20463</v>
      </c>
      <c r="E91" s="103" t="s">
        <v>22</v>
      </c>
      <c r="F91" s="103" t="s">
        <v>23</v>
      </c>
      <c r="G91" s="121">
        <v>1671</v>
      </c>
      <c r="H91" s="122">
        <v>167090</v>
      </c>
    </row>
    <row r="92" spans="1:8" ht="15.75" customHeight="1" x14ac:dyDescent="0.25">
      <c r="A92" s="103" t="s">
        <v>12</v>
      </c>
      <c r="B92" s="120">
        <v>20009</v>
      </c>
      <c r="C92" s="103" t="s">
        <v>80</v>
      </c>
      <c r="D92" s="83">
        <v>25285</v>
      </c>
      <c r="E92" s="103" t="s">
        <v>26</v>
      </c>
      <c r="F92" s="103" t="s">
        <v>23</v>
      </c>
      <c r="G92" s="121">
        <v>1663</v>
      </c>
      <c r="H92" s="122">
        <v>166347</v>
      </c>
    </row>
    <row r="93" spans="1:8" ht="15.75" customHeight="1" x14ac:dyDescent="0.25">
      <c r="A93" s="103" t="s">
        <v>12</v>
      </c>
      <c r="B93" s="120">
        <v>32663</v>
      </c>
      <c r="C93" s="103" t="s">
        <v>92</v>
      </c>
      <c r="D93" s="83">
        <v>21707</v>
      </c>
      <c r="E93" s="103" t="s">
        <v>35</v>
      </c>
      <c r="F93" s="103" t="s">
        <v>15</v>
      </c>
      <c r="G93" s="121">
        <v>1655</v>
      </c>
      <c r="H93" s="122">
        <v>165540</v>
      </c>
    </row>
    <row r="94" spans="1:8" ht="15.75" customHeight="1" x14ac:dyDescent="0.25">
      <c r="A94" s="103" t="s">
        <v>12</v>
      </c>
      <c r="B94" s="120">
        <v>28635</v>
      </c>
      <c r="C94" s="103" t="s">
        <v>93</v>
      </c>
      <c r="D94" s="83">
        <v>21223</v>
      </c>
      <c r="E94" s="103" t="s">
        <v>14</v>
      </c>
      <c r="F94" s="103" t="s">
        <v>15</v>
      </c>
      <c r="G94" s="121">
        <v>1652</v>
      </c>
      <c r="H94" s="122">
        <v>165200</v>
      </c>
    </row>
    <row r="95" spans="1:8" ht="15.75" customHeight="1" x14ac:dyDescent="0.25">
      <c r="A95" s="103" t="s">
        <v>12</v>
      </c>
      <c r="B95" s="120">
        <v>27865</v>
      </c>
      <c r="C95" s="103" t="s">
        <v>94</v>
      </c>
      <c r="D95" s="83">
        <v>23980</v>
      </c>
      <c r="E95" s="103" t="s">
        <v>28</v>
      </c>
      <c r="F95" s="103" t="s">
        <v>23</v>
      </c>
      <c r="G95" s="121">
        <v>1650</v>
      </c>
      <c r="H95" s="122">
        <v>165000</v>
      </c>
    </row>
    <row r="96" spans="1:8" ht="15.75" customHeight="1" x14ac:dyDescent="0.25">
      <c r="A96" s="103" t="s">
        <v>12</v>
      </c>
      <c r="B96" s="120">
        <v>33</v>
      </c>
      <c r="C96" s="103" t="s">
        <v>95</v>
      </c>
      <c r="D96" s="83">
        <v>23131</v>
      </c>
      <c r="E96" s="103" t="s">
        <v>28</v>
      </c>
      <c r="F96" s="103" t="s">
        <v>23</v>
      </c>
      <c r="G96" s="121">
        <v>1650</v>
      </c>
      <c r="H96" s="122">
        <v>165000</v>
      </c>
    </row>
    <row r="97" spans="1:8" ht="15.75" customHeight="1" x14ac:dyDescent="0.25">
      <c r="A97" s="103" t="s">
        <v>12</v>
      </c>
      <c r="B97" s="120">
        <v>31158</v>
      </c>
      <c r="C97" s="103" t="s">
        <v>29</v>
      </c>
      <c r="D97" s="83">
        <v>21897</v>
      </c>
      <c r="E97" s="103" t="s">
        <v>14</v>
      </c>
      <c r="F97" s="103" t="s">
        <v>15</v>
      </c>
      <c r="G97" s="121">
        <v>1612</v>
      </c>
      <c r="H97" s="122">
        <v>161240</v>
      </c>
    </row>
    <row r="98" spans="1:8" ht="15.75" customHeight="1" x14ac:dyDescent="0.25">
      <c r="A98" s="103" t="s">
        <v>12</v>
      </c>
      <c r="B98" s="120">
        <v>32102</v>
      </c>
      <c r="C98" s="103" t="s">
        <v>96</v>
      </c>
      <c r="D98" s="83">
        <v>20630</v>
      </c>
      <c r="E98" s="103" t="s">
        <v>52</v>
      </c>
      <c r="F98" s="103" t="s">
        <v>15</v>
      </c>
      <c r="G98" s="121">
        <v>1595</v>
      </c>
      <c r="H98" s="122">
        <v>159516</v>
      </c>
    </row>
    <row r="99" spans="1:8" ht="15.75" customHeight="1" x14ac:dyDescent="0.25">
      <c r="A99" s="103" t="s">
        <v>12</v>
      </c>
      <c r="B99" s="120">
        <v>33879</v>
      </c>
      <c r="C99" s="103" t="s">
        <v>97</v>
      </c>
      <c r="D99" s="83">
        <v>22557</v>
      </c>
      <c r="E99" s="103" t="s">
        <v>26</v>
      </c>
      <c r="F99" s="103" t="s">
        <v>23</v>
      </c>
      <c r="G99" s="121">
        <v>1564</v>
      </c>
      <c r="H99" s="122">
        <v>156404</v>
      </c>
    </row>
    <row r="100" spans="1:8" ht="15.75" customHeight="1" x14ac:dyDescent="0.25">
      <c r="A100" s="103" t="s">
        <v>12</v>
      </c>
      <c r="B100" s="120">
        <v>26765</v>
      </c>
      <c r="C100" s="103" t="s">
        <v>48</v>
      </c>
      <c r="D100" s="83">
        <v>20578</v>
      </c>
      <c r="E100" s="103" t="s">
        <v>20</v>
      </c>
      <c r="F100" s="103" t="s">
        <v>15</v>
      </c>
      <c r="G100" s="121">
        <v>1514</v>
      </c>
      <c r="H100" s="122">
        <v>151392</v>
      </c>
    </row>
    <row r="101" spans="1:8" ht="15.75" customHeight="1" x14ac:dyDescent="0.25">
      <c r="A101" s="103" t="s">
        <v>12</v>
      </c>
      <c r="B101" s="120">
        <v>32270</v>
      </c>
      <c r="C101" s="103" t="s">
        <v>48</v>
      </c>
      <c r="D101" s="83">
        <v>130203</v>
      </c>
      <c r="E101" s="103" t="s">
        <v>20</v>
      </c>
      <c r="F101" s="103" t="s">
        <v>15</v>
      </c>
      <c r="G101" s="121">
        <v>1492</v>
      </c>
      <c r="H101" s="122">
        <v>149200</v>
      </c>
    </row>
    <row r="102" spans="1:8" ht="15.75" customHeight="1" x14ac:dyDescent="0.25">
      <c r="A102" s="103" t="s">
        <v>12</v>
      </c>
      <c r="B102" s="120">
        <v>20663</v>
      </c>
      <c r="C102" s="103" t="s">
        <v>48</v>
      </c>
      <c r="D102" s="83">
        <v>22206</v>
      </c>
      <c r="E102" s="103" t="s">
        <v>20</v>
      </c>
      <c r="F102" s="103" t="s">
        <v>15</v>
      </c>
      <c r="G102" s="121">
        <v>1474</v>
      </c>
      <c r="H102" s="122">
        <v>147350</v>
      </c>
    </row>
    <row r="103" spans="1:8" ht="15.75" customHeight="1" x14ac:dyDescent="0.25">
      <c r="A103" s="103" t="s">
        <v>12</v>
      </c>
      <c r="B103" s="120">
        <v>26638</v>
      </c>
      <c r="C103" s="103" t="s">
        <v>62</v>
      </c>
      <c r="D103" s="83">
        <v>21388</v>
      </c>
      <c r="E103" s="103" t="s">
        <v>14</v>
      </c>
      <c r="F103" s="103" t="s">
        <v>15</v>
      </c>
      <c r="G103" s="121">
        <v>1456</v>
      </c>
      <c r="H103" s="122">
        <v>145600</v>
      </c>
    </row>
    <row r="104" spans="1:8" ht="15.75" customHeight="1" x14ac:dyDescent="0.25">
      <c r="A104" s="103" t="s">
        <v>12</v>
      </c>
      <c r="B104" s="120">
        <v>22842</v>
      </c>
      <c r="C104" s="103" t="s">
        <v>98</v>
      </c>
      <c r="D104" s="83">
        <v>20492</v>
      </c>
      <c r="E104" s="103" t="s">
        <v>28</v>
      </c>
      <c r="F104" s="103" t="s">
        <v>23</v>
      </c>
      <c r="G104" s="121">
        <v>1446</v>
      </c>
      <c r="H104" s="122">
        <v>144600</v>
      </c>
    </row>
    <row r="105" spans="1:8" ht="15.75" customHeight="1" x14ac:dyDescent="0.25">
      <c r="A105" s="103" t="s">
        <v>12</v>
      </c>
      <c r="B105" s="120">
        <v>22811</v>
      </c>
      <c r="C105" s="103" t="s">
        <v>73</v>
      </c>
      <c r="D105" s="83">
        <v>21625</v>
      </c>
      <c r="E105" s="103" t="s">
        <v>74</v>
      </c>
      <c r="F105" s="103" t="s">
        <v>23</v>
      </c>
      <c r="G105" s="121">
        <v>1438</v>
      </c>
      <c r="H105" s="122">
        <v>143814</v>
      </c>
    </row>
    <row r="106" spans="1:8" ht="15.75" customHeight="1" x14ac:dyDescent="0.25">
      <c r="A106" s="103" t="s">
        <v>12</v>
      </c>
      <c r="B106" s="120">
        <v>22818</v>
      </c>
      <c r="C106" s="103" t="s">
        <v>80</v>
      </c>
      <c r="D106" s="83">
        <v>27310</v>
      </c>
      <c r="E106" s="103" t="s">
        <v>26</v>
      </c>
      <c r="F106" s="103" t="s">
        <v>23</v>
      </c>
      <c r="G106" s="121">
        <v>1438</v>
      </c>
      <c r="H106" s="122">
        <v>143770</v>
      </c>
    </row>
    <row r="107" spans="1:8" ht="15.75" customHeight="1" x14ac:dyDescent="0.25">
      <c r="A107" s="103" t="s">
        <v>12</v>
      </c>
      <c r="B107" s="120">
        <v>32625</v>
      </c>
      <c r="C107" s="103" t="s">
        <v>19</v>
      </c>
      <c r="D107" s="83">
        <v>20913</v>
      </c>
      <c r="E107" s="103" t="s">
        <v>20</v>
      </c>
      <c r="F107" s="103" t="s">
        <v>15</v>
      </c>
      <c r="G107" s="121">
        <v>1434</v>
      </c>
      <c r="H107" s="122">
        <v>143376</v>
      </c>
    </row>
    <row r="108" spans="1:8" ht="15.75" customHeight="1" x14ac:dyDescent="0.25">
      <c r="A108" s="103" t="s">
        <v>12</v>
      </c>
      <c r="B108" s="120">
        <v>29500</v>
      </c>
      <c r="C108" s="103" t="s">
        <v>99</v>
      </c>
      <c r="D108" s="83">
        <v>32475</v>
      </c>
      <c r="E108" s="103" t="s">
        <v>74</v>
      </c>
      <c r="F108" s="103" t="s">
        <v>79</v>
      </c>
      <c r="G108" s="121">
        <v>1430</v>
      </c>
      <c r="H108" s="122">
        <v>143040</v>
      </c>
    </row>
    <row r="109" spans="1:8" ht="15.75" customHeight="1" x14ac:dyDescent="0.25">
      <c r="A109" s="103" t="s">
        <v>12</v>
      </c>
      <c r="B109" s="120">
        <v>25772</v>
      </c>
      <c r="C109" s="103" t="s">
        <v>49</v>
      </c>
      <c r="D109" s="83">
        <v>27407</v>
      </c>
      <c r="E109" s="103" t="s">
        <v>20</v>
      </c>
      <c r="F109" s="103" t="s">
        <v>15</v>
      </c>
      <c r="G109" s="121">
        <v>1416</v>
      </c>
      <c r="H109" s="122">
        <v>141570</v>
      </c>
    </row>
    <row r="110" spans="1:8" ht="15.75" customHeight="1" x14ac:dyDescent="0.25">
      <c r="A110" s="103" t="s">
        <v>12</v>
      </c>
      <c r="B110" s="120">
        <v>30543</v>
      </c>
      <c r="C110" s="103" t="s">
        <v>60</v>
      </c>
      <c r="D110" s="83">
        <v>21315</v>
      </c>
      <c r="E110" s="103" t="s">
        <v>20</v>
      </c>
      <c r="F110" s="103" t="s">
        <v>15</v>
      </c>
      <c r="G110" s="121">
        <v>1400</v>
      </c>
      <c r="H110" s="122">
        <v>140000</v>
      </c>
    </row>
    <row r="111" spans="1:8" ht="15.75" customHeight="1" x14ac:dyDescent="0.25">
      <c r="A111" s="103" t="s">
        <v>12</v>
      </c>
      <c r="B111" s="120">
        <v>23657</v>
      </c>
      <c r="C111" s="103" t="s">
        <v>100</v>
      </c>
      <c r="D111" s="83">
        <v>20570</v>
      </c>
      <c r="E111" s="103" t="s">
        <v>14</v>
      </c>
      <c r="F111" s="103" t="s">
        <v>15</v>
      </c>
      <c r="G111" s="121">
        <v>1397</v>
      </c>
      <c r="H111" s="122">
        <v>139740</v>
      </c>
    </row>
    <row r="112" spans="1:8" ht="15.75" customHeight="1" x14ac:dyDescent="0.25">
      <c r="A112" s="103" t="s">
        <v>12</v>
      </c>
      <c r="B112" s="120">
        <v>23165</v>
      </c>
      <c r="C112" s="103" t="s">
        <v>60</v>
      </c>
      <c r="D112" s="83">
        <v>20563</v>
      </c>
      <c r="E112" s="103" t="s">
        <v>20</v>
      </c>
      <c r="F112" s="103" t="s">
        <v>15</v>
      </c>
      <c r="G112" s="121">
        <v>1389</v>
      </c>
      <c r="H112" s="122">
        <v>138886</v>
      </c>
    </row>
    <row r="113" spans="1:8" ht="15.75" customHeight="1" x14ac:dyDescent="0.25">
      <c r="A113" s="103" t="s">
        <v>12</v>
      </c>
      <c r="B113" s="120">
        <v>30803</v>
      </c>
      <c r="C113" s="103" t="s">
        <v>101</v>
      </c>
      <c r="D113" s="83">
        <v>33701</v>
      </c>
      <c r="E113" s="103" t="s">
        <v>39</v>
      </c>
      <c r="F113" s="103" t="s">
        <v>79</v>
      </c>
      <c r="G113" s="121">
        <v>1386</v>
      </c>
      <c r="H113" s="122">
        <v>138556</v>
      </c>
    </row>
    <row r="114" spans="1:8" ht="15.75" customHeight="1" x14ac:dyDescent="0.25">
      <c r="A114" s="103" t="s">
        <v>24</v>
      </c>
      <c r="B114" s="120">
        <v>29662</v>
      </c>
      <c r="C114" s="103" t="s">
        <v>60</v>
      </c>
      <c r="D114" s="83">
        <v>20893</v>
      </c>
      <c r="E114" s="103" t="s">
        <v>20</v>
      </c>
      <c r="F114" s="103" t="s">
        <v>15</v>
      </c>
      <c r="G114" s="121">
        <v>1379</v>
      </c>
      <c r="H114" s="122">
        <v>137860</v>
      </c>
    </row>
    <row r="115" spans="1:8" ht="15.75" customHeight="1" x14ac:dyDescent="0.25">
      <c r="A115" s="103" t="s">
        <v>12</v>
      </c>
      <c r="B115" s="120">
        <v>30941</v>
      </c>
      <c r="C115" s="103" t="s">
        <v>27</v>
      </c>
      <c r="D115" s="83">
        <v>123827</v>
      </c>
      <c r="E115" s="103" t="s">
        <v>28</v>
      </c>
      <c r="F115" s="103" t="s">
        <v>23</v>
      </c>
      <c r="G115" s="121">
        <v>1377</v>
      </c>
      <c r="H115" s="122">
        <v>137747</v>
      </c>
    </row>
    <row r="116" spans="1:8" ht="15.75" customHeight="1" x14ac:dyDescent="0.25">
      <c r="A116" s="103" t="s">
        <v>12</v>
      </c>
      <c r="B116" s="120">
        <v>28350</v>
      </c>
      <c r="C116" s="103" t="s">
        <v>102</v>
      </c>
      <c r="D116" s="83">
        <v>22349</v>
      </c>
      <c r="E116" s="103" t="s">
        <v>84</v>
      </c>
      <c r="F116" s="103" t="s">
        <v>40</v>
      </c>
      <c r="G116" s="121">
        <v>1339</v>
      </c>
      <c r="H116" s="122">
        <v>133864</v>
      </c>
    </row>
    <row r="117" spans="1:8" ht="15.75" customHeight="1" x14ac:dyDescent="0.25">
      <c r="A117" s="103" t="s">
        <v>12</v>
      </c>
      <c r="B117" s="120">
        <v>26912</v>
      </c>
      <c r="C117" s="103" t="s">
        <v>41</v>
      </c>
      <c r="D117" s="83">
        <v>134219</v>
      </c>
      <c r="E117" s="103" t="s">
        <v>20</v>
      </c>
      <c r="F117" s="103" t="s">
        <v>15</v>
      </c>
      <c r="G117" s="121">
        <v>1333</v>
      </c>
      <c r="H117" s="122">
        <v>133300</v>
      </c>
    </row>
    <row r="118" spans="1:8" ht="15.75" customHeight="1" x14ac:dyDescent="0.25">
      <c r="A118" s="103" t="s">
        <v>12</v>
      </c>
      <c r="B118" s="120">
        <v>24210</v>
      </c>
      <c r="C118" s="103" t="s">
        <v>48</v>
      </c>
      <c r="D118" s="83">
        <v>20800</v>
      </c>
      <c r="E118" s="103" t="s">
        <v>20</v>
      </c>
      <c r="F118" s="103" t="s">
        <v>15</v>
      </c>
      <c r="G118" s="121">
        <v>1323</v>
      </c>
      <c r="H118" s="122">
        <v>132345</v>
      </c>
    </row>
    <row r="119" spans="1:8" ht="15.75" customHeight="1" x14ac:dyDescent="0.25">
      <c r="A119" s="103" t="s">
        <v>12</v>
      </c>
      <c r="B119" s="120">
        <v>26358</v>
      </c>
      <c r="C119" s="103" t="s">
        <v>103</v>
      </c>
      <c r="D119" s="83">
        <v>133051</v>
      </c>
      <c r="E119" s="103" t="s">
        <v>39</v>
      </c>
      <c r="F119" s="103" t="s">
        <v>40</v>
      </c>
      <c r="G119" s="121">
        <v>1320</v>
      </c>
      <c r="H119" s="122">
        <v>132000</v>
      </c>
    </row>
    <row r="120" spans="1:8" ht="15.75" customHeight="1" x14ac:dyDescent="0.25">
      <c r="A120" s="103" t="s">
        <v>12</v>
      </c>
      <c r="B120" s="120">
        <v>23500</v>
      </c>
      <c r="C120" s="103" t="s">
        <v>25</v>
      </c>
      <c r="D120" s="83">
        <v>24629</v>
      </c>
      <c r="E120" s="103" t="s">
        <v>26</v>
      </c>
      <c r="F120" s="103" t="s">
        <v>23</v>
      </c>
      <c r="G120" s="121">
        <v>1297</v>
      </c>
      <c r="H120" s="122">
        <v>129708</v>
      </c>
    </row>
    <row r="121" spans="1:8" ht="15.75" customHeight="1" x14ac:dyDescent="0.25">
      <c r="A121" s="103" t="s">
        <v>12</v>
      </c>
      <c r="B121" s="120">
        <v>30819</v>
      </c>
      <c r="C121" s="103" t="s">
        <v>50</v>
      </c>
      <c r="D121" s="83">
        <v>20528</v>
      </c>
      <c r="E121" s="103" t="s">
        <v>20</v>
      </c>
      <c r="F121" s="103" t="s">
        <v>15</v>
      </c>
      <c r="G121" s="121">
        <v>1290</v>
      </c>
      <c r="H121" s="122">
        <v>128968</v>
      </c>
    </row>
    <row r="122" spans="1:8" ht="15.75" customHeight="1" x14ac:dyDescent="0.25">
      <c r="A122" s="103" t="s">
        <v>12</v>
      </c>
      <c r="B122" s="120">
        <v>26069</v>
      </c>
      <c r="C122" s="103" t="s">
        <v>73</v>
      </c>
      <c r="D122" s="83">
        <v>21620</v>
      </c>
      <c r="E122" s="103" t="s">
        <v>74</v>
      </c>
      <c r="F122" s="103" t="s">
        <v>23</v>
      </c>
      <c r="G122" s="121">
        <v>1274</v>
      </c>
      <c r="H122" s="122">
        <v>127367</v>
      </c>
    </row>
    <row r="123" spans="1:8" ht="15.75" customHeight="1" x14ac:dyDescent="0.25">
      <c r="A123" s="103" t="s">
        <v>12</v>
      </c>
      <c r="B123" s="120">
        <v>23480</v>
      </c>
      <c r="C123" s="103" t="s">
        <v>48</v>
      </c>
      <c r="D123" s="83">
        <v>20879</v>
      </c>
      <c r="E123" s="103" t="s">
        <v>20</v>
      </c>
      <c r="F123" s="103" t="s">
        <v>15</v>
      </c>
      <c r="G123" s="121">
        <v>1259</v>
      </c>
      <c r="H123" s="122">
        <v>125895</v>
      </c>
    </row>
    <row r="124" spans="1:8" ht="15.75" customHeight="1" x14ac:dyDescent="0.25">
      <c r="A124" s="103" t="s">
        <v>12</v>
      </c>
      <c r="B124" s="120">
        <v>29792</v>
      </c>
      <c r="C124" s="103" t="s">
        <v>104</v>
      </c>
      <c r="D124" s="83">
        <v>27533</v>
      </c>
      <c r="E124" s="103" t="s">
        <v>55</v>
      </c>
      <c r="F124" s="103" t="s">
        <v>18</v>
      </c>
      <c r="G124" s="121">
        <v>1251</v>
      </c>
      <c r="H124" s="122">
        <v>125139</v>
      </c>
    </row>
    <row r="125" spans="1:8" ht="15.75" customHeight="1" x14ac:dyDescent="0.25">
      <c r="A125" s="103" t="s">
        <v>24</v>
      </c>
      <c r="B125" s="120">
        <v>30784</v>
      </c>
      <c r="C125" s="103" t="s">
        <v>105</v>
      </c>
      <c r="D125" s="83">
        <v>133794</v>
      </c>
      <c r="E125" s="103" t="s">
        <v>26</v>
      </c>
      <c r="F125" s="103" t="s">
        <v>23</v>
      </c>
      <c r="G125" s="121">
        <v>1250</v>
      </c>
      <c r="H125" s="122">
        <v>125000</v>
      </c>
    </row>
    <row r="126" spans="1:8" ht="15.75" customHeight="1" x14ac:dyDescent="0.25">
      <c r="A126" s="103" t="s">
        <v>24</v>
      </c>
      <c r="B126" s="120">
        <v>25884</v>
      </c>
      <c r="C126" s="103" t="s">
        <v>46</v>
      </c>
      <c r="D126" s="83">
        <v>140822</v>
      </c>
      <c r="E126" s="103" t="s">
        <v>35</v>
      </c>
      <c r="F126" s="103" t="s">
        <v>15</v>
      </c>
      <c r="G126" s="121">
        <v>1245</v>
      </c>
      <c r="H126" s="122">
        <v>124465</v>
      </c>
    </row>
    <row r="127" spans="1:8" ht="15.75" customHeight="1" x14ac:dyDescent="0.25">
      <c r="A127" s="103" t="s">
        <v>12</v>
      </c>
      <c r="B127" s="120">
        <v>32143</v>
      </c>
      <c r="C127" s="103" t="s">
        <v>106</v>
      </c>
      <c r="D127" s="83">
        <v>23197</v>
      </c>
      <c r="E127" s="103" t="s">
        <v>55</v>
      </c>
      <c r="F127" s="103" t="s">
        <v>18</v>
      </c>
      <c r="G127" s="121">
        <v>1240</v>
      </c>
      <c r="H127" s="122">
        <v>124000</v>
      </c>
    </row>
    <row r="128" spans="1:8" ht="15.75" customHeight="1" x14ac:dyDescent="0.25">
      <c r="A128" s="103" t="s">
        <v>24</v>
      </c>
      <c r="B128" s="120">
        <v>31845</v>
      </c>
      <c r="C128" s="103" t="s">
        <v>107</v>
      </c>
      <c r="D128" s="83">
        <v>21202</v>
      </c>
      <c r="E128" s="103" t="s">
        <v>55</v>
      </c>
      <c r="F128" s="103" t="s">
        <v>18</v>
      </c>
      <c r="G128" s="121">
        <v>1240</v>
      </c>
      <c r="H128" s="122">
        <v>123970</v>
      </c>
    </row>
    <row r="129" spans="1:8" ht="15.75" customHeight="1" x14ac:dyDescent="0.25">
      <c r="A129" s="103" t="s">
        <v>12</v>
      </c>
      <c r="B129" s="120">
        <v>30274</v>
      </c>
      <c r="C129" s="103" t="s">
        <v>108</v>
      </c>
      <c r="D129" s="83">
        <v>21374</v>
      </c>
      <c r="E129" s="103" t="s">
        <v>74</v>
      </c>
      <c r="F129" s="103" t="s">
        <v>79</v>
      </c>
      <c r="G129" s="121">
        <v>1224</v>
      </c>
      <c r="H129" s="122">
        <v>122360</v>
      </c>
    </row>
    <row r="130" spans="1:8" ht="15.75" customHeight="1" x14ac:dyDescent="0.25">
      <c r="A130" s="103" t="s">
        <v>12</v>
      </c>
      <c r="B130" s="120">
        <v>29211</v>
      </c>
      <c r="C130" s="103" t="s">
        <v>49</v>
      </c>
      <c r="D130" s="83">
        <v>23022</v>
      </c>
      <c r="E130" s="103" t="s">
        <v>20</v>
      </c>
      <c r="F130" s="103" t="s">
        <v>15</v>
      </c>
      <c r="G130" s="121">
        <v>1221</v>
      </c>
      <c r="H130" s="122">
        <v>122112</v>
      </c>
    </row>
    <row r="131" spans="1:8" ht="15.75" customHeight="1" x14ac:dyDescent="0.25">
      <c r="A131" s="103" t="s">
        <v>12</v>
      </c>
      <c r="B131" s="120">
        <v>30956</v>
      </c>
      <c r="C131" s="103" t="s">
        <v>36</v>
      </c>
      <c r="D131" s="83">
        <v>126990</v>
      </c>
      <c r="E131" s="103" t="s">
        <v>37</v>
      </c>
      <c r="F131" s="103" t="s">
        <v>18</v>
      </c>
      <c r="G131" s="121">
        <v>1218</v>
      </c>
      <c r="H131" s="122">
        <v>121800</v>
      </c>
    </row>
    <row r="132" spans="1:8" ht="15.75" customHeight="1" x14ac:dyDescent="0.25">
      <c r="A132" s="103" t="s">
        <v>12</v>
      </c>
      <c r="B132" s="120">
        <v>23746</v>
      </c>
      <c r="C132" s="103" t="s">
        <v>109</v>
      </c>
      <c r="D132" s="83">
        <v>38732</v>
      </c>
      <c r="E132" s="103" t="s">
        <v>26</v>
      </c>
      <c r="F132" s="103" t="s">
        <v>23</v>
      </c>
      <c r="G132" s="121">
        <v>1215</v>
      </c>
      <c r="H132" s="122">
        <v>121481</v>
      </c>
    </row>
    <row r="133" spans="1:8" ht="15.75" customHeight="1" x14ac:dyDescent="0.25">
      <c r="A133" s="103" t="s">
        <v>12</v>
      </c>
      <c r="B133" s="120">
        <v>24772</v>
      </c>
      <c r="C133" s="103" t="s">
        <v>48</v>
      </c>
      <c r="D133" s="83">
        <v>141756</v>
      </c>
      <c r="E133" s="103" t="s">
        <v>20</v>
      </c>
      <c r="F133" s="103" t="s">
        <v>15</v>
      </c>
      <c r="G133" s="121">
        <v>1200</v>
      </c>
      <c r="H133" s="122">
        <v>120000</v>
      </c>
    </row>
    <row r="134" spans="1:8" ht="15.75" customHeight="1" x14ac:dyDescent="0.25">
      <c r="A134" s="103" t="s">
        <v>12</v>
      </c>
      <c r="B134" s="120">
        <v>24308</v>
      </c>
      <c r="C134" s="103" t="s">
        <v>41</v>
      </c>
      <c r="D134" s="83">
        <v>50460</v>
      </c>
      <c r="E134" s="103" t="s">
        <v>20</v>
      </c>
      <c r="F134" s="103" t="s">
        <v>15</v>
      </c>
      <c r="G134" s="121">
        <v>1197</v>
      </c>
      <c r="H134" s="122">
        <v>119700</v>
      </c>
    </row>
    <row r="135" spans="1:8" ht="15.75" customHeight="1" x14ac:dyDescent="0.25">
      <c r="A135" s="103" t="s">
        <v>12</v>
      </c>
      <c r="B135" s="120">
        <v>24474</v>
      </c>
      <c r="C135" s="103" t="s">
        <v>110</v>
      </c>
      <c r="D135" s="83">
        <v>22394</v>
      </c>
      <c r="E135" s="103" t="s">
        <v>111</v>
      </c>
      <c r="F135" s="103" t="s">
        <v>18</v>
      </c>
      <c r="G135" s="121">
        <v>1197</v>
      </c>
      <c r="H135" s="122">
        <v>119700</v>
      </c>
    </row>
    <row r="136" spans="1:8" ht="15.75" customHeight="1" x14ac:dyDescent="0.25">
      <c r="A136" s="103" t="s">
        <v>12</v>
      </c>
      <c r="B136" s="120">
        <v>19941</v>
      </c>
      <c r="C136" s="103" t="s">
        <v>57</v>
      </c>
      <c r="D136" s="83">
        <v>32590</v>
      </c>
      <c r="E136" s="103" t="s">
        <v>35</v>
      </c>
      <c r="F136" s="103" t="s">
        <v>15</v>
      </c>
      <c r="G136" s="121">
        <v>1157</v>
      </c>
      <c r="H136" s="122">
        <v>115668</v>
      </c>
    </row>
    <row r="137" spans="1:8" ht="15.75" customHeight="1" x14ac:dyDescent="0.25">
      <c r="A137" s="103" t="s">
        <v>12</v>
      </c>
      <c r="B137" s="120">
        <v>28774</v>
      </c>
      <c r="C137" s="103" t="s">
        <v>49</v>
      </c>
      <c r="D137" s="83">
        <v>128548</v>
      </c>
      <c r="E137" s="103" t="s">
        <v>20</v>
      </c>
      <c r="F137" s="103" t="s">
        <v>15</v>
      </c>
      <c r="G137" s="121">
        <v>1152</v>
      </c>
      <c r="H137" s="122">
        <v>115180</v>
      </c>
    </row>
    <row r="138" spans="1:8" ht="15.75" customHeight="1" x14ac:dyDescent="0.25">
      <c r="A138" s="103" t="s">
        <v>12</v>
      </c>
      <c r="B138" s="120">
        <v>32600</v>
      </c>
      <c r="C138" s="103" t="s">
        <v>60</v>
      </c>
      <c r="D138" s="83">
        <v>127152</v>
      </c>
      <c r="E138" s="103" t="s">
        <v>20</v>
      </c>
      <c r="F138" s="103" t="s">
        <v>15</v>
      </c>
      <c r="G138" s="121">
        <v>1133</v>
      </c>
      <c r="H138" s="122">
        <v>113346</v>
      </c>
    </row>
    <row r="139" spans="1:8" ht="15.75" customHeight="1" x14ac:dyDescent="0.25">
      <c r="A139" s="103" t="s">
        <v>24</v>
      </c>
      <c r="B139" s="120">
        <v>27186</v>
      </c>
      <c r="C139" s="103" t="s">
        <v>25</v>
      </c>
      <c r="D139" s="83">
        <v>23699</v>
      </c>
      <c r="E139" s="103" t="s">
        <v>26</v>
      </c>
      <c r="F139" s="103" t="s">
        <v>23</v>
      </c>
      <c r="G139" s="121">
        <v>1119</v>
      </c>
      <c r="H139" s="122">
        <v>111890</v>
      </c>
    </row>
    <row r="140" spans="1:8" ht="15.75" customHeight="1" x14ac:dyDescent="0.25">
      <c r="A140" s="103" t="s">
        <v>12</v>
      </c>
      <c r="B140" s="120">
        <v>27765</v>
      </c>
      <c r="C140" s="103" t="s">
        <v>98</v>
      </c>
      <c r="D140" s="83">
        <v>129289</v>
      </c>
      <c r="E140" s="103" t="s">
        <v>28</v>
      </c>
      <c r="F140" s="103" t="s">
        <v>23</v>
      </c>
      <c r="G140" s="121">
        <v>1112</v>
      </c>
      <c r="H140" s="122">
        <v>111180</v>
      </c>
    </row>
    <row r="141" spans="1:8" ht="15.75" customHeight="1" x14ac:dyDescent="0.25">
      <c r="A141" s="103" t="s">
        <v>24</v>
      </c>
      <c r="B141" s="120">
        <v>29458</v>
      </c>
      <c r="C141" s="103" t="s">
        <v>30</v>
      </c>
      <c r="D141" s="83">
        <v>21920</v>
      </c>
      <c r="E141" s="103" t="s">
        <v>20</v>
      </c>
      <c r="F141" s="103" t="s">
        <v>15</v>
      </c>
      <c r="G141" s="121">
        <v>1109</v>
      </c>
      <c r="H141" s="122">
        <v>110920</v>
      </c>
    </row>
    <row r="142" spans="1:8" ht="15.75" customHeight="1" x14ac:dyDescent="0.25">
      <c r="A142" s="103" t="s">
        <v>12</v>
      </c>
      <c r="B142" s="120">
        <v>22923</v>
      </c>
      <c r="C142" s="103" t="s">
        <v>112</v>
      </c>
      <c r="D142" s="83">
        <v>133475</v>
      </c>
      <c r="E142" s="103" t="s">
        <v>86</v>
      </c>
      <c r="F142" s="103" t="s">
        <v>40</v>
      </c>
      <c r="G142" s="121">
        <v>1100</v>
      </c>
      <c r="H142" s="122">
        <v>110000</v>
      </c>
    </row>
    <row r="143" spans="1:8" ht="15.75" customHeight="1" x14ac:dyDescent="0.25">
      <c r="A143" s="103" t="s">
        <v>12</v>
      </c>
      <c r="B143" s="120">
        <v>31981</v>
      </c>
      <c r="C143" s="103" t="s">
        <v>48</v>
      </c>
      <c r="D143" s="83">
        <v>24744</v>
      </c>
      <c r="E143" s="103" t="s">
        <v>20</v>
      </c>
      <c r="F143" s="103" t="s">
        <v>15</v>
      </c>
      <c r="G143" s="121">
        <v>1088</v>
      </c>
      <c r="H143" s="122">
        <v>108801</v>
      </c>
    </row>
    <row r="144" spans="1:8" ht="15.75" customHeight="1" x14ac:dyDescent="0.25">
      <c r="A144" s="103" t="s">
        <v>12</v>
      </c>
      <c r="B144" s="120">
        <v>32936</v>
      </c>
      <c r="C144" s="103" t="s">
        <v>89</v>
      </c>
      <c r="D144" s="83">
        <v>128012</v>
      </c>
      <c r="E144" s="103" t="s">
        <v>39</v>
      </c>
      <c r="F144" s="103" t="s">
        <v>40</v>
      </c>
      <c r="G144" s="121">
        <v>1085</v>
      </c>
      <c r="H144" s="122">
        <v>108480</v>
      </c>
    </row>
    <row r="145" spans="1:8" ht="15.75" customHeight="1" x14ac:dyDescent="0.25">
      <c r="A145" s="103" t="s">
        <v>12</v>
      </c>
      <c r="B145" s="120">
        <v>30134</v>
      </c>
      <c r="C145" s="103" t="s">
        <v>48</v>
      </c>
      <c r="D145" s="83">
        <v>22465</v>
      </c>
      <c r="E145" s="103" t="s">
        <v>20</v>
      </c>
      <c r="F145" s="103" t="s">
        <v>15</v>
      </c>
      <c r="G145" s="121">
        <v>1084</v>
      </c>
      <c r="H145" s="122">
        <v>108375</v>
      </c>
    </row>
    <row r="146" spans="1:8" ht="15.75" customHeight="1" x14ac:dyDescent="0.25">
      <c r="A146" s="103" t="s">
        <v>12</v>
      </c>
      <c r="B146" s="120">
        <v>23691</v>
      </c>
      <c r="C146" s="103" t="s">
        <v>113</v>
      </c>
      <c r="D146" s="83">
        <v>131866</v>
      </c>
      <c r="E146" s="103" t="s">
        <v>35</v>
      </c>
      <c r="F146" s="103" t="s">
        <v>15</v>
      </c>
      <c r="G146" s="121">
        <v>1080</v>
      </c>
      <c r="H146" s="122">
        <v>107950</v>
      </c>
    </row>
    <row r="147" spans="1:8" ht="15.75" customHeight="1" x14ac:dyDescent="0.25">
      <c r="A147" s="103" t="s">
        <v>12</v>
      </c>
      <c r="B147" s="120">
        <v>28857</v>
      </c>
      <c r="C147" s="103" t="s">
        <v>114</v>
      </c>
      <c r="D147" s="83">
        <v>137759</v>
      </c>
      <c r="E147" s="103" t="s">
        <v>17</v>
      </c>
      <c r="F147" s="103" t="s">
        <v>18</v>
      </c>
      <c r="G147" s="121">
        <v>1062</v>
      </c>
      <c r="H147" s="122">
        <v>106218</v>
      </c>
    </row>
    <row r="148" spans="1:8" ht="15.75" customHeight="1" x14ac:dyDescent="0.25">
      <c r="A148" s="103" t="s">
        <v>12</v>
      </c>
      <c r="B148" s="120">
        <v>25575</v>
      </c>
      <c r="C148" s="103" t="s">
        <v>50</v>
      </c>
      <c r="D148" s="83">
        <v>133441</v>
      </c>
      <c r="E148" s="103" t="s">
        <v>20</v>
      </c>
      <c r="F148" s="103" t="s">
        <v>15</v>
      </c>
      <c r="G148" s="121">
        <v>1053</v>
      </c>
      <c r="H148" s="122">
        <v>105280</v>
      </c>
    </row>
    <row r="149" spans="1:8" ht="15.75" customHeight="1" x14ac:dyDescent="0.25">
      <c r="A149" s="103" t="s">
        <v>12</v>
      </c>
      <c r="B149" s="120">
        <v>27692</v>
      </c>
      <c r="C149" s="103" t="s">
        <v>68</v>
      </c>
      <c r="D149" s="83">
        <v>128016</v>
      </c>
      <c r="E149" s="103" t="s">
        <v>28</v>
      </c>
      <c r="F149" s="103" t="s">
        <v>23</v>
      </c>
      <c r="G149" s="121">
        <v>1027</v>
      </c>
      <c r="H149" s="122">
        <v>102660</v>
      </c>
    </row>
    <row r="150" spans="1:8" ht="15.75" customHeight="1" x14ac:dyDescent="0.25">
      <c r="A150" s="103" t="s">
        <v>24</v>
      </c>
      <c r="B150" s="120">
        <v>31564</v>
      </c>
      <c r="C150" s="103" t="s">
        <v>46</v>
      </c>
      <c r="D150" s="83">
        <v>128577</v>
      </c>
      <c r="E150" s="103" t="s">
        <v>35</v>
      </c>
      <c r="F150" s="103" t="s">
        <v>15</v>
      </c>
      <c r="G150" s="121">
        <v>1020</v>
      </c>
      <c r="H150" s="122">
        <v>102000</v>
      </c>
    </row>
    <row r="151" spans="1:8" ht="15.75" customHeight="1" x14ac:dyDescent="0.25">
      <c r="A151" s="103" t="s">
        <v>24</v>
      </c>
      <c r="B151" s="120">
        <v>32348</v>
      </c>
      <c r="C151" s="103" t="s">
        <v>115</v>
      </c>
      <c r="D151" s="83">
        <v>21960</v>
      </c>
      <c r="E151" s="103" t="s">
        <v>116</v>
      </c>
      <c r="F151" s="103" t="s">
        <v>18</v>
      </c>
      <c r="G151" s="121">
        <v>1015</v>
      </c>
      <c r="H151" s="122">
        <v>101530</v>
      </c>
    </row>
    <row r="152" spans="1:8" ht="15.75" customHeight="1" x14ac:dyDescent="0.25">
      <c r="A152" s="103" t="s">
        <v>12</v>
      </c>
      <c r="B152" s="120">
        <v>32064</v>
      </c>
      <c r="C152" s="103" t="s">
        <v>117</v>
      </c>
      <c r="D152" s="83">
        <v>25925</v>
      </c>
      <c r="E152" s="103" t="s">
        <v>39</v>
      </c>
      <c r="F152" s="103" t="s">
        <v>40</v>
      </c>
      <c r="G152" s="121">
        <v>1015</v>
      </c>
      <c r="H152" s="122">
        <v>101466</v>
      </c>
    </row>
    <row r="153" spans="1:8" ht="15.75" customHeight="1" x14ac:dyDescent="0.25">
      <c r="A153" s="103" t="s">
        <v>24</v>
      </c>
      <c r="B153" s="120">
        <v>28486</v>
      </c>
      <c r="C153" s="103" t="s">
        <v>94</v>
      </c>
      <c r="D153" s="83">
        <v>21509</v>
      </c>
      <c r="E153" s="103" t="s">
        <v>28</v>
      </c>
      <c r="F153" s="103" t="s">
        <v>23</v>
      </c>
      <c r="G153" s="121">
        <v>1005</v>
      </c>
      <c r="H153" s="122">
        <v>100500</v>
      </c>
    </row>
    <row r="154" spans="1:8" ht="15.75" customHeight="1" x14ac:dyDescent="0.25">
      <c r="A154" s="103" t="s">
        <v>12</v>
      </c>
      <c r="B154" s="120">
        <v>25110</v>
      </c>
      <c r="C154" s="103" t="s">
        <v>50</v>
      </c>
      <c r="D154" s="83">
        <v>20507</v>
      </c>
      <c r="E154" s="103" t="s">
        <v>20</v>
      </c>
      <c r="F154" s="103" t="s">
        <v>15</v>
      </c>
      <c r="G154" s="121">
        <v>995</v>
      </c>
      <c r="H154" s="122">
        <v>99450</v>
      </c>
    </row>
    <row r="155" spans="1:8" ht="15.75" customHeight="1" x14ac:dyDescent="0.25">
      <c r="A155" s="103" t="s">
        <v>12</v>
      </c>
      <c r="B155" s="120">
        <v>24480</v>
      </c>
      <c r="C155" s="103" t="s">
        <v>75</v>
      </c>
      <c r="D155" s="83">
        <v>23736</v>
      </c>
      <c r="E155" s="103" t="s">
        <v>20</v>
      </c>
      <c r="F155" s="103" t="s">
        <v>15</v>
      </c>
      <c r="G155" s="121">
        <v>986</v>
      </c>
      <c r="H155" s="122">
        <v>98600</v>
      </c>
    </row>
    <row r="156" spans="1:8" ht="15.75" customHeight="1" x14ac:dyDescent="0.25">
      <c r="A156" s="103" t="s">
        <v>12</v>
      </c>
      <c r="B156" s="120">
        <v>31213</v>
      </c>
      <c r="C156" s="103" t="s">
        <v>118</v>
      </c>
      <c r="D156" s="83">
        <v>121525</v>
      </c>
      <c r="E156" s="103" t="s">
        <v>20</v>
      </c>
      <c r="F156" s="103" t="s">
        <v>15</v>
      </c>
      <c r="G156" s="121">
        <v>972</v>
      </c>
      <c r="H156" s="122">
        <v>97152</v>
      </c>
    </row>
    <row r="157" spans="1:8" ht="15.75" customHeight="1" x14ac:dyDescent="0.25">
      <c r="A157" s="103" t="s">
        <v>12</v>
      </c>
      <c r="B157" s="120">
        <v>32082</v>
      </c>
      <c r="C157" s="103" t="s">
        <v>46</v>
      </c>
      <c r="D157" s="83">
        <v>124685</v>
      </c>
      <c r="E157" s="103" t="s">
        <v>35</v>
      </c>
      <c r="F157" s="103" t="s">
        <v>15</v>
      </c>
      <c r="G157" s="121">
        <v>956</v>
      </c>
      <c r="H157" s="122">
        <v>95550</v>
      </c>
    </row>
    <row r="158" spans="1:8" ht="15.75" customHeight="1" x14ac:dyDescent="0.25">
      <c r="A158" s="103" t="s">
        <v>12</v>
      </c>
      <c r="B158" s="120">
        <v>27030</v>
      </c>
      <c r="C158" s="103" t="s">
        <v>65</v>
      </c>
      <c r="D158" s="83">
        <v>120830</v>
      </c>
      <c r="E158" s="103" t="s">
        <v>17</v>
      </c>
      <c r="F158" s="103" t="s">
        <v>23</v>
      </c>
      <c r="G158" s="121">
        <v>942</v>
      </c>
      <c r="H158" s="122">
        <v>94176</v>
      </c>
    </row>
    <row r="159" spans="1:8" ht="15.75" customHeight="1" x14ac:dyDescent="0.25">
      <c r="A159" s="103" t="s">
        <v>12</v>
      </c>
      <c r="B159" s="120">
        <v>31565</v>
      </c>
      <c r="C159" s="103" t="s">
        <v>21</v>
      </c>
      <c r="D159" s="83">
        <v>26313</v>
      </c>
      <c r="E159" s="103" t="s">
        <v>22</v>
      </c>
      <c r="F159" s="103" t="s">
        <v>23</v>
      </c>
      <c r="G159" s="121">
        <v>935</v>
      </c>
      <c r="H159" s="122">
        <v>93492</v>
      </c>
    </row>
    <row r="160" spans="1:8" ht="15.75" customHeight="1" x14ac:dyDescent="0.25">
      <c r="A160" s="103" t="s">
        <v>12</v>
      </c>
      <c r="B160" s="120">
        <v>35079</v>
      </c>
      <c r="C160" s="103" t="s">
        <v>54</v>
      </c>
      <c r="D160" s="83">
        <v>47952</v>
      </c>
      <c r="E160" s="103" t="s">
        <v>55</v>
      </c>
      <c r="F160" s="103" t="s">
        <v>18</v>
      </c>
      <c r="G160" s="121">
        <v>923</v>
      </c>
      <c r="H160" s="122">
        <v>92318</v>
      </c>
    </row>
    <row r="161" spans="1:8" ht="15.75" customHeight="1" x14ac:dyDescent="0.25">
      <c r="A161" s="103" t="s">
        <v>24</v>
      </c>
      <c r="B161" s="120">
        <v>27537</v>
      </c>
      <c r="C161" s="103" t="s">
        <v>70</v>
      </c>
      <c r="D161" s="83">
        <v>20928</v>
      </c>
      <c r="E161" s="103" t="s">
        <v>55</v>
      </c>
      <c r="F161" s="103" t="s">
        <v>18</v>
      </c>
      <c r="G161" s="121">
        <v>914</v>
      </c>
      <c r="H161" s="122">
        <v>91439</v>
      </c>
    </row>
    <row r="162" spans="1:8" ht="15.75" customHeight="1" x14ac:dyDescent="0.25">
      <c r="A162" s="103" t="s">
        <v>24</v>
      </c>
      <c r="B162" s="120">
        <v>31907</v>
      </c>
      <c r="C162" s="103" t="s">
        <v>60</v>
      </c>
      <c r="D162" s="83">
        <v>21854</v>
      </c>
      <c r="E162" s="103" t="s">
        <v>20</v>
      </c>
      <c r="F162" s="103" t="s">
        <v>15</v>
      </c>
      <c r="G162" s="121">
        <v>900</v>
      </c>
      <c r="H162" s="122">
        <v>90000</v>
      </c>
    </row>
    <row r="163" spans="1:8" ht="15.75" customHeight="1" x14ac:dyDescent="0.25">
      <c r="A163" s="103" t="s">
        <v>12</v>
      </c>
      <c r="B163" s="120">
        <v>23136</v>
      </c>
      <c r="C163" s="103" t="s">
        <v>54</v>
      </c>
      <c r="D163" s="83">
        <v>20646</v>
      </c>
      <c r="E163" s="103" t="s">
        <v>55</v>
      </c>
      <c r="F163" s="103" t="s">
        <v>18</v>
      </c>
      <c r="G163" s="121">
        <v>894</v>
      </c>
      <c r="H163" s="122">
        <v>89400</v>
      </c>
    </row>
    <row r="164" spans="1:8" ht="15.75" customHeight="1" x14ac:dyDescent="0.25">
      <c r="A164" s="103" t="s">
        <v>12</v>
      </c>
      <c r="B164" s="120">
        <v>27205</v>
      </c>
      <c r="C164" s="103" t="s">
        <v>59</v>
      </c>
      <c r="D164" s="83">
        <v>130329</v>
      </c>
      <c r="E164" s="103" t="s">
        <v>28</v>
      </c>
      <c r="F164" s="103" t="s">
        <v>23</v>
      </c>
      <c r="G164" s="121">
        <v>887</v>
      </c>
      <c r="H164" s="122">
        <v>88722</v>
      </c>
    </row>
    <row r="165" spans="1:8" ht="15.75" customHeight="1" x14ac:dyDescent="0.25">
      <c r="A165" s="103" t="s">
        <v>12</v>
      </c>
      <c r="B165" s="120">
        <v>28682</v>
      </c>
      <c r="C165" s="103" t="s">
        <v>45</v>
      </c>
      <c r="D165" s="83">
        <v>22396</v>
      </c>
      <c r="E165" s="103" t="s">
        <v>28</v>
      </c>
      <c r="F165" s="103" t="s">
        <v>23</v>
      </c>
      <c r="G165" s="121">
        <v>875</v>
      </c>
      <c r="H165" s="122">
        <v>87503</v>
      </c>
    </row>
    <row r="166" spans="1:8" ht="15.75" customHeight="1" x14ac:dyDescent="0.25">
      <c r="A166" s="103" t="s">
        <v>24</v>
      </c>
      <c r="B166" s="120">
        <v>25052</v>
      </c>
      <c r="C166" s="103" t="s">
        <v>48</v>
      </c>
      <c r="D166" s="83">
        <v>24603</v>
      </c>
      <c r="E166" s="103" t="s">
        <v>20</v>
      </c>
      <c r="F166" s="103" t="s">
        <v>15</v>
      </c>
      <c r="G166" s="121">
        <v>868</v>
      </c>
      <c r="H166" s="122">
        <v>86800</v>
      </c>
    </row>
    <row r="167" spans="1:8" ht="15.75" customHeight="1" x14ac:dyDescent="0.25">
      <c r="A167" s="103" t="s">
        <v>24</v>
      </c>
      <c r="B167" s="120">
        <v>23170</v>
      </c>
      <c r="C167" s="103" t="s">
        <v>48</v>
      </c>
      <c r="D167" s="83">
        <v>21211</v>
      </c>
      <c r="E167" s="103" t="s">
        <v>20</v>
      </c>
      <c r="F167" s="103" t="s">
        <v>15</v>
      </c>
      <c r="G167" s="121">
        <v>862</v>
      </c>
      <c r="H167" s="122">
        <v>86150</v>
      </c>
    </row>
    <row r="168" spans="1:8" ht="15.75" customHeight="1" x14ac:dyDescent="0.25">
      <c r="A168" s="103" t="s">
        <v>12</v>
      </c>
      <c r="B168" s="120">
        <v>27493</v>
      </c>
      <c r="C168" s="103" t="s">
        <v>77</v>
      </c>
      <c r="D168" s="83">
        <v>136940</v>
      </c>
      <c r="E168" s="103" t="s">
        <v>26</v>
      </c>
      <c r="F168" s="103" t="s">
        <v>23</v>
      </c>
      <c r="G168" s="121">
        <v>854</v>
      </c>
      <c r="H168" s="122">
        <v>85400</v>
      </c>
    </row>
    <row r="169" spans="1:8" ht="15.75" customHeight="1" x14ac:dyDescent="0.25">
      <c r="A169" s="103" t="s">
        <v>24</v>
      </c>
      <c r="B169" s="120">
        <v>26670</v>
      </c>
      <c r="C169" s="103" t="s">
        <v>13</v>
      </c>
      <c r="D169" s="83">
        <v>21274</v>
      </c>
      <c r="E169" s="103" t="s">
        <v>14</v>
      </c>
      <c r="F169" s="103" t="s">
        <v>15</v>
      </c>
      <c r="G169" s="121">
        <v>842</v>
      </c>
      <c r="H169" s="122">
        <v>84175</v>
      </c>
    </row>
    <row r="170" spans="1:8" ht="15.75" customHeight="1" x14ac:dyDescent="0.25">
      <c r="A170" s="103" t="s">
        <v>12</v>
      </c>
      <c r="B170" s="120">
        <v>24764</v>
      </c>
      <c r="C170" s="103" t="s">
        <v>46</v>
      </c>
      <c r="D170" s="83">
        <v>20757</v>
      </c>
      <c r="E170" s="103" t="s">
        <v>35</v>
      </c>
      <c r="F170" s="103" t="s">
        <v>15</v>
      </c>
      <c r="G170" s="121">
        <v>841</v>
      </c>
      <c r="H170" s="122">
        <v>84075</v>
      </c>
    </row>
    <row r="171" spans="1:8" ht="15.75" customHeight="1" x14ac:dyDescent="0.25">
      <c r="A171" s="103" t="s">
        <v>12</v>
      </c>
      <c r="B171" s="120">
        <v>27786</v>
      </c>
      <c r="C171" s="103" t="s">
        <v>119</v>
      </c>
      <c r="D171" s="83">
        <v>20965</v>
      </c>
      <c r="E171" s="103" t="s">
        <v>14</v>
      </c>
      <c r="F171" s="103" t="s">
        <v>15</v>
      </c>
      <c r="G171" s="121">
        <v>840</v>
      </c>
      <c r="H171" s="122">
        <v>84000</v>
      </c>
    </row>
    <row r="172" spans="1:8" ht="15.75" customHeight="1" x14ac:dyDescent="0.25">
      <c r="A172" s="103" t="s">
        <v>12</v>
      </c>
      <c r="B172" s="120">
        <v>21922</v>
      </c>
      <c r="C172" s="103" t="s">
        <v>32</v>
      </c>
      <c r="D172" s="83">
        <v>22403</v>
      </c>
      <c r="E172" s="103" t="s">
        <v>20</v>
      </c>
      <c r="F172" s="103" t="s">
        <v>15</v>
      </c>
      <c r="G172" s="121">
        <v>839</v>
      </c>
      <c r="H172" s="122">
        <v>83900</v>
      </c>
    </row>
    <row r="173" spans="1:8" ht="15.75" customHeight="1" x14ac:dyDescent="0.25">
      <c r="A173" s="103" t="s">
        <v>12</v>
      </c>
      <c r="B173" s="120">
        <v>30687</v>
      </c>
      <c r="C173" s="103" t="s">
        <v>120</v>
      </c>
      <c r="D173" s="83">
        <v>137765</v>
      </c>
      <c r="E173" s="103" t="s">
        <v>28</v>
      </c>
      <c r="F173" s="103" t="s">
        <v>23</v>
      </c>
      <c r="G173" s="121">
        <v>838</v>
      </c>
      <c r="H173" s="122">
        <v>83810</v>
      </c>
    </row>
    <row r="174" spans="1:8" ht="15.75" customHeight="1" x14ac:dyDescent="0.25">
      <c r="A174" s="103" t="s">
        <v>12</v>
      </c>
      <c r="B174" s="120">
        <v>24479</v>
      </c>
      <c r="C174" s="103" t="s">
        <v>61</v>
      </c>
      <c r="D174" s="83">
        <v>129792</v>
      </c>
      <c r="E174" s="103" t="s">
        <v>26</v>
      </c>
      <c r="F174" s="103" t="s">
        <v>23</v>
      </c>
      <c r="G174" s="121">
        <v>832</v>
      </c>
      <c r="H174" s="122">
        <v>83216</v>
      </c>
    </row>
    <row r="175" spans="1:8" ht="15.75" customHeight="1" x14ac:dyDescent="0.25">
      <c r="A175" s="103" t="s">
        <v>24</v>
      </c>
      <c r="B175" s="120">
        <v>17807</v>
      </c>
      <c r="C175" s="103" t="s">
        <v>25</v>
      </c>
      <c r="D175" s="83">
        <v>137115</v>
      </c>
      <c r="E175" s="103" t="s">
        <v>26</v>
      </c>
      <c r="F175" s="103" t="s">
        <v>23</v>
      </c>
      <c r="G175" s="121">
        <v>830</v>
      </c>
      <c r="H175" s="122">
        <v>82956</v>
      </c>
    </row>
    <row r="176" spans="1:8" ht="15.75" customHeight="1" x14ac:dyDescent="0.25">
      <c r="A176" s="103" t="s">
        <v>12</v>
      </c>
      <c r="B176" s="120">
        <v>26287</v>
      </c>
      <c r="C176" s="103" t="s">
        <v>50</v>
      </c>
      <c r="D176" s="83">
        <v>26523</v>
      </c>
      <c r="E176" s="103" t="s">
        <v>20</v>
      </c>
      <c r="F176" s="103" t="s">
        <v>15</v>
      </c>
      <c r="G176" s="121">
        <v>815</v>
      </c>
      <c r="H176" s="122">
        <v>81522</v>
      </c>
    </row>
    <row r="177" spans="1:8" ht="15.75" customHeight="1" x14ac:dyDescent="0.25">
      <c r="A177" s="103" t="s">
        <v>24</v>
      </c>
      <c r="B177" s="120">
        <v>25782</v>
      </c>
      <c r="C177" s="103" t="s">
        <v>30</v>
      </c>
      <c r="D177" s="83">
        <v>140383</v>
      </c>
      <c r="E177" s="103" t="s">
        <v>20</v>
      </c>
      <c r="F177" s="103" t="s">
        <v>15</v>
      </c>
      <c r="G177" s="121">
        <v>813</v>
      </c>
      <c r="H177" s="122">
        <v>81345</v>
      </c>
    </row>
    <row r="178" spans="1:8" ht="15.75" customHeight="1" x14ac:dyDescent="0.25">
      <c r="A178" s="103" t="s">
        <v>12</v>
      </c>
      <c r="B178" s="120">
        <v>30603</v>
      </c>
      <c r="C178" s="103" t="s">
        <v>75</v>
      </c>
      <c r="D178" s="83">
        <v>125074</v>
      </c>
      <c r="E178" s="103" t="s">
        <v>20</v>
      </c>
      <c r="F178" s="103" t="s">
        <v>15</v>
      </c>
      <c r="G178" s="121">
        <v>804</v>
      </c>
      <c r="H178" s="122">
        <v>80400</v>
      </c>
    </row>
    <row r="179" spans="1:8" ht="15.75" customHeight="1" x14ac:dyDescent="0.25">
      <c r="A179" s="103" t="s">
        <v>24</v>
      </c>
      <c r="B179" s="120">
        <v>32527</v>
      </c>
      <c r="C179" s="103" t="s">
        <v>81</v>
      </c>
      <c r="D179" s="83">
        <v>20512</v>
      </c>
      <c r="E179" s="103" t="s">
        <v>39</v>
      </c>
      <c r="F179" s="103" t="s">
        <v>40</v>
      </c>
      <c r="G179" s="121">
        <v>770</v>
      </c>
      <c r="H179" s="122">
        <v>77000</v>
      </c>
    </row>
    <row r="180" spans="1:8" ht="15.75" customHeight="1" x14ac:dyDescent="0.25">
      <c r="A180" s="103" t="s">
        <v>12</v>
      </c>
      <c r="B180" s="120">
        <v>26239</v>
      </c>
      <c r="C180" s="103" t="s">
        <v>70</v>
      </c>
      <c r="D180" s="83">
        <v>123434</v>
      </c>
      <c r="E180" s="103" t="s">
        <v>55</v>
      </c>
      <c r="F180" s="103" t="s">
        <v>18</v>
      </c>
      <c r="G180" s="121">
        <v>765</v>
      </c>
      <c r="H180" s="122">
        <v>76505</v>
      </c>
    </row>
    <row r="181" spans="1:8" ht="15.75" customHeight="1" x14ac:dyDescent="0.25">
      <c r="A181" s="103" t="s">
        <v>12</v>
      </c>
      <c r="B181" s="120">
        <v>27030</v>
      </c>
      <c r="C181" s="103" t="s">
        <v>49</v>
      </c>
      <c r="D181" s="83">
        <v>26481</v>
      </c>
      <c r="E181" s="103" t="s">
        <v>20</v>
      </c>
      <c r="F181" s="103" t="s">
        <v>15</v>
      </c>
      <c r="G181" s="121">
        <v>765</v>
      </c>
      <c r="H181" s="122">
        <v>76500</v>
      </c>
    </row>
    <row r="182" spans="1:8" ht="15.75" customHeight="1" x14ac:dyDescent="0.25">
      <c r="A182" s="103" t="s">
        <v>24</v>
      </c>
      <c r="B182" s="120">
        <v>32066</v>
      </c>
      <c r="C182" s="103" t="s">
        <v>19</v>
      </c>
      <c r="D182" s="83">
        <v>126829</v>
      </c>
      <c r="E182" s="103" t="s">
        <v>20</v>
      </c>
      <c r="F182" s="103" t="s">
        <v>15</v>
      </c>
      <c r="G182" s="121">
        <v>762</v>
      </c>
      <c r="H182" s="122">
        <v>76232</v>
      </c>
    </row>
    <row r="183" spans="1:8" ht="15.75" customHeight="1" x14ac:dyDescent="0.25">
      <c r="A183" s="103" t="s">
        <v>12</v>
      </c>
      <c r="B183" s="120">
        <v>31470</v>
      </c>
      <c r="C183" s="103" t="s">
        <v>121</v>
      </c>
      <c r="D183" s="83">
        <v>20765</v>
      </c>
      <c r="E183" s="103" t="s">
        <v>14</v>
      </c>
      <c r="F183" s="103" t="s">
        <v>15</v>
      </c>
      <c r="G183" s="121">
        <v>756</v>
      </c>
      <c r="H183" s="122">
        <v>75579</v>
      </c>
    </row>
    <row r="184" spans="1:8" ht="15.75" customHeight="1" x14ac:dyDescent="0.25">
      <c r="A184" s="103" t="s">
        <v>12</v>
      </c>
      <c r="B184" s="120">
        <v>31811</v>
      </c>
      <c r="C184" s="103" t="s">
        <v>122</v>
      </c>
      <c r="D184" s="83">
        <v>27415</v>
      </c>
      <c r="E184" s="103" t="s">
        <v>123</v>
      </c>
      <c r="F184" s="103" t="s">
        <v>40</v>
      </c>
      <c r="G184" s="121">
        <v>755</v>
      </c>
      <c r="H184" s="122">
        <v>75500</v>
      </c>
    </row>
    <row r="185" spans="1:8" ht="15.75" customHeight="1" x14ac:dyDescent="0.25">
      <c r="A185" s="103" t="s">
        <v>12</v>
      </c>
      <c r="B185" s="120">
        <v>32320</v>
      </c>
      <c r="C185" s="103" t="s">
        <v>29</v>
      </c>
      <c r="D185" s="83">
        <v>20942</v>
      </c>
      <c r="E185" s="103" t="s">
        <v>14</v>
      </c>
      <c r="F185" s="103" t="s">
        <v>15</v>
      </c>
      <c r="G185" s="121">
        <v>753</v>
      </c>
      <c r="H185" s="122">
        <v>75270</v>
      </c>
    </row>
    <row r="186" spans="1:8" ht="15.75" customHeight="1" x14ac:dyDescent="0.25">
      <c r="A186" s="103" t="s">
        <v>12</v>
      </c>
      <c r="B186" s="120">
        <v>31120</v>
      </c>
      <c r="C186" s="103" t="s">
        <v>61</v>
      </c>
      <c r="D186" s="83">
        <v>129923</v>
      </c>
      <c r="E186" s="103" t="s">
        <v>26</v>
      </c>
      <c r="F186" s="103" t="s">
        <v>23</v>
      </c>
      <c r="G186" s="121">
        <v>751</v>
      </c>
      <c r="H186" s="122">
        <v>75096</v>
      </c>
    </row>
    <row r="187" spans="1:8" ht="15.75" customHeight="1" x14ac:dyDescent="0.25">
      <c r="A187" s="103" t="s">
        <v>12</v>
      </c>
      <c r="B187" s="120">
        <v>26168</v>
      </c>
      <c r="C187" s="103" t="s">
        <v>60</v>
      </c>
      <c r="D187" s="83">
        <v>131568</v>
      </c>
      <c r="E187" s="103" t="s">
        <v>20</v>
      </c>
      <c r="F187" s="103" t="s">
        <v>15</v>
      </c>
      <c r="G187" s="121">
        <v>748</v>
      </c>
      <c r="H187" s="122">
        <v>74772</v>
      </c>
    </row>
    <row r="188" spans="1:8" ht="15.75" customHeight="1" x14ac:dyDescent="0.25">
      <c r="A188" s="103" t="s">
        <v>24</v>
      </c>
      <c r="B188" s="120">
        <v>23768</v>
      </c>
      <c r="C188" s="103" t="s">
        <v>114</v>
      </c>
      <c r="D188" s="83">
        <v>20908</v>
      </c>
      <c r="E188" s="103" t="s">
        <v>17</v>
      </c>
      <c r="F188" s="103" t="s">
        <v>18</v>
      </c>
      <c r="G188" s="121">
        <v>741</v>
      </c>
      <c r="H188" s="122">
        <v>74124</v>
      </c>
    </row>
    <row r="189" spans="1:8" ht="15.75" customHeight="1" x14ac:dyDescent="0.25">
      <c r="A189" s="103" t="s">
        <v>24</v>
      </c>
      <c r="B189" s="120">
        <v>31994</v>
      </c>
      <c r="C189" s="103" t="s">
        <v>45</v>
      </c>
      <c r="D189" s="83">
        <v>21895</v>
      </c>
      <c r="E189" s="103" t="s">
        <v>28</v>
      </c>
      <c r="F189" s="103" t="s">
        <v>23</v>
      </c>
      <c r="G189" s="121">
        <v>731</v>
      </c>
      <c r="H189" s="122">
        <v>73060</v>
      </c>
    </row>
    <row r="190" spans="1:8" ht="15.75" customHeight="1" x14ac:dyDescent="0.25">
      <c r="A190" s="103" t="s">
        <v>12</v>
      </c>
      <c r="B190" s="120">
        <v>30231</v>
      </c>
      <c r="C190" s="103" t="s">
        <v>78</v>
      </c>
      <c r="D190" s="83">
        <v>21159</v>
      </c>
      <c r="E190" s="103" t="s">
        <v>74</v>
      </c>
      <c r="F190" s="103" t="s">
        <v>79</v>
      </c>
      <c r="G190" s="121">
        <v>715</v>
      </c>
      <c r="H190" s="122">
        <v>71460</v>
      </c>
    </row>
    <row r="191" spans="1:8" ht="15.75" customHeight="1" x14ac:dyDescent="0.25">
      <c r="A191" s="103" t="s">
        <v>12</v>
      </c>
      <c r="B191" s="120">
        <v>29021</v>
      </c>
      <c r="C191" s="103" t="s">
        <v>41</v>
      </c>
      <c r="D191" s="83">
        <v>22335</v>
      </c>
      <c r="E191" s="103" t="s">
        <v>20</v>
      </c>
      <c r="F191" s="103" t="s">
        <v>15</v>
      </c>
      <c r="G191" s="121">
        <v>707</v>
      </c>
      <c r="H191" s="122">
        <v>70680</v>
      </c>
    </row>
    <row r="192" spans="1:8" ht="15.75" customHeight="1" x14ac:dyDescent="0.25">
      <c r="A192" s="103" t="s">
        <v>12</v>
      </c>
      <c r="B192" s="120">
        <v>22944</v>
      </c>
      <c r="C192" s="103" t="s">
        <v>124</v>
      </c>
      <c r="D192" s="83">
        <v>22543</v>
      </c>
      <c r="E192" s="103" t="s">
        <v>14</v>
      </c>
      <c r="F192" s="103" t="s">
        <v>15</v>
      </c>
      <c r="G192" s="121">
        <v>684</v>
      </c>
      <c r="H192" s="122">
        <v>68440</v>
      </c>
    </row>
    <row r="193" spans="1:8" ht="15.75" customHeight="1" x14ac:dyDescent="0.25">
      <c r="A193" s="103" t="s">
        <v>24</v>
      </c>
      <c r="B193" s="120">
        <v>28497</v>
      </c>
      <c r="C193" s="103" t="s">
        <v>125</v>
      </c>
      <c r="D193" s="83">
        <v>22757</v>
      </c>
      <c r="E193" s="103" t="s">
        <v>35</v>
      </c>
      <c r="F193" s="103" t="s">
        <v>15</v>
      </c>
      <c r="G193" s="121">
        <v>683</v>
      </c>
      <c r="H193" s="122">
        <v>68328</v>
      </c>
    </row>
    <row r="194" spans="1:8" ht="15.75" customHeight="1" x14ac:dyDescent="0.25">
      <c r="A194" s="103" t="s">
        <v>24</v>
      </c>
      <c r="B194" s="120">
        <v>21603</v>
      </c>
      <c r="C194" s="103" t="s">
        <v>75</v>
      </c>
      <c r="D194" s="83">
        <v>134753</v>
      </c>
      <c r="E194" s="103" t="s">
        <v>20</v>
      </c>
      <c r="F194" s="103" t="s">
        <v>15</v>
      </c>
      <c r="G194" s="121">
        <v>679</v>
      </c>
      <c r="H194" s="122">
        <v>67914</v>
      </c>
    </row>
    <row r="195" spans="1:8" ht="15.75" customHeight="1" x14ac:dyDescent="0.25">
      <c r="A195" s="103" t="s">
        <v>12</v>
      </c>
      <c r="B195" s="120">
        <v>31140</v>
      </c>
      <c r="C195" s="103" t="s">
        <v>49</v>
      </c>
      <c r="D195" s="83">
        <v>123238</v>
      </c>
      <c r="E195" s="103" t="s">
        <v>20</v>
      </c>
      <c r="F195" s="103" t="s">
        <v>15</v>
      </c>
      <c r="G195" s="121">
        <v>673</v>
      </c>
      <c r="H195" s="122">
        <v>67320</v>
      </c>
    </row>
    <row r="196" spans="1:8" ht="15.75" customHeight="1" x14ac:dyDescent="0.25">
      <c r="A196" s="103" t="s">
        <v>24</v>
      </c>
      <c r="B196" s="120">
        <v>24377</v>
      </c>
      <c r="C196" s="103" t="s">
        <v>54</v>
      </c>
      <c r="D196" s="83">
        <v>123387</v>
      </c>
      <c r="E196" s="103" t="s">
        <v>55</v>
      </c>
      <c r="F196" s="103" t="s">
        <v>18</v>
      </c>
      <c r="G196" s="121">
        <v>672</v>
      </c>
      <c r="H196" s="122">
        <v>67204</v>
      </c>
    </row>
    <row r="197" spans="1:8" ht="15.75" customHeight="1" x14ac:dyDescent="0.25">
      <c r="A197" s="103" t="s">
        <v>12</v>
      </c>
      <c r="B197" s="120">
        <v>20030</v>
      </c>
      <c r="C197" s="103" t="s">
        <v>92</v>
      </c>
      <c r="D197" s="83">
        <v>25850</v>
      </c>
      <c r="E197" s="103" t="s">
        <v>35</v>
      </c>
      <c r="F197" s="103" t="s">
        <v>15</v>
      </c>
      <c r="G197" s="121">
        <v>670</v>
      </c>
      <c r="H197" s="122">
        <v>67000</v>
      </c>
    </row>
    <row r="198" spans="1:8" ht="15.75" customHeight="1" x14ac:dyDescent="0.25">
      <c r="A198" s="103" t="s">
        <v>12</v>
      </c>
      <c r="B198" s="120">
        <v>32334</v>
      </c>
      <c r="C198" s="103" t="s">
        <v>126</v>
      </c>
      <c r="D198" s="83">
        <v>122569</v>
      </c>
      <c r="E198" s="103" t="s">
        <v>22</v>
      </c>
      <c r="F198" s="103" t="s">
        <v>23</v>
      </c>
      <c r="G198" s="121">
        <v>662</v>
      </c>
      <c r="H198" s="122">
        <v>66192</v>
      </c>
    </row>
    <row r="199" spans="1:8" ht="15.75" customHeight="1" x14ac:dyDescent="0.25">
      <c r="A199" s="103" t="s">
        <v>24</v>
      </c>
      <c r="B199" s="120">
        <v>19725</v>
      </c>
      <c r="C199" s="103" t="s">
        <v>127</v>
      </c>
      <c r="D199" s="83">
        <v>20618</v>
      </c>
      <c r="E199" s="103" t="s">
        <v>37</v>
      </c>
      <c r="F199" s="103" t="s">
        <v>18</v>
      </c>
      <c r="G199" s="121">
        <v>661</v>
      </c>
      <c r="H199" s="122">
        <v>66120</v>
      </c>
    </row>
    <row r="200" spans="1:8" ht="15.75" customHeight="1" x14ac:dyDescent="0.25">
      <c r="A200" s="103" t="s">
        <v>12</v>
      </c>
      <c r="B200" s="120">
        <v>23637</v>
      </c>
      <c r="C200" s="103" t="s">
        <v>120</v>
      </c>
      <c r="D200" s="83">
        <v>22244</v>
      </c>
      <c r="E200" s="103" t="s">
        <v>28</v>
      </c>
      <c r="F200" s="103" t="s">
        <v>23</v>
      </c>
      <c r="G200" s="121">
        <v>660</v>
      </c>
      <c r="H200" s="122">
        <v>66000</v>
      </c>
    </row>
    <row r="201" spans="1:8" ht="15.75" customHeight="1" x14ac:dyDescent="0.25">
      <c r="A201" s="103" t="s">
        <v>12</v>
      </c>
      <c r="B201" s="120">
        <v>28310</v>
      </c>
      <c r="C201" s="103" t="s">
        <v>92</v>
      </c>
      <c r="D201" s="83">
        <v>21780</v>
      </c>
      <c r="E201" s="103" t="s">
        <v>35</v>
      </c>
      <c r="F201" s="103" t="s">
        <v>15</v>
      </c>
      <c r="G201" s="121">
        <v>659</v>
      </c>
      <c r="H201" s="122">
        <v>65892</v>
      </c>
    </row>
    <row r="202" spans="1:8" ht="15.75" customHeight="1" x14ac:dyDescent="0.25">
      <c r="A202" s="103" t="s">
        <v>24</v>
      </c>
      <c r="B202" s="120">
        <v>30451</v>
      </c>
      <c r="C202" s="103" t="s">
        <v>31</v>
      </c>
      <c r="D202" s="83">
        <v>129058</v>
      </c>
      <c r="E202" s="103" t="s">
        <v>20</v>
      </c>
      <c r="F202" s="103" t="s">
        <v>15</v>
      </c>
      <c r="G202" s="121">
        <v>653</v>
      </c>
      <c r="H202" s="122">
        <v>65325</v>
      </c>
    </row>
    <row r="203" spans="1:8" ht="15.75" customHeight="1" x14ac:dyDescent="0.25">
      <c r="A203" s="103" t="s">
        <v>12</v>
      </c>
      <c r="B203" s="120">
        <v>32709</v>
      </c>
      <c r="C203" s="103" t="s">
        <v>48</v>
      </c>
      <c r="D203" s="83">
        <v>35391</v>
      </c>
      <c r="E203" s="103" t="s">
        <v>20</v>
      </c>
      <c r="F203" s="103" t="s">
        <v>15</v>
      </c>
      <c r="G203" s="121">
        <v>649</v>
      </c>
      <c r="H203" s="122">
        <v>64935</v>
      </c>
    </row>
    <row r="204" spans="1:8" ht="15.75" customHeight="1" x14ac:dyDescent="0.25">
      <c r="A204" s="103" t="s">
        <v>24</v>
      </c>
      <c r="B204" s="120">
        <v>27593</v>
      </c>
      <c r="C204" s="103" t="s">
        <v>128</v>
      </c>
      <c r="D204" s="83">
        <v>26437</v>
      </c>
      <c r="E204" s="103" t="s">
        <v>129</v>
      </c>
      <c r="F204" s="103" t="s">
        <v>18</v>
      </c>
      <c r="G204" s="121">
        <v>640</v>
      </c>
      <c r="H204" s="122">
        <v>64000</v>
      </c>
    </row>
    <row r="205" spans="1:8" ht="15.75" customHeight="1" x14ac:dyDescent="0.25">
      <c r="A205" s="103" t="s">
        <v>24</v>
      </c>
      <c r="B205" s="120">
        <v>24315</v>
      </c>
      <c r="C205" s="103" t="s">
        <v>130</v>
      </c>
      <c r="D205" s="83">
        <v>31488</v>
      </c>
      <c r="E205" s="103" t="s">
        <v>20</v>
      </c>
      <c r="F205" s="103" t="s">
        <v>15</v>
      </c>
      <c r="G205" s="121">
        <v>636</v>
      </c>
      <c r="H205" s="122">
        <v>63612</v>
      </c>
    </row>
    <row r="206" spans="1:8" ht="15.75" customHeight="1" x14ac:dyDescent="0.25">
      <c r="A206" s="103" t="s">
        <v>12</v>
      </c>
      <c r="B206" s="120">
        <v>28646</v>
      </c>
      <c r="C206" s="103" t="s">
        <v>48</v>
      </c>
      <c r="D206" s="83">
        <v>20678</v>
      </c>
      <c r="E206" s="103" t="s">
        <v>20</v>
      </c>
      <c r="F206" s="103" t="s">
        <v>15</v>
      </c>
      <c r="G206" s="121">
        <v>627</v>
      </c>
      <c r="H206" s="122">
        <v>62700</v>
      </c>
    </row>
    <row r="207" spans="1:8" ht="15.75" customHeight="1" x14ac:dyDescent="0.25">
      <c r="A207" s="103" t="s">
        <v>24</v>
      </c>
      <c r="B207" s="120">
        <v>28285</v>
      </c>
      <c r="C207" s="103" t="s">
        <v>98</v>
      </c>
      <c r="D207" s="83">
        <v>26647</v>
      </c>
      <c r="E207" s="103" t="s">
        <v>28</v>
      </c>
      <c r="F207" s="103" t="s">
        <v>23</v>
      </c>
      <c r="G207" s="121">
        <v>620</v>
      </c>
      <c r="H207" s="122">
        <v>62000</v>
      </c>
    </row>
    <row r="208" spans="1:8" ht="15.75" customHeight="1" x14ac:dyDescent="0.25">
      <c r="A208" s="103" t="s">
        <v>12</v>
      </c>
      <c r="B208" s="120">
        <v>30257</v>
      </c>
      <c r="C208" s="103" t="s">
        <v>131</v>
      </c>
      <c r="D208" s="83">
        <v>21190</v>
      </c>
      <c r="E208" s="103" t="s">
        <v>74</v>
      </c>
      <c r="F208" s="103" t="s">
        <v>79</v>
      </c>
      <c r="G208" s="121">
        <v>616</v>
      </c>
      <c r="H208" s="122">
        <v>61600</v>
      </c>
    </row>
    <row r="209" spans="1:8" ht="15.75" customHeight="1" x14ac:dyDescent="0.25">
      <c r="A209" s="103" t="s">
        <v>12</v>
      </c>
      <c r="B209" s="120">
        <v>30819</v>
      </c>
      <c r="C209" s="103" t="s">
        <v>57</v>
      </c>
      <c r="D209" s="83">
        <v>125442</v>
      </c>
      <c r="E209" s="103" t="s">
        <v>35</v>
      </c>
      <c r="F209" s="103" t="s">
        <v>15</v>
      </c>
      <c r="G209" s="121">
        <v>616</v>
      </c>
      <c r="H209" s="122">
        <v>61566</v>
      </c>
    </row>
    <row r="210" spans="1:8" ht="15.75" customHeight="1" x14ac:dyDescent="0.25">
      <c r="A210" s="103" t="s">
        <v>24</v>
      </c>
      <c r="B210" s="120">
        <v>31842</v>
      </c>
      <c r="C210" s="103" t="s">
        <v>48</v>
      </c>
      <c r="D210" s="83">
        <v>22915</v>
      </c>
      <c r="E210" s="103" t="s">
        <v>20</v>
      </c>
      <c r="F210" s="103" t="s">
        <v>15</v>
      </c>
      <c r="G210" s="121">
        <v>616</v>
      </c>
      <c r="H210" s="122">
        <v>61566</v>
      </c>
    </row>
    <row r="211" spans="1:8" ht="15.75" customHeight="1" x14ac:dyDescent="0.25">
      <c r="A211" s="103" t="s">
        <v>12</v>
      </c>
      <c r="B211" s="120">
        <v>21732</v>
      </c>
      <c r="C211" s="103" t="s">
        <v>109</v>
      </c>
      <c r="D211" s="83">
        <v>138260</v>
      </c>
      <c r="E211" s="103" t="s">
        <v>26</v>
      </c>
      <c r="F211" s="103" t="s">
        <v>23</v>
      </c>
      <c r="G211" s="121">
        <v>610</v>
      </c>
      <c r="H211" s="122">
        <v>60958</v>
      </c>
    </row>
    <row r="212" spans="1:8" ht="15.75" customHeight="1" x14ac:dyDescent="0.25">
      <c r="A212" s="103" t="s">
        <v>12</v>
      </c>
      <c r="B212" s="120">
        <v>31809</v>
      </c>
      <c r="C212" s="103" t="s">
        <v>132</v>
      </c>
      <c r="D212" s="83">
        <v>124350</v>
      </c>
      <c r="E212" s="103" t="s">
        <v>84</v>
      </c>
      <c r="F212" s="103" t="s">
        <v>40</v>
      </c>
      <c r="G212" s="121">
        <v>604</v>
      </c>
      <c r="H212" s="122">
        <v>60367</v>
      </c>
    </row>
    <row r="213" spans="1:8" ht="15.75" customHeight="1" x14ac:dyDescent="0.25">
      <c r="A213" s="103" t="s">
        <v>24</v>
      </c>
      <c r="B213" s="120">
        <v>29266</v>
      </c>
      <c r="C213" s="103" t="s">
        <v>57</v>
      </c>
      <c r="D213" s="83">
        <v>20912</v>
      </c>
      <c r="E213" s="103" t="s">
        <v>35</v>
      </c>
      <c r="F213" s="103" t="s">
        <v>15</v>
      </c>
      <c r="G213" s="121">
        <v>599</v>
      </c>
      <c r="H213" s="122">
        <v>59904</v>
      </c>
    </row>
    <row r="214" spans="1:8" ht="15.75" customHeight="1" x14ac:dyDescent="0.25">
      <c r="A214" s="103" t="s">
        <v>12</v>
      </c>
      <c r="B214" s="120">
        <v>22709</v>
      </c>
      <c r="C214" s="103" t="s">
        <v>103</v>
      </c>
      <c r="D214" s="83">
        <v>125612</v>
      </c>
      <c r="E214" s="103" t="s">
        <v>39</v>
      </c>
      <c r="F214" s="103" t="s">
        <v>40</v>
      </c>
      <c r="G214" s="121">
        <v>594</v>
      </c>
      <c r="H214" s="122">
        <v>59400</v>
      </c>
    </row>
    <row r="215" spans="1:8" ht="15.75" customHeight="1" x14ac:dyDescent="0.25">
      <c r="A215" s="103" t="s">
        <v>24</v>
      </c>
      <c r="B215" s="120">
        <v>29449</v>
      </c>
      <c r="C215" s="103" t="s">
        <v>48</v>
      </c>
      <c r="D215" s="83">
        <v>20740</v>
      </c>
      <c r="E215" s="103" t="s">
        <v>20</v>
      </c>
      <c r="F215" s="103" t="s">
        <v>15</v>
      </c>
      <c r="G215" s="121">
        <v>592</v>
      </c>
      <c r="H215" s="122">
        <v>59220</v>
      </c>
    </row>
    <row r="216" spans="1:8" ht="15.75" customHeight="1" x14ac:dyDescent="0.25">
      <c r="A216" s="103" t="s">
        <v>12</v>
      </c>
      <c r="B216" s="120">
        <v>18264</v>
      </c>
      <c r="C216" s="103" t="s">
        <v>92</v>
      </c>
      <c r="D216" s="83">
        <v>26936</v>
      </c>
      <c r="E216" s="103" t="s">
        <v>35</v>
      </c>
      <c r="F216" s="103" t="s">
        <v>15</v>
      </c>
      <c r="G216" s="121">
        <v>581</v>
      </c>
      <c r="H216" s="122">
        <v>58050</v>
      </c>
    </row>
    <row r="217" spans="1:8" ht="15.75" customHeight="1" x14ac:dyDescent="0.25">
      <c r="A217" s="103" t="s">
        <v>12</v>
      </c>
      <c r="B217" s="120">
        <v>23925</v>
      </c>
      <c r="C217" s="103" t="s">
        <v>48</v>
      </c>
      <c r="D217" s="83">
        <v>22375</v>
      </c>
      <c r="E217" s="103" t="s">
        <v>20</v>
      </c>
      <c r="F217" s="103" t="s">
        <v>15</v>
      </c>
      <c r="G217" s="121">
        <v>580</v>
      </c>
      <c r="H217" s="122">
        <v>58000</v>
      </c>
    </row>
    <row r="218" spans="1:8" ht="15.75" customHeight="1" x14ac:dyDescent="0.25">
      <c r="A218" s="103" t="s">
        <v>24</v>
      </c>
      <c r="B218" s="120">
        <v>18917</v>
      </c>
      <c r="C218" s="103" t="s">
        <v>108</v>
      </c>
      <c r="D218" s="83">
        <v>122961</v>
      </c>
      <c r="E218" s="103" t="s">
        <v>74</v>
      </c>
      <c r="F218" s="103" t="s">
        <v>79</v>
      </c>
      <c r="G218" s="121">
        <v>580</v>
      </c>
      <c r="H218" s="122">
        <v>58000</v>
      </c>
    </row>
    <row r="219" spans="1:8" ht="15.75" customHeight="1" x14ac:dyDescent="0.25">
      <c r="A219" s="103" t="s">
        <v>12</v>
      </c>
      <c r="B219" s="120">
        <v>29853</v>
      </c>
      <c r="C219" s="103" t="s">
        <v>133</v>
      </c>
      <c r="D219" s="83">
        <v>21996</v>
      </c>
      <c r="E219" s="103" t="s">
        <v>14</v>
      </c>
      <c r="F219" s="103" t="s">
        <v>15</v>
      </c>
      <c r="G219" s="121">
        <v>572</v>
      </c>
      <c r="H219" s="122">
        <v>57200</v>
      </c>
    </row>
    <row r="220" spans="1:8" ht="15.75" customHeight="1" x14ac:dyDescent="0.25">
      <c r="A220" s="103" t="s">
        <v>12</v>
      </c>
      <c r="B220" s="120">
        <v>30498</v>
      </c>
      <c r="C220" s="103" t="s">
        <v>91</v>
      </c>
      <c r="D220" s="83">
        <v>136414</v>
      </c>
      <c r="E220" s="103" t="s">
        <v>22</v>
      </c>
      <c r="F220" s="103" t="s">
        <v>23</v>
      </c>
      <c r="G220" s="121">
        <v>570</v>
      </c>
      <c r="H220" s="122">
        <v>57000</v>
      </c>
    </row>
    <row r="221" spans="1:8" ht="15.75" customHeight="1" x14ac:dyDescent="0.25">
      <c r="A221" s="103" t="s">
        <v>24</v>
      </c>
      <c r="B221" s="120">
        <v>26054</v>
      </c>
      <c r="C221" s="103" t="s">
        <v>45</v>
      </c>
      <c r="D221" s="83">
        <v>23092</v>
      </c>
      <c r="E221" s="103" t="s">
        <v>28</v>
      </c>
      <c r="F221" s="103" t="s">
        <v>23</v>
      </c>
      <c r="G221" s="121">
        <v>570</v>
      </c>
      <c r="H221" s="122">
        <v>57000</v>
      </c>
    </row>
    <row r="222" spans="1:8" ht="15.75" customHeight="1" x14ac:dyDescent="0.25">
      <c r="A222" s="103" t="s">
        <v>24</v>
      </c>
      <c r="B222" s="120">
        <v>31135</v>
      </c>
      <c r="C222" s="103" t="s">
        <v>13</v>
      </c>
      <c r="D222" s="83">
        <v>131851</v>
      </c>
      <c r="E222" s="103" t="s">
        <v>14</v>
      </c>
      <c r="F222" s="103" t="s">
        <v>15</v>
      </c>
      <c r="G222" s="121">
        <v>570</v>
      </c>
      <c r="H222" s="122">
        <v>57000</v>
      </c>
    </row>
    <row r="223" spans="1:8" ht="15.75" customHeight="1" x14ac:dyDescent="0.25">
      <c r="A223" s="103" t="s">
        <v>12</v>
      </c>
      <c r="B223" s="120">
        <v>33664</v>
      </c>
      <c r="C223" s="103" t="s">
        <v>134</v>
      </c>
      <c r="D223" s="83">
        <v>21767</v>
      </c>
      <c r="E223" s="103" t="s">
        <v>135</v>
      </c>
      <c r="F223" s="103" t="s">
        <v>18</v>
      </c>
      <c r="G223" s="121">
        <v>569</v>
      </c>
      <c r="H223" s="122">
        <v>56886</v>
      </c>
    </row>
    <row r="224" spans="1:8" ht="15.75" customHeight="1" x14ac:dyDescent="0.25">
      <c r="A224" s="103" t="s">
        <v>12</v>
      </c>
      <c r="B224" s="120">
        <v>32677</v>
      </c>
      <c r="C224" s="103" t="s">
        <v>77</v>
      </c>
      <c r="D224" s="83">
        <v>22352</v>
      </c>
      <c r="E224" s="103" t="s">
        <v>26</v>
      </c>
      <c r="F224" s="103" t="s">
        <v>23</v>
      </c>
      <c r="G224" s="121">
        <v>560</v>
      </c>
      <c r="H224" s="122">
        <v>56000</v>
      </c>
    </row>
    <row r="225" spans="1:8" ht="15.75" customHeight="1" x14ac:dyDescent="0.25">
      <c r="A225" s="103" t="s">
        <v>12</v>
      </c>
      <c r="B225" s="120">
        <v>30395</v>
      </c>
      <c r="C225" s="103" t="s">
        <v>136</v>
      </c>
      <c r="D225" s="83">
        <v>20718</v>
      </c>
      <c r="E225" s="103" t="s">
        <v>26</v>
      </c>
      <c r="F225" s="103" t="s">
        <v>23</v>
      </c>
      <c r="G225" s="121">
        <v>557</v>
      </c>
      <c r="H225" s="122">
        <v>55744</v>
      </c>
    </row>
    <row r="226" spans="1:8" ht="15.75" customHeight="1" x14ac:dyDescent="0.25">
      <c r="A226" s="103" t="s">
        <v>12</v>
      </c>
      <c r="B226" s="120">
        <v>30683</v>
      </c>
      <c r="C226" s="103" t="s">
        <v>54</v>
      </c>
      <c r="D226" s="83">
        <v>20784</v>
      </c>
      <c r="E226" s="103" t="s">
        <v>55</v>
      </c>
      <c r="F226" s="103" t="s">
        <v>18</v>
      </c>
      <c r="G226" s="121">
        <v>551</v>
      </c>
      <c r="H226" s="122">
        <v>55140</v>
      </c>
    </row>
    <row r="227" spans="1:8" ht="15.75" customHeight="1" x14ac:dyDescent="0.25">
      <c r="A227" s="103" t="s">
        <v>12</v>
      </c>
      <c r="B227" s="120">
        <v>30245</v>
      </c>
      <c r="C227" s="103" t="s">
        <v>61</v>
      </c>
      <c r="D227" s="83">
        <v>20611</v>
      </c>
      <c r="E227" s="103" t="s">
        <v>26</v>
      </c>
      <c r="F227" s="103" t="s">
        <v>23</v>
      </c>
      <c r="G227" s="121">
        <v>544</v>
      </c>
      <c r="H227" s="122">
        <v>54431</v>
      </c>
    </row>
    <row r="228" spans="1:8" ht="15.75" customHeight="1" x14ac:dyDescent="0.25">
      <c r="A228" s="103" t="s">
        <v>12</v>
      </c>
      <c r="B228" s="120">
        <v>32880</v>
      </c>
      <c r="C228" s="103" t="s">
        <v>137</v>
      </c>
      <c r="D228" s="83">
        <v>22758</v>
      </c>
      <c r="E228" s="103" t="s">
        <v>39</v>
      </c>
      <c r="F228" s="103" t="s">
        <v>40</v>
      </c>
      <c r="G228" s="121">
        <v>531</v>
      </c>
      <c r="H228" s="122">
        <v>53100</v>
      </c>
    </row>
    <row r="229" spans="1:8" ht="15.75" customHeight="1" x14ac:dyDescent="0.25">
      <c r="A229" s="103" t="s">
        <v>24</v>
      </c>
      <c r="B229" s="120">
        <v>27731</v>
      </c>
      <c r="C229" s="103" t="s">
        <v>75</v>
      </c>
      <c r="D229" s="83">
        <v>23546</v>
      </c>
      <c r="E229" s="103" t="s">
        <v>20</v>
      </c>
      <c r="F229" s="103" t="s">
        <v>15</v>
      </c>
      <c r="G229" s="121">
        <v>530</v>
      </c>
      <c r="H229" s="122">
        <v>53000</v>
      </c>
    </row>
    <row r="230" spans="1:8" ht="15.75" customHeight="1" x14ac:dyDescent="0.25">
      <c r="A230" s="103" t="s">
        <v>24</v>
      </c>
      <c r="B230" s="120">
        <v>25164</v>
      </c>
      <c r="C230" s="103" t="s">
        <v>13</v>
      </c>
      <c r="D230" s="83">
        <v>20580</v>
      </c>
      <c r="E230" s="103" t="s">
        <v>14</v>
      </c>
      <c r="F230" s="103" t="s">
        <v>15</v>
      </c>
      <c r="G230" s="121">
        <v>530</v>
      </c>
      <c r="H230" s="122">
        <v>52982</v>
      </c>
    </row>
    <row r="231" spans="1:8" ht="15.75" customHeight="1" x14ac:dyDescent="0.25">
      <c r="A231" s="103" t="s">
        <v>24</v>
      </c>
      <c r="B231" s="120">
        <v>23569</v>
      </c>
      <c r="C231" s="103" t="s">
        <v>138</v>
      </c>
      <c r="D231" s="83">
        <v>26583</v>
      </c>
      <c r="E231" s="103" t="s">
        <v>55</v>
      </c>
      <c r="F231" s="103" t="s">
        <v>18</v>
      </c>
      <c r="G231" s="121">
        <v>525</v>
      </c>
      <c r="H231" s="122">
        <v>52544</v>
      </c>
    </row>
    <row r="232" spans="1:8" ht="15.75" customHeight="1" x14ac:dyDescent="0.25">
      <c r="A232" s="103" t="s">
        <v>24</v>
      </c>
      <c r="B232" s="120">
        <v>23837</v>
      </c>
      <c r="C232" s="103" t="s">
        <v>100</v>
      </c>
      <c r="D232" s="83">
        <v>24052</v>
      </c>
      <c r="E232" s="103" t="s">
        <v>14</v>
      </c>
      <c r="F232" s="103" t="s">
        <v>15</v>
      </c>
      <c r="G232" s="121">
        <v>520</v>
      </c>
      <c r="H232" s="122">
        <v>52000</v>
      </c>
    </row>
    <row r="233" spans="1:8" ht="15.75" customHeight="1" x14ac:dyDescent="0.25">
      <c r="A233" s="103" t="s">
        <v>24</v>
      </c>
      <c r="B233" s="120">
        <v>18964</v>
      </c>
      <c r="C233" s="103" t="s">
        <v>138</v>
      </c>
      <c r="D233" s="83">
        <v>136793</v>
      </c>
      <c r="E233" s="103" t="s">
        <v>55</v>
      </c>
      <c r="F233" s="103" t="s">
        <v>18</v>
      </c>
      <c r="G233" s="121">
        <v>516</v>
      </c>
      <c r="H233" s="122">
        <v>51642</v>
      </c>
    </row>
    <row r="234" spans="1:8" ht="15.75" customHeight="1" x14ac:dyDescent="0.25">
      <c r="A234" s="103" t="s">
        <v>24</v>
      </c>
      <c r="B234" s="120">
        <v>30431</v>
      </c>
      <c r="C234" s="103" t="s">
        <v>41</v>
      </c>
      <c r="D234" s="83">
        <v>27589</v>
      </c>
      <c r="E234" s="103" t="s">
        <v>20</v>
      </c>
      <c r="F234" s="103" t="s">
        <v>15</v>
      </c>
      <c r="G234" s="121">
        <v>515</v>
      </c>
      <c r="H234" s="122">
        <v>51471</v>
      </c>
    </row>
    <row r="235" spans="1:8" ht="15.75" customHeight="1" x14ac:dyDescent="0.25">
      <c r="A235" s="103" t="s">
        <v>12</v>
      </c>
      <c r="B235" s="120">
        <v>25569</v>
      </c>
      <c r="C235" s="103" t="s">
        <v>139</v>
      </c>
      <c r="D235" s="83">
        <v>128890</v>
      </c>
      <c r="E235" s="103" t="s">
        <v>74</v>
      </c>
      <c r="F235" s="103" t="s">
        <v>79</v>
      </c>
      <c r="G235" s="121">
        <v>510</v>
      </c>
      <c r="H235" s="122">
        <v>50987</v>
      </c>
    </row>
    <row r="236" spans="1:8" ht="15.75" customHeight="1" x14ac:dyDescent="0.25">
      <c r="A236" s="103" t="s">
        <v>12</v>
      </c>
      <c r="B236" s="120">
        <v>18583</v>
      </c>
      <c r="C236" s="103" t="s">
        <v>130</v>
      </c>
      <c r="D236" s="83">
        <v>128338</v>
      </c>
      <c r="E236" s="103" t="s">
        <v>20</v>
      </c>
      <c r="F236" s="103" t="s">
        <v>15</v>
      </c>
      <c r="G236" s="121">
        <v>502</v>
      </c>
      <c r="H236" s="122">
        <v>50203</v>
      </c>
    </row>
    <row r="237" spans="1:8" ht="15.75" customHeight="1" x14ac:dyDescent="0.25">
      <c r="A237" s="103" t="s">
        <v>24</v>
      </c>
      <c r="B237" s="120">
        <v>33400</v>
      </c>
      <c r="C237" s="103" t="s">
        <v>99</v>
      </c>
      <c r="D237" s="83">
        <v>122029</v>
      </c>
      <c r="E237" s="103" t="s">
        <v>74</v>
      </c>
      <c r="F237" s="103" t="s">
        <v>79</v>
      </c>
      <c r="G237" s="121">
        <v>501</v>
      </c>
      <c r="H237" s="122">
        <v>50085</v>
      </c>
    </row>
    <row r="238" spans="1:8" ht="15.75" customHeight="1" x14ac:dyDescent="0.25">
      <c r="A238" s="103" t="s">
        <v>12</v>
      </c>
      <c r="B238" s="120">
        <v>31048</v>
      </c>
      <c r="C238" s="103" t="s">
        <v>53</v>
      </c>
      <c r="D238" s="83">
        <v>24918</v>
      </c>
      <c r="E238" s="103" t="s">
        <v>37</v>
      </c>
      <c r="F238" s="103" t="s">
        <v>18</v>
      </c>
      <c r="G238" s="121">
        <v>497</v>
      </c>
      <c r="H238" s="122">
        <v>49714</v>
      </c>
    </row>
    <row r="239" spans="1:8" ht="15.75" customHeight="1" x14ac:dyDescent="0.25">
      <c r="A239" s="103" t="s">
        <v>24</v>
      </c>
      <c r="B239" s="120">
        <v>29316</v>
      </c>
      <c r="C239" s="103" t="s">
        <v>93</v>
      </c>
      <c r="D239" s="83">
        <v>126464</v>
      </c>
      <c r="E239" s="103" t="s">
        <v>14</v>
      </c>
      <c r="F239" s="103" t="s">
        <v>15</v>
      </c>
      <c r="G239" s="121">
        <v>496</v>
      </c>
      <c r="H239" s="122">
        <v>49600</v>
      </c>
    </row>
    <row r="240" spans="1:8" ht="15.75" customHeight="1" x14ac:dyDescent="0.25">
      <c r="A240" s="103" t="s">
        <v>24</v>
      </c>
      <c r="B240" s="120">
        <v>23538</v>
      </c>
      <c r="C240" s="103" t="s">
        <v>140</v>
      </c>
      <c r="D240" s="83">
        <v>20920</v>
      </c>
      <c r="E240" s="103" t="s">
        <v>74</v>
      </c>
      <c r="F240" s="103" t="s">
        <v>79</v>
      </c>
      <c r="G240" s="121">
        <v>493</v>
      </c>
      <c r="H240" s="122">
        <v>49329</v>
      </c>
    </row>
    <row r="241" spans="1:8" ht="15.75" customHeight="1" x14ac:dyDescent="0.25">
      <c r="A241" s="103" t="s">
        <v>12</v>
      </c>
      <c r="B241" s="120">
        <v>23073</v>
      </c>
      <c r="C241" s="103" t="s">
        <v>67</v>
      </c>
      <c r="D241" s="83">
        <v>138327</v>
      </c>
      <c r="E241" s="103" t="s">
        <v>67</v>
      </c>
      <c r="F241" s="103" t="s">
        <v>23</v>
      </c>
      <c r="G241" s="121">
        <v>484</v>
      </c>
      <c r="H241" s="122">
        <v>48442</v>
      </c>
    </row>
    <row r="242" spans="1:8" ht="15.75" customHeight="1" x14ac:dyDescent="0.25">
      <c r="A242" s="103" t="s">
        <v>12</v>
      </c>
      <c r="B242" s="120">
        <v>29398</v>
      </c>
      <c r="C242" s="103" t="s">
        <v>13</v>
      </c>
      <c r="D242" s="83">
        <v>20630</v>
      </c>
      <c r="E242" s="103" t="s">
        <v>14</v>
      </c>
      <c r="F242" s="103" t="s">
        <v>15</v>
      </c>
      <c r="G242" s="121">
        <v>478</v>
      </c>
      <c r="H242" s="122">
        <v>47795</v>
      </c>
    </row>
    <row r="243" spans="1:8" ht="15.75" customHeight="1" x14ac:dyDescent="0.25">
      <c r="A243" s="103" t="s">
        <v>24</v>
      </c>
      <c r="B243" s="120">
        <v>26452</v>
      </c>
      <c r="C243" s="103" t="s">
        <v>141</v>
      </c>
      <c r="D243" s="83">
        <v>131432</v>
      </c>
      <c r="E243" s="103" t="s">
        <v>22</v>
      </c>
      <c r="F243" s="103" t="s">
        <v>23</v>
      </c>
      <c r="G243" s="121">
        <v>475</v>
      </c>
      <c r="H243" s="122">
        <v>47500</v>
      </c>
    </row>
    <row r="244" spans="1:8" ht="15.75" customHeight="1" x14ac:dyDescent="0.25">
      <c r="A244" s="103" t="s">
        <v>12</v>
      </c>
      <c r="B244" s="120">
        <v>31640</v>
      </c>
      <c r="C244" s="103" t="s">
        <v>142</v>
      </c>
      <c r="D244" s="83">
        <v>128597</v>
      </c>
      <c r="E244" s="103" t="s">
        <v>20</v>
      </c>
      <c r="F244" s="103" t="s">
        <v>15</v>
      </c>
      <c r="G244" s="121">
        <v>474</v>
      </c>
      <c r="H244" s="122">
        <v>47430</v>
      </c>
    </row>
    <row r="245" spans="1:8" ht="15.75" customHeight="1" x14ac:dyDescent="0.25">
      <c r="A245" s="103" t="s">
        <v>12</v>
      </c>
      <c r="B245" s="120">
        <v>27497</v>
      </c>
      <c r="C245" s="103" t="s">
        <v>143</v>
      </c>
      <c r="D245" s="83">
        <v>121649</v>
      </c>
      <c r="E245" s="103" t="s">
        <v>20</v>
      </c>
      <c r="F245" s="103" t="s">
        <v>15</v>
      </c>
      <c r="G245" s="121">
        <v>472</v>
      </c>
      <c r="H245" s="122">
        <v>47200</v>
      </c>
    </row>
    <row r="246" spans="1:8" ht="15.75" customHeight="1" x14ac:dyDescent="0.25">
      <c r="A246" s="103" t="s">
        <v>12</v>
      </c>
      <c r="B246" s="120">
        <v>29011</v>
      </c>
      <c r="C246" s="103" t="s">
        <v>30</v>
      </c>
      <c r="D246" s="83">
        <v>136683</v>
      </c>
      <c r="E246" s="103" t="s">
        <v>20</v>
      </c>
      <c r="F246" s="103" t="s">
        <v>15</v>
      </c>
      <c r="G246" s="121">
        <v>472</v>
      </c>
      <c r="H246" s="122">
        <v>47200</v>
      </c>
    </row>
    <row r="247" spans="1:8" ht="15.75" customHeight="1" x14ac:dyDescent="0.25">
      <c r="A247" s="103" t="s">
        <v>12</v>
      </c>
      <c r="B247" s="120">
        <v>27956</v>
      </c>
      <c r="C247" s="103" t="s">
        <v>30</v>
      </c>
      <c r="D247" s="83">
        <v>135431</v>
      </c>
      <c r="E247" s="103" t="s">
        <v>20</v>
      </c>
      <c r="F247" s="103" t="s">
        <v>15</v>
      </c>
      <c r="G247" s="121">
        <v>470</v>
      </c>
      <c r="H247" s="122">
        <v>46950</v>
      </c>
    </row>
    <row r="248" spans="1:8" ht="15.75" customHeight="1" x14ac:dyDescent="0.25">
      <c r="A248" s="103" t="s">
        <v>12</v>
      </c>
      <c r="B248" s="120">
        <v>24594</v>
      </c>
      <c r="C248" s="103" t="s">
        <v>144</v>
      </c>
      <c r="D248" s="83">
        <v>139711</v>
      </c>
      <c r="E248" s="103" t="s">
        <v>39</v>
      </c>
      <c r="F248" s="103" t="s">
        <v>40</v>
      </c>
      <c r="G248" s="121">
        <v>467</v>
      </c>
      <c r="H248" s="122">
        <v>46720</v>
      </c>
    </row>
    <row r="249" spans="1:8" ht="15.75" customHeight="1" x14ac:dyDescent="0.25">
      <c r="A249" s="103" t="s">
        <v>12</v>
      </c>
      <c r="B249" s="120">
        <v>30536</v>
      </c>
      <c r="C249" s="103" t="s">
        <v>31</v>
      </c>
      <c r="D249" s="83">
        <v>24955</v>
      </c>
      <c r="E249" s="103" t="s">
        <v>20</v>
      </c>
      <c r="F249" s="103" t="s">
        <v>15</v>
      </c>
      <c r="G249" s="121">
        <v>464</v>
      </c>
      <c r="H249" s="122">
        <v>46398</v>
      </c>
    </row>
    <row r="250" spans="1:8" ht="15.75" customHeight="1" x14ac:dyDescent="0.25">
      <c r="A250" s="103" t="s">
        <v>24</v>
      </c>
      <c r="B250" s="120">
        <v>18540</v>
      </c>
      <c r="C250" s="103" t="s">
        <v>145</v>
      </c>
      <c r="D250" s="83">
        <v>25977</v>
      </c>
      <c r="E250" s="103" t="s">
        <v>39</v>
      </c>
      <c r="F250" s="103" t="s">
        <v>40</v>
      </c>
      <c r="G250" s="121">
        <v>462</v>
      </c>
      <c r="H250" s="122">
        <v>46163</v>
      </c>
    </row>
    <row r="251" spans="1:8" ht="15.75" customHeight="1" x14ac:dyDescent="0.25">
      <c r="A251" s="103" t="s">
        <v>12</v>
      </c>
      <c r="B251" s="120">
        <v>30982</v>
      </c>
      <c r="C251" s="103" t="s">
        <v>146</v>
      </c>
      <c r="D251" s="83">
        <v>23590</v>
      </c>
      <c r="E251" s="103" t="s">
        <v>74</v>
      </c>
      <c r="F251" s="103" t="s">
        <v>79</v>
      </c>
      <c r="G251" s="121">
        <v>456</v>
      </c>
      <c r="H251" s="122">
        <v>45633</v>
      </c>
    </row>
    <row r="252" spans="1:8" ht="15.75" customHeight="1" x14ac:dyDescent="0.25">
      <c r="A252" s="103" t="s">
        <v>12</v>
      </c>
      <c r="B252" s="120">
        <v>26306</v>
      </c>
      <c r="C252" s="103" t="s">
        <v>54</v>
      </c>
      <c r="D252" s="83">
        <v>23650</v>
      </c>
      <c r="E252" s="103" t="s">
        <v>55</v>
      </c>
      <c r="F252" s="103" t="s">
        <v>18</v>
      </c>
      <c r="G252" s="121">
        <v>446</v>
      </c>
      <c r="H252" s="122">
        <v>44632</v>
      </c>
    </row>
    <row r="253" spans="1:8" ht="15.75" customHeight="1" x14ac:dyDescent="0.25">
      <c r="A253" s="103" t="s">
        <v>24</v>
      </c>
      <c r="B253" s="120">
        <v>13055</v>
      </c>
      <c r="C253" s="103" t="s">
        <v>41</v>
      </c>
      <c r="D253" s="83">
        <v>22432</v>
      </c>
      <c r="E253" s="103" t="s">
        <v>20</v>
      </c>
      <c r="F253" s="103" t="s">
        <v>15</v>
      </c>
      <c r="G253" s="121">
        <v>444</v>
      </c>
      <c r="H253" s="122">
        <v>44428</v>
      </c>
    </row>
    <row r="254" spans="1:8" ht="15.75" customHeight="1" x14ac:dyDescent="0.25">
      <c r="A254" s="103" t="s">
        <v>12</v>
      </c>
      <c r="B254" s="120">
        <v>30787</v>
      </c>
      <c r="C254" s="103" t="s">
        <v>147</v>
      </c>
      <c r="D254" s="83">
        <v>21935</v>
      </c>
      <c r="E254" s="103" t="s">
        <v>20</v>
      </c>
      <c r="F254" s="103" t="s">
        <v>15</v>
      </c>
      <c r="G254" s="121">
        <v>440</v>
      </c>
      <c r="H254" s="122">
        <v>44020</v>
      </c>
    </row>
    <row r="255" spans="1:8" ht="15.75" customHeight="1" x14ac:dyDescent="0.25">
      <c r="A255" s="103" t="s">
        <v>12</v>
      </c>
      <c r="B255" s="120">
        <v>30280</v>
      </c>
      <c r="C255" s="103" t="s">
        <v>87</v>
      </c>
      <c r="D255" s="83">
        <v>22924</v>
      </c>
      <c r="E255" s="103" t="s">
        <v>28</v>
      </c>
      <c r="F255" s="103" t="s">
        <v>23</v>
      </c>
      <c r="G255" s="121">
        <v>437</v>
      </c>
      <c r="H255" s="122">
        <v>43674</v>
      </c>
    </row>
    <row r="256" spans="1:8" ht="15.75" customHeight="1" x14ac:dyDescent="0.25">
      <c r="A256" s="103" t="s">
        <v>24</v>
      </c>
      <c r="B256" s="120">
        <v>25327</v>
      </c>
      <c r="C256" s="103" t="s">
        <v>148</v>
      </c>
      <c r="D256" s="83">
        <v>131726</v>
      </c>
      <c r="E256" s="103" t="s">
        <v>74</v>
      </c>
      <c r="F256" s="103" t="s">
        <v>23</v>
      </c>
      <c r="G256" s="121">
        <v>433</v>
      </c>
      <c r="H256" s="122">
        <v>43340</v>
      </c>
    </row>
    <row r="257" spans="1:8" ht="15.75" customHeight="1" x14ac:dyDescent="0.25">
      <c r="A257" s="103" t="s">
        <v>12</v>
      </c>
      <c r="B257" s="120">
        <v>27741</v>
      </c>
      <c r="C257" s="103" t="s">
        <v>54</v>
      </c>
      <c r="D257" s="83">
        <v>131043</v>
      </c>
      <c r="E257" s="103" t="s">
        <v>55</v>
      </c>
      <c r="F257" s="103" t="s">
        <v>18</v>
      </c>
      <c r="G257" s="121">
        <v>431</v>
      </c>
      <c r="H257" s="122">
        <v>43092</v>
      </c>
    </row>
    <row r="258" spans="1:8" ht="15.75" customHeight="1" x14ac:dyDescent="0.25">
      <c r="A258" s="103" t="s">
        <v>12</v>
      </c>
      <c r="B258" s="120">
        <v>26393</v>
      </c>
      <c r="C258" s="103" t="s">
        <v>149</v>
      </c>
      <c r="D258" s="83">
        <v>27051</v>
      </c>
      <c r="E258" s="103" t="s">
        <v>150</v>
      </c>
      <c r="F258" s="103" t="s">
        <v>40</v>
      </c>
      <c r="G258" s="121">
        <v>430</v>
      </c>
      <c r="H258" s="122">
        <v>43038</v>
      </c>
    </row>
    <row r="259" spans="1:8" ht="15.75" customHeight="1" x14ac:dyDescent="0.25">
      <c r="A259" s="103" t="s">
        <v>24</v>
      </c>
      <c r="B259" s="120">
        <v>31761</v>
      </c>
      <c r="C259" s="103" t="s">
        <v>124</v>
      </c>
      <c r="D259" s="83">
        <v>119693</v>
      </c>
      <c r="E259" s="103" t="s">
        <v>14</v>
      </c>
      <c r="F259" s="103" t="s">
        <v>15</v>
      </c>
      <c r="G259" s="121">
        <v>429</v>
      </c>
      <c r="H259" s="122">
        <v>42900</v>
      </c>
    </row>
    <row r="260" spans="1:8" ht="15.75" customHeight="1" x14ac:dyDescent="0.25">
      <c r="A260" s="103" t="s">
        <v>24</v>
      </c>
      <c r="B260" s="120">
        <v>31861</v>
      </c>
      <c r="C260" s="103" t="s">
        <v>49</v>
      </c>
      <c r="D260" s="83">
        <v>20963</v>
      </c>
      <c r="E260" s="103" t="s">
        <v>20</v>
      </c>
      <c r="F260" s="103" t="s">
        <v>15</v>
      </c>
      <c r="G260" s="121">
        <v>428</v>
      </c>
      <c r="H260" s="122">
        <v>42813</v>
      </c>
    </row>
    <row r="261" spans="1:8" ht="15.75" customHeight="1" x14ac:dyDescent="0.25">
      <c r="A261" s="103" t="s">
        <v>12</v>
      </c>
      <c r="B261" s="120">
        <v>32632</v>
      </c>
      <c r="C261" s="103" t="s">
        <v>87</v>
      </c>
      <c r="D261" s="83">
        <v>130364</v>
      </c>
      <c r="E261" s="103" t="s">
        <v>28</v>
      </c>
      <c r="F261" s="103" t="s">
        <v>23</v>
      </c>
      <c r="G261" s="121">
        <v>422</v>
      </c>
      <c r="H261" s="122">
        <v>42180</v>
      </c>
    </row>
    <row r="262" spans="1:8" ht="15.75" customHeight="1" x14ac:dyDescent="0.25">
      <c r="A262" s="103" t="s">
        <v>12</v>
      </c>
      <c r="B262" s="120">
        <v>27662</v>
      </c>
      <c r="C262" s="103" t="s">
        <v>48</v>
      </c>
      <c r="D262" s="83">
        <v>21113</v>
      </c>
      <c r="E262" s="103" t="s">
        <v>20</v>
      </c>
      <c r="F262" s="103" t="s">
        <v>15</v>
      </c>
      <c r="G262" s="121">
        <v>421</v>
      </c>
      <c r="H262" s="122">
        <v>42112</v>
      </c>
    </row>
    <row r="263" spans="1:8" ht="15.75" customHeight="1" x14ac:dyDescent="0.25">
      <c r="A263" s="103" t="s">
        <v>24</v>
      </c>
      <c r="B263" s="120">
        <v>23941</v>
      </c>
      <c r="C263" s="103" t="s">
        <v>104</v>
      </c>
      <c r="D263" s="83">
        <v>138474</v>
      </c>
      <c r="E263" s="103" t="s">
        <v>55</v>
      </c>
      <c r="F263" s="103" t="s">
        <v>18</v>
      </c>
      <c r="G263" s="121">
        <v>406</v>
      </c>
      <c r="H263" s="122">
        <v>40560</v>
      </c>
    </row>
    <row r="264" spans="1:8" ht="15.75" customHeight="1" x14ac:dyDescent="0.25">
      <c r="A264" s="103" t="s">
        <v>12</v>
      </c>
      <c r="B264" s="120">
        <v>32080</v>
      </c>
      <c r="C264" s="103" t="s">
        <v>96</v>
      </c>
      <c r="D264" s="83">
        <v>23925</v>
      </c>
      <c r="E264" s="103" t="s">
        <v>52</v>
      </c>
      <c r="F264" s="103" t="s">
        <v>15</v>
      </c>
      <c r="G264" s="121">
        <v>388</v>
      </c>
      <c r="H264" s="122">
        <v>38760</v>
      </c>
    </row>
    <row r="265" spans="1:8" ht="15.75" customHeight="1" x14ac:dyDescent="0.25">
      <c r="A265" s="103" t="s">
        <v>24</v>
      </c>
      <c r="B265" s="120">
        <v>23909</v>
      </c>
      <c r="C265" s="103" t="s">
        <v>50</v>
      </c>
      <c r="D265" s="83">
        <v>20801</v>
      </c>
      <c r="E265" s="103" t="s">
        <v>20</v>
      </c>
      <c r="F265" s="103" t="s">
        <v>15</v>
      </c>
      <c r="G265" s="121">
        <v>382</v>
      </c>
      <c r="H265" s="122">
        <v>38247</v>
      </c>
    </row>
    <row r="266" spans="1:8" ht="15.75" customHeight="1" x14ac:dyDescent="0.25">
      <c r="A266" s="103" t="s">
        <v>12</v>
      </c>
      <c r="B266" s="120">
        <v>28185</v>
      </c>
      <c r="C266" s="103" t="s">
        <v>48</v>
      </c>
      <c r="D266" s="83">
        <v>22808</v>
      </c>
      <c r="E266" s="103" t="s">
        <v>20</v>
      </c>
      <c r="F266" s="103" t="s">
        <v>15</v>
      </c>
      <c r="G266" s="121">
        <v>382</v>
      </c>
      <c r="H266" s="122">
        <v>38155</v>
      </c>
    </row>
    <row r="267" spans="1:8" ht="15.75" customHeight="1" x14ac:dyDescent="0.25">
      <c r="A267" s="103" t="s">
        <v>24</v>
      </c>
      <c r="B267" s="120">
        <v>17540</v>
      </c>
      <c r="C267" s="103" t="s">
        <v>54</v>
      </c>
      <c r="D267" s="83">
        <v>20752</v>
      </c>
      <c r="E267" s="103" t="s">
        <v>55</v>
      </c>
      <c r="F267" s="103" t="s">
        <v>18</v>
      </c>
      <c r="G267" s="121">
        <v>378</v>
      </c>
      <c r="H267" s="122">
        <v>37820</v>
      </c>
    </row>
    <row r="268" spans="1:8" ht="15.75" customHeight="1" x14ac:dyDescent="0.25">
      <c r="A268" s="103" t="s">
        <v>12</v>
      </c>
      <c r="B268" s="120">
        <v>26727</v>
      </c>
      <c r="C268" s="103" t="s">
        <v>61</v>
      </c>
      <c r="D268" s="83">
        <v>124135</v>
      </c>
      <c r="E268" s="103" t="s">
        <v>26</v>
      </c>
      <c r="F268" s="103" t="s">
        <v>23</v>
      </c>
      <c r="G268" s="121">
        <v>374</v>
      </c>
      <c r="H268" s="122">
        <v>37418</v>
      </c>
    </row>
    <row r="269" spans="1:8" ht="15.75" customHeight="1" x14ac:dyDescent="0.25">
      <c r="A269" s="103" t="s">
        <v>12</v>
      </c>
      <c r="B269" s="120">
        <v>32972</v>
      </c>
      <c r="C269" s="103" t="s">
        <v>151</v>
      </c>
      <c r="D269" s="83">
        <v>21823</v>
      </c>
      <c r="E269" s="103" t="s">
        <v>22</v>
      </c>
      <c r="F269" s="103" t="s">
        <v>23</v>
      </c>
      <c r="G269" s="121">
        <v>372</v>
      </c>
      <c r="H269" s="122">
        <v>37200</v>
      </c>
    </row>
    <row r="270" spans="1:8" ht="15.75" customHeight="1" x14ac:dyDescent="0.25">
      <c r="A270" s="103" t="s">
        <v>24</v>
      </c>
      <c r="B270" s="120">
        <v>30814</v>
      </c>
      <c r="C270" s="103" t="s">
        <v>152</v>
      </c>
      <c r="D270" s="83">
        <v>23508</v>
      </c>
      <c r="E270" s="103" t="s">
        <v>74</v>
      </c>
      <c r="F270" s="103" t="s">
        <v>79</v>
      </c>
      <c r="G270" s="121">
        <v>365</v>
      </c>
      <c r="H270" s="122">
        <v>36521</v>
      </c>
    </row>
    <row r="271" spans="1:8" ht="15.75" customHeight="1" x14ac:dyDescent="0.25">
      <c r="A271" s="103" t="s">
        <v>12</v>
      </c>
      <c r="B271" s="120">
        <v>29965</v>
      </c>
      <c r="C271" s="103" t="s">
        <v>128</v>
      </c>
      <c r="D271" s="83">
        <v>21415</v>
      </c>
      <c r="E271" s="103" t="s">
        <v>129</v>
      </c>
      <c r="F271" s="103" t="s">
        <v>18</v>
      </c>
      <c r="G271" s="121">
        <v>363</v>
      </c>
      <c r="H271" s="122">
        <v>36344</v>
      </c>
    </row>
    <row r="272" spans="1:8" ht="15.75" customHeight="1" x14ac:dyDescent="0.25">
      <c r="A272" s="103" t="s">
        <v>24</v>
      </c>
      <c r="B272" s="120">
        <v>26983</v>
      </c>
      <c r="C272" s="103" t="s">
        <v>30</v>
      </c>
      <c r="D272" s="83">
        <v>22331</v>
      </c>
      <c r="E272" s="103" t="s">
        <v>20</v>
      </c>
      <c r="F272" s="103" t="s">
        <v>15</v>
      </c>
      <c r="G272" s="121">
        <v>361</v>
      </c>
      <c r="H272" s="122">
        <v>36072</v>
      </c>
    </row>
    <row r="273" spans="1:8" ht="15.75" customHeight="1" x14ac:dyDescent="0.25">
      <c r="A273" s="103" t="s">
        <v>12</v>
      </c>
      <c r="B273" s="120">
        <v>32730</v>
      </c>
      <c r="C273" s="103" t="s">
        <v>120</v>
      </c>
      <c r="D273" s="83">
        <v>125298</v>
      </c>
      <c r="E273" s="103" t="s">
        <v>28</v>
      </c>
      <c r="F273" s="103" t="s">
        <v>23</v>
      </c>
      <c r="G273" s="121">
        <v>353</v>
      </c>
      <c r="H273" s="122">
        <v>35278</v>
      </c>
    </row>
    <row r="274" spans="1:8" ht="15.75" customHeight="1" x14ac:dyDescent="0.25">
      <c r="A274" s="103" t="s">
        <v>12</v>
      </c>
      <c r="B274" s="120">
        <v>32861</v>
      </c>
      <c r="C274" s="103" t="s">
        <v>61</v>
      </c>
      <c r="D274" s="83">
        <v>121725</v>
      </c>
      <c r="E274" s="103" t="s">
        <v>26</v>
      </c>
      <c r="F274" s="103" t="s">
        <v>23</v>
      </c>
      <c r="G274" s="121">
        <v>352</v>
      </c>
      <c r="H274" s="122">
        <v>35165</v>
      </c>
    </row>
    <row r="275" spans="1:8" ht="15.75" customHeight="1" x14ac:dyDescent="0.25">
      <c r="A275" s="103" t="s">
        <v>12</v>
      </c>
      <c r="B275" s="120">
        <v>25254</v>
      </c>
      <c r="C275" s="103" t="s">
        <v>66</v>
      </c>
      <c r="D275" s="83">
        <v>20660</v>
      </c>
      <c r="E275" s="103" t="s">
        <v>26</v>
      </c>
      <c r="F275" s="103" t="s">
        <v>23</v>
      </c>
      <c r="G275" s="121">
        <v>351</v>
      </c>
      <c r="H275" s="122">
        <v>35100</v>
      </c>
    </row>
    <row r="276" spans="1:8" ht="15.75" customHeight="1" x14ac:dyDescent="0.25">
      <c r="A276" s="103" t="s">
        <v>12</v>
      </c>
      <c r="B276" s="120">
        <v>32813</v>
      </c>
      <c r="C276" s="103" t="s">
        <v>36</v>
      </c>
      <c r="D276" s="83">
        <v>94376</v>
      </c>
      <c r="E276" s="103" t="s">
        <v>37</v>
      </c>
      <c r="F276" s="103" t="s">
        <v>18</v>
      </c>
      <c r="G276" s="121">
        <v>350</v>
      </c>
      <c r="H276" s="122">
        <v>35000</v>
      </c>
    </row>
    <row r="277" spans="1:8" ht="15.75" customHeight="1" x14ac:dyDescent="0.25">
      <c r="A277" s="103" t="s">
        <v>12</v>
      </c>
      <c r="B277" s="120">
        <v>28167</v>
      </c>
      <c r="C277" s="103" t="s">
        <v>118</v>
      </c>
      <c r="D277" s="83">
        <v>22931</v>
      </c>
      <c r="E277" s="103" t="s">
        <v>20</v>
      </c>
      <c r="F277" s="103" t="s">
        <v>15</v>
      </c>
      <c r="G277" s="121">
        <v>347</v>
      </c>
      <c r="H277" s="122">
        <v>34742</v>
      </c>
    </row>
    <row r="278" spans="1:8" ht="15.75" customHeight="1" x14ac:dyDescent="0.25">
      <c r="A278" s="103" t="s">
        <v>12</v>
      </c>
      <c r="B278" s="120">
        <v>19827</v>
      </c>
      <c r="C278" s="103" t="s">
        <v>108</v>
      </c>
      <c r="D278" s="83">
        <v>44204</v>
      </c>
      <c r="E278" s="103" t="s">
        <v>74</v>
      </c>
      <c r="F278" s="103" t="s">
        <v>79</v>
      </c>
      <c r="G278" s="121">
        <v>342</v>
      </c>
      <c r="H278" s="122">
        <v>34200</v>
      </c>
    </row>
    <row r="279" spans="1:8" ht="15.75" customHeight="1" x14ac:dyDescent="0.25">
      <c r="A279" s="103" t="s">
        <v>12</v>
      </c>
      <c r="B279" s="120">
        <v>26543</v>
      </c>
      <c r="C279" s="103" t="s">
        <v>33</v>
      </c>
      <c r="D279" s="83">
        <v>125284</v>
      </c>
      <c r="E279" s="103" t="s">
        <v>20</v>
      </c>
      <c r="F279" s="103" t="s">
        <v>15</v>
      </c>
      <c r="G279" s="121">
        <v>342</v>
      </c>
      <c r="H279" s="122">
        <v>34190</v>
      </c>
    </row>
    <row r="280" spans="1:8" ht="15.75" customHeight="1" x14ac:dyDescent="0.25">
      <c r="A280" s="103" t="s">
        <v>12</v>
      </c>
      <c r="B280" s="120">
        <v>25669</v>
      </c>
      <c r="C280" s="103" t="s">
        <v>48</v>
      </c>
      <c r="D280" s="83">
        <v>26347</v>
      </c>
      <c r="E280" s="103" t="s">
        <v>20</v>
      </c>
      <c r="F280" s="103" t="s">
        <v>15</v>
      </c>
      <c r="G280" s="121">
        <v>335</v>
      </c>
      <c r="H280" s="122">
        <v>33489</v>
      </c>
    </row>
    <row r="281" spans="1:8" ht="15.75" customHeight="1" x14ac:dyDescent="0.25">
      <c r="A281" s="103" t="s">
        <v>24</v>
      </c>
      <c r="B281" s="120">
        <v>29901</v>
      </c>
      <c r="C281" s="103" t="s">
        <v>38</v>
      </c>
      <c r="D281" s="83">
        <v>21281</v>
      </c>
      <c r="E281" s="103" t="s">
        <v>39</v>
      </c>
      <c r="F281" s="103" t="s">
        <v>40</v>
      </c>
      <c r="G281" s="121">
        <v>335</v>
      </c>
      <c r="H281" s="122">
        <v>33489</v>
      </c>
    </row>
    <row r="282" spans="1:8" ht="15.75" customHeight="1" x14ac:dyDescent="0.25">
      <c r="A282" s="103" t="s">
        <v>12</v>
      </c>
      <c r="B282" s="120">
        <v>31015</v>
      </c>
      <c r="C282" s="103" t="s">
        <v>153</v>
      </c>
      <c r="D282" s="83">
        <v>24866</v>
      </c>
      <c r="E282" s="103" t="s">
        <v>26</v>
      </c>
      <c r="F282" s="103" t="s">
        <v>23</v>
      </c>
      <c r="G282" s="121">
        <v>334</v>
      </c>
      <c r="H282" s="122">
        <v>33433</v>
      </c>
    </row>
    <row r="283" spans="1:8" ht="15.75" customHeight="1" x14ac:dyDescent="0.25">
      <c r="A283" s="103" t="s">
        <v>12</v>
      </c>
      <c r="B283" s="120">
        <v>34104</v>
      </c>
      <c r="C283" s="103" t="s">
        <v>80</v>
      </c>
      <c r="D283" s="83">
        <v>123347</v>
      </c>
      <c r="E283" s="103" t="s">
        <v>26</v>
      </c>
      <c r="F283" s="103" t="s">
        <v>23</v>
      </c>
      <c r="G283" s="121">
        <v>330</v>
      </c>
      <c r="H283" s="122">
        <v>33000</v>
      </c>
    </row>
    <row r="284" spans="1:8" ht="15.75" customHeight="1" x14ac:dyDescent="0.25">
      <c r="A284" s="103" t="s">
        <v>12</v>
      </c>
      <c r="B284" s="120">
        <v>25765</v>
      </c>
      <c r="C284" s="103" t="s">
        <v>130</v>
      </c>
      <c r="D284" s="83">
        <v>20785</v>
      </c>
      <c r="E284" s="103" t="s">
        <v>20</v>
      </c>
      <c r="F284" s="103" t="s">
        <v>15</v>
      </c>
      <c r="G284" s="121">
        <v>329</v>
      </c>
      <c r="H284" s="122">
        <v>32940</v>
      </c>
    </row>
    <row r="285" spans="1:8" ht="15.75" customHeight="1" x14ac:dyDescent="0.25">
      <c r="A285" s="103" t="s">
        <v>12</v>
      </c>
      <c r="B285" s="120">
        <v>25249</v>
      </c>
      <c r="C285" s="103" t="s">
        <v>65</v>
      </c>
      <c r="D285" s="83">
        <v>21141</v>
      </c>
      <c r="E285" s="103" t="s">
        <v>17</v>
      </c>
      <c r="F285" s="103" t="s">
        <v>23</v>
      </c>
      <c r="G285" s="121">
        <v>326</v>
      </c>
      <c r="H285" s="122">
        <v>32634</v>
      </c>
    </row>
    <row r="286" spans="1:8" ht="15.75" customHeight="1" x14ac:dyDescent="0.25">
      <c r="A286" s="103" t="s">
        <v>24</v>
      </c>
      <c r="B286" s="120">
        <v>21244</v>
      </c>
      <c r="C286" s="103" t="s">
        <v>30</v>
      </c>
      <c r="D286" s="83">
        <v>22489</v>
      </c>
      <c r="E286" s="103" t="s">
        <v>20</v>
      </c>
      <c r="F286" s="103" t="s">
        <v>15</v>
      </c>
      <c r="G286" s="121">
        <v>325</v>
      </c>
      <c r="H286" s="122">
        <v>32500</v>
      </c>
    </row>
    <row r="287" spans="1:8" ht="15.75" customHeight="1" x14ac:dyDescent="0.25">
      <c r="A287" s="103" t="s">
        <v>12</v>
      </c>
      <c r="B287" s="120">
        <v>28763</v>
      </c>
      <c r="C287" s="103" t="s">
        <v>87</v>
      </c>
      <c r="D287" s="83">
        <v>94270</v>
      </c>
      <c r="E287" s="103" t="s">
        <v>28</v>
      </c>
      <c r="F287" s="103" t="s">
        <v>23</v>
      </c>
      <c r="G287" s="121">
        <v>322</v>
      </c>
      <c r="H287" s="122">
        <v>32240</v>
      </c>
    </row>
    <row r="288" spans="1:8" ht="15.75" customHeight="1" x14ac:dyDescent="0.25">
      <c r="A288" s="103" t="s">
        <v>24</v>
      </c>
      <c r="B288" s="120">
        <v>30416</v>
      </c>
      <c r="C288" s="103" t="s">
        <v>100</v>
      </c>
      <c r="D288" s="83">
        <v>127626</v>
      </c>
      <c r="E288" s="103" t="s">
        <v>14</v>
      </c>
      <c r="F288" s="103" t="s">
        <v>15</v>
      </c>
      <c r="G288" s="121">
        <v>322</v>
      </c>
      <c r="H288" s="122">
        <v>32224</v>
      </c>
    </row>
    <row r="289" spans="1:8" ht="15.75" customHeight="1" x14ac:dyDescent="0.25">
      <c r="A289" s="103" t="s">
        <v>12</v>
      </c>
      <c r="B289" s="120">
        <v>32258</v>
      </c>
      <c r="C289" s="103" t="s">
        <v>98</v>
      </c>
      <c r="D289" s="83">
        <v>128553</v>
      </c>
      <c r="E289" s="103" t="s">
        <v>28</v>
      </c>
      <c r="F289" s="103" t="s">
        <v>23</v>
      </c>
      <c r="G289" s="121">
        <v>317</v>
      </c>
      <c r="H289" s="122">
        <v>31747</v>
      </c>
    </row>
    <row r="290" spans="1:8" ht="15.75" customHeight="1" x14ac:dyDescent="0.25">
      <c r="A290" s="103" t="s">
        <v>24</v>
      </c>
      <c r="B290" s="120">
        <v>32200</v>
      </c>
      <c r="C290" s="103" t="s">
        <v>115</v>
      </c>
      <c r="D290" s="83">
        <v>21389</v>
      </c>
      <c r="E290" s="103" t="s">
        <v>116</v>
      </c>
      <c r="F290" s="103" t="s">
        <v>18</v>
      </c>
      <c r="G290" s="121">
        <v>317</v>
      </c>
      <c r="H290" s="122">
        <v>31747</v>
      </c>
    </row>
    <row r="291" spans="1:8" ht="15.75" customHeight="1" x14ac:dyDescent="0.25">
      <c r="A291" s="103" t="s">
        <v>12</v>
      </c>
      <c r="B291" s="120">
        <v>25446</v>
      </c>
      <c r="C291" s="103" t="s">
        <v>154</v>
      </c>
      <c r="D291" s="83">
        <v>137477</v>
      </c>
      <c r="E291" s="103" t="s">
        <v>37</v>
      </c>
      <c r="F291" s="103" t="s">
        <v>18</v>
      </c>
      <c r="G291" s="121">
        <v>312</v>
      </c>
      <c r="H291" s="122">
        <v>31200</v>
      </c>
    </row>
    <row r="292" spans="1:8" ht="15.75" customHeight="1" x14ac:dyDescent="0.25">
      <c r="A292" s="103" t="s">
        <v>24</v>
      </c>
      <c r="B292" s="120">
        <v>23784</v>
      </c>
      <c r="C292" s="103" t="s">
        <v>143</v>
      </c>
      <c r="D292" s="83">
        <v>20594</v>
      </c>
      <c r="E292" s="103" t="s">
        <v>20</v>
      </c>
      <c r="F292" s="103" t="s">
        <v>15</v>
      </c>
      <c r="G292" s="121">
        <v>312</v>
      </c>
      <c r="H292" s="122">
        <v>31200</v>
      </c>
    </row>
    <row r="293" spans="1:8" ht="15.75" customHeight="1" x14ac:dyDescent="0.25">
      <c r="A293" s="103" t="s">
        <v>12</v>
      </c>
      <c r="B293" s="120">
        <v>31274</v>
      </c>
      <c r="C293" s="103" t="s">
        <v>77</v>
      </c>
      <c r="D293" s="83">
        <v>27355</v>
      </c>
      <c r="E293" s="103" t="s">
        <v>26</v>
      </c>
      <c r="F293" s="103" t="s">
        <v>23</v>
      </c>
      <c r="G293" s="121">
        <v>312</v>
      </c>
      <c r="H293" s="122">
        <v>31152</v>
      </c>
    </row>
    <row r="294" spans="1:8" ht="15.75" customHeight="1" x14ac:dyDescent="0.25">
      <c r="A294" s="103" t="s">
        <v>24</v>
      </c>
      <c r="B294" s="120">
        <v>31990</v>
      </c>
      <c r="C294" s="103" t="s">
        <v>155</v>
      </c>
      <c r="D294" s="83">
        <v>127539</v>
      </c>
      <c r="E294" s="103" t="s">
        <v>84</v>
      </c>
      <c r="F294" s="103" t="s">
        <v>40</v>
      </c>
      <c r="G294" s="121">
        <v>311</v>
      </c>
      <c r="H294" s="122">
        <v>31110</v>
      </c>
    </row>
    <row r="295" spans="1:8" ht="15.75" customHeight="1" x14ac:dyDescent="0.25">
      <c r="A295" s="103" t="s">
        <v>12</v>
      </c>
      <c r="B295" s="120">
        <v>26882</v>
      </c>
      <c r="C295" s="103" t="s">
        <v>48</v>
      </c>
      <c r="D295" s="83">
        <v>21460</v>
      </c>
      <c r="E295" s="103" t="s">
        <v>20</v>
      </c>
      <c r="F295" s="103" t="s">
        <v>15</v>
      </c>
      <c r="G295" s="121">
        <v>310</v>
      </c>
      <c r="H295" s="122">
        <v>31000</v>
      </c>
    </row>
    <row r="296" spans="1:8" ht="15.75" customHeight="1" x14ac:dyDescent="0.25">
      <c r="A296" s="103" t="s">
        <v>12</v>
      </c>
      <c r="B296" s="120">
        <v>26597</v>
      </c>
      <c r="C296" s="103" t="s">
        <v>156</v>
      </c>
      <c r="D296" s="83">
        <v>125932</v>
      </c>
      <c r="E296" s="103" t="s">
        <v>157</v>
      </c>
      <c r="F296" s="103" t="s">
        <v>40</v>
      </c>
      <c r="G296" s="121">
        <v>310</v>
      </c>
      <c r="H296" s="122">
        <v>31000</v>
      </c>
    </row>
    <row r="297" spans="1:8" ht="15.75" customHeight="1" x14ac:dyDescent="0.25">
      <c r="A297" s="103" t="s">
        <v>12</v>
      </c>
      <c r="B297" s="120">
        <v>24056</v>
      </c>
      <c r="C297" s="103" t="s">
        <v>138</v>
      </c>
      <c r="D297" s="83">
        <v>21954</v>
      </c>
      <c r="E297" s="103" t="s">
        <v>55</v>
      </c>
      <c r="F297" s="103" t="s">
        <v>18</v>
      </c>
      <c r="G297" s="121">
        <v>308</v>
      </c>
      <c r="H297" s="122">
        <v>30800</v>
      </c>
    </row>
    <row r="298" spans="1:8" ht="15.75" customHeight="1" x14ac:dyDescent="0.25">
      <c r="A298" s="103" t="s">
        <v>24</v>
      </c>
      <c r="B298" s="120">
        <v>19906</v>
      </c>
      <c r="C298" s="103" t="s">
        <v>19</v>
      </c>
      <c r="D298" s="83">
        <v>131137</v>
      </c>
      <c r="E298" s="103" t="s">
        <v>20</v>
      </c>
      <c r="F298" s="103" t="s">
        <v>15</v>
      </c>
      <c r="G298" s="121">
        <v>307</v>
      </c>
      <c r="H298" s="122">
        <v>30744</v>
      </c>
    </row>
    <row r="299" spans="1:8" ht="15.75" customHeight="1" x14ac:dyDescent="0.25">
      <c r="A299" s="103" t="s">
        <v>12</v>
      </c>
      <c r="B299" s="120">
        <v>26290</v>
      </c>
      <c r="C299" s="103" t="s">
        <v>81</v>
      </c>
      <c r="D299" s="83">
        <v>26231</v>
      </c>
      <c r="E299" s="103" t="s">
        <v>39</v>
      </c>
      <c r="F299" s="103" t="s">
        <v>40</v>
      </c>
      <c r="G299" s="121">
        <v>304</v>
      </c>
      <c r="H299" s="122">
        <v>30439</v>
      </c>
    </row>
    <row r="300" spans="1:8" ht="15.75" customHeight="1" x14ac:dyDescent="0.25">
      <c r="A300" s="103" t="s">
        <v>24</v>
      </c>
      <c r="B300" s="120">
        <v>30201</v>
      </c>
      <c r="C300" s="103" t="s">
        <v>158</v>
      </c>
      <c r="D300" s="83">
        <v>94112</v>
      </c>
      <c r="E300" s="103" t="s">
        <v>39</v>
      </c>
      <c r="F300" s="103" t="s">
        <v>40</v>
      </c>
      <c r="G300" s="121">
        <v>304</v>
      </c>
      <c r="H300" s="122">
        <v>30439</v>
      </c>
    </row>
    <row r="301" spans="1:8" ht="15.75" customHeight="1" x14ac:dyDescent="0.25">
      <c r="A301" s="103" t="s">
        <v>24</v>
      </c>
      <c r="B301" s="120">
        <v>26094</v>
      </c>
      <c r="C301" s="103" t="s">
        <v>49</v>
      </c>
      <c r="D301" s="83">
        <v>20783</v>
      </c>
      <c r="E301" s="103" t="s">
        <v>20</v>
      </c>
      <c r="F301" s="103" t="s">
        <v>15</v>
      </c>
      <c r="G301" s="121">
        <v>302</v>
      </c>
      <c r="H301" s="122">
        <v>30195</v>
      </c>
    </row>
    <row r="302" spans="1:8" ht="15.75" customHeight="1" x14ac:dyDescent="0.25">
      <c r="A302" s="103" t="s">
        <v>12</v>
      </c>
      <c r="B302" s="120">
        <v>25750</v>
      </c>
      <c r="C302" s="103" t="s">
        <v>118</v>
      </c>
      <c r="D302" s="83">
        <v>27748</v>
      </c>
      <c r="E302" s="103" t="s">
        <v>20</v>
      </c>
      <c r="F302" s="103" t="s">
        <v>15</v>
      </c>
      <c r="G302" s="121">
        <v>302</v>
      </c>
      <c r="H302" s="122">
        <v>30192</v>
      </c>
    </row>
    <row r="303" spans="1:8" ht="15.75" customHeight="1" x14ac:dyDescent="0.25">
      <c r="A303" s="103" t="s">
        <v>24</v>
      </c>
      <c r="B303" s="120">
        <v>16384</v>
      </c>
      <c r="C303" s="103" t="s">
        <v>50</v>
      </c>
      <c r="D303" s="83">
        <v>128930</v>
      </c>
      <c r="E303" s="103" t="s">
        <v>20</v>
      </c>
      <c r="F303" s="103" t="s">
        <v>15</v>
      </c>
      <c r="G303" s="121">
        <v>300</v>
      </c>
      <c r="H303" s="122">
        <v>30000</v>
      </c>
    </row>
    <row r="304" spans="1:8" ht="15.75" customHeight="1" x14ac:dyDescent="0.25">
      <c r="A304" s="103" t="s">
        <v>12</v>
      </c>
      <c r="B304" s="120">
        <v>21034</v>
      </c>
      <c r="C304" s="103" t="s">
        <v>50</v>
      </c>
      <c r="D304" s="83">
        <v>25895</v>
      </c>
      <c r="E304" s="103" t="s">
        <v>20</v>
      </c>
      <c r="F304" s="103" t="s">
        <v>15</v>
      </c>
      <c r="G304" s="121">
        <v>293</v>
      </c>
      <c r="H304" s="122">
        <v>29315</v>
      </c>
    </row>
    <row r="305" spans="1:8" ht="15.75" customHeight="1" x14ac:dyDescent="0.25">
      <c r="A305" s="103" t="s">
        <v>12</v>
      </c>
      <c r="B305" s="120">
        <v>28004</v>
      </c>
      <c r="C305" s="103" t="s">
        <v>159</v>
      </c>
      <c r="D305" s="83">
        <v>20432</v>
      </c>
      <c r="E305" s="103" t="s">
        <v>52</v>
      </c>
      <c r="F305" s="103" t="s">
        <v>15</v>
      </c>
      <c r="G305" s="121">
        <v>293</v>
      </c>
      <c r="H305" s="122">
        <v>29250</v>
      </c>
    </row>
    <row r="306" spans="1:8" ht="15.75" customHeight="1" x14ac:dyDescent="0.25">
      <c r="A306" s="103" t="s">
        <v>12</v>
      </c>
      <c r="B306" s="120">
        <v>24150</v>
      </c>
      <c r="C306" s="103" t="s">
        <v>98</v>
      </c>
      <c r="D306" s="83">
        <v>127056</v>
      </c>
      <c r="E306" s="103" t="s">
        <v>28</v>
      </c>
      <c r="F306" s="103" t="s">
        <v>23</v>
      </c>
      <c r="G306" s="121">
        <v>290</v>
      </c>
      <c r="H306" s="122">
        <v>29000</v>
      </c>
    </row>
    <row r="307" spans="1:8" ht="15.75" customHeight="1" x14ac:dyDescent="0.25">
      <c r="A307" s="103" t="s">
        <v>24</v>
      </c>
      <c r="B307" s="120">
        <v>27369</v>
      </c>
      <c r="C307" s="103" t="s">
        <v>139</v>
      </c>
      <c r="D307" s="83">
        <v>124153</v>
      </c>
      <c r="E307" s="103" t="s">
        <v>74</v>
      </c>
      <c r="F307" s="103" t="s">
        <v>79</v>
      </c>
      <c r="G307" s="121">
        <v>288</v>
      </c>
      <c r="H307" s="122">
        <v>28785</v>
      </c>
    </row>
    <row r="308" spans="1:8" ht="15.75" customHeight="1" x14ac:dyDescent="0.25">
      <c r="A308" s="103" t="s">
        <v>12</v>
      </c>
      <c r="B308" s="120">
        <v>29053</v>
      </c>
      <c r="C308" s="103" t="s">
        <v>160</v>
      </c>
      <c r="D308" s="83">
        <v>26548</v>
      </c>
      <c r="E308" s="103" t="s">
        <v>14</v>
      </c>
      <c r="F308" s="103" t="s">
        <v>15</v>
      </c>
      <c r="G308" s="121">
        <v>285</v>
      </c>
      <c r="H308" s="122">
        <v>28509</v>
      </c>
    </row>
    <row r="309" spans="1:8" ht="15.75" customHeight="1" x14ac:dyDescent="0.25">
      <c r="A309" s="103" t="s">
        <v>12</v>
      </c>
      <c r="B309" s="120">
        <v>22433</v>
      </c>
      <c r="C309" s="103" t="s">
        <v>125</v>
      </c>
      <c r="D309" s="83">
        <v>141584</v>
      </c>
      <c r="E309" s="103" t="s">
        <v>35</v>
      </c>
      <c r="F309" s="103" t="s">
        <v>15</v>
      </c>
      <c r="G309" s="121">
        <v>285</v>
      </c>
      <c r="H309" s="122">
        <v>28500</v>
      </c>
    </row>
    <row r="310" spans="1:8" ht="15.75" customHeight="1" x14ac:dyDescent="0.25">
      <c r="A310" s="103" t="s">
        <v>12</v>
      </c>
      <c r="B310" s="120">
        <v>34456</v>
      </c>
      <c r="C310" s="103" t="s">
        <v>60</v>
      </c>
      <c r="D310" s="83">
        <v>131197</v>
      </c>
      <c r="E310" s="103" t="s">
        <v>20</v>
      </c>
      <c r="F310" s="103" t="s">
        <v>15</v>
      </c>
      <c r="G310" s="121">
        <v>285</v>
      </c>
      <c r="H310" s="122">
        <v>28500</v>
      </c>
    </row>
    <row r="311" spans="1:8" ht="15.75" customHeight="1" x14ac:dyDescent="0.25">
      <c r="A311" s="103" t="s">
        <v>12</v>
      </c>
      <c r="B311" s="120">
        <v>33963</v>
      </c>
      <c r="C311" s="103" t="s">
        <v>118</v>
      </c>
      <c r="D311" s="83">
        <v>22434</v>
      </c>
      <c r="E311" s="103" t="s">
        <v>20</v>
      </c>
      <c r="F311" s="103" t="s">
        <v>15</v>
      </c>
      <c r="G311" s="121">
        <v>283</v>
      </c>
      <c r="H311" s="122">
        <v>28274</v>
      </c>
    </row>
    <row r="312" spans="1:8" ht="15.75" customHeight="1" x14ac:dyDescent="0.25">
      <c r="A312" s="103" t="s">
        <v>12</v>
      </c>
      <c r="B312" s="120">
        <v>31048</v>
      </c>
      <c r="C312" s="103" t="s">
        <v>98</v>
      </c>
      <c r="D312" s="83">
        <v>20957</v>
      </c>
      <c r="E312" s="103" t="s">
        <v>28</v>
      </c>
      <c r="F312" s="103" t="s">
        <v>23</v>
      </c>
      <c r="G312" s="121">
        <v>275</v>
      </c>
      <c r="H312" s="122">
        <v>27500</v>
      </c>
    </row>
    <row r="313" spans="1:8" ht="15.75" customHeight="1" x14ac:dyDescent="0.25">
      <c r="A313" s="103" t="s">
        <v>12</v>
      </c>
      <c r="B313" s="120">
        <v>32390</v>
      </c>
      <c r="C313" s="103" t="s">
        <v>127</v>
      </c>
      <c r="D313" s="83">
        <v>20762</v>
      </c>
      <c r="E313" s="103" t="s">
        <v>37</v>
      </c>
      <c r="F313" s="103" t="s">
        <v>18</v>
      </c>
      <c r="G313" s="121">
        <v>275</v>
      </c>
      <c r="H313" s="122">
        <v>27486</v>
      </c>
    </row>
    <row r="314" spans="1:8" ht="15.75" customHeight="1" x14ac:dyDescent="0.25">
      <c r="A314" s="103" t="s">
        <v>12</v>
      </c>
      <c r="B314" s="120">
        <v>23202</v>
      </c>
      <c r="C314" s="103" t="s">
        <v>19</v>
      </c>
      <c r="D314" s="83">
        <v>122330</v>
      </c>
      <c r="E314" s="103" t="s">
        <v>20</v>
      </c>
      <c r="F314" s="103" t="s">
        <v>15</v>
      </c>
      <c r="G314" s="121">
        <v>274</v>
      </c>
      <c r="H314" s="122">
        <v>27420</v>
      </c>
    </row>
    <row r="315" spans="1:8" ht="15.75" customHeight="1" x14ac:dyDescent="0.25">
      <c r="A315" s="103" t="s">
        <v>24</v>
      </c>
      <c r="B315" s="120">
        <v>30014</v>
      </c>
      <c r="C315" s="103" t="s">
        <v>80</v>
      </c>
      <c r="D315" s="83">
        <v>21161</v>
      </c>
      <c r="E315" s="103" t="s">
        <v>26</v>
      </c>
      <c r="F315" s="103" t="s">
        <v>23</v>
      </c>
      <c r="G315" s="121">
        <v>273</v>
      </c>
      <c r="H315" s="122">
        <v>27280</v>
      </c>
    </row>
    <row r="316" spans="1:8" ht="15.75" customHeight="1" x14ac:dyDescent="0.25">
      <c r="A316" s="103" t="s">
        <v>12</v>
      </c>
      <c r="B316" s="120">
        <v>25580</v>
      </c>
      <c r="C316" s="103" t="s">
        <v>117</v>
      </c>
      <c r="D316" s="83">
        <v>127967</v>
      </c>
      <c r="E316" s="103" t="s">
        <v>39</v>
      </c>
      <c r="F316" s="103" t="s">
        <v>40</v>
      </c>
      <c r="G316" s="121">
        <v>273</v>
      </c>
      <c r="H316" s="122">
        <v>27264</v>
      </c>
    </row>
    <row r="317" spans="1:8" ht="15.75" customHeight="1" x14ac:dyDescent="0.25">
      <c r="A317" s="103" t="s">
        <v>24</v>
      </c>
      <c r="B317" s="120">
        <v>30682</v>
      </c>
      <c r="C317" s="103" t="s">
        <v>53</v>
      </c>
      <c r="D317" s="83">
        <v>21608</v>
      </c>
      <c r="E317" s="103" t="s">
        <v>37</v>
      </c>
      <c r="F317" s="103" t="s">
        <v>18</v>
      </c>
      <c r="G317" s="121">
        <v>270</v>
      </c>
      <c r="H317" s="122">
        <v>27000</v>
      </c>
    </row>
    <row r="318" spans="1:8" ht="15.75" customHeight="1" x14ac:dyDescent="0.25">
      <c r="A318" s="103" t="s">
        <v>12</v>
      </c>
      <c r="B318" s="120">
        <v>29204</v>
      </c>
      <c r="C318" s="103" t="s">
        <v>161</v>
      </c>
      <c r="D318" s="83">
        <v>133005</v>
      </c>
      <c r="E318" s="103" t="s">
        <v>20</v>
      </c>
      <c r="F318" s="103" t="s">
        <v>15</v>
      </c>
      <c r="G318" s="121">
        <v>268</v>
      </c>
      <c r="H318" s="122">
        <v>26847</v>
      </c>
    </row>
    <row r="319" spans="1:8" ht="15.75" customHeight="1" x14ac:dyDescent="0.25">
      <c r="A319" s="103" t="s">
        <v>12</v>
      </c>
      <c r="B319" s="120">
        <v>26826</v>
      </c>
      <c r="C319" s="103" t="s">
        <v>30</v>
      </c>
      <c r="D319" s="83">
        <v>20633</v>
      </c>
      <c r="E319" s="103" t="s">
        <v>20</v>
      </c>
      <c r="F319" s="103" t="s">
        <v>15</v>
      </c>
      <c r="G319" s="121">
        <v>268</v>
      </c>
      <c r="H319" s="122">
        <v>26796</v>
      </c>
    </row>
    <row r="320" spans="1:8" ht="15.75" customHeight="1" x14ac:dyDescent="0.25">
      <c r="A320" s="103" t="s">
        <v>12</v>
      </c>
      <c r="B320" s="120">
        <v>27456</v>
      </c>
      <c r="C320" s="103" t="s">
        <v>57</v>
      </c>
      <c r="D320" s="83">
        <v>21007</v>
      </c>
      <c r="E320" s="103" t="s">
        <v>35</v>
      </c>
      <c r="F320" s="103" t="s">
        <v>15</v>
      </c>
      <c r="G320" s="121">
        <v>266</v>
      </c>
      <c r="H320" s="122">
        <v>26622</v>
      </c>
    </row>
    <row r="321" spans="1:8" ht="15.75" customHeight="1" x14ac:dyDescent="0.25">
      <c r="A321" s="103" t="s">
        <v>12</v>
      </c>
      <c r="B321" s="120">
        <v>27420</v>
      </c>
      <c r="C321" s="103" t="s">
        <v>54</v>
      </c>
      <c r="D321" s="83">
        <v>20921</v>
      </c>
      <c r="E321" s="103" t="s">
        <v>55</v>
      </c>
      <c r="F321" s="103" t="s">
        <v>18</v>
      </c>
      <c r="G321" s="121">
        <v>259</v>
      </c>
      <c r="H321" s="122">
        <v>25872</v>
      </c>
    </row>
    <row r="322" spans="1:8" ht="15.75" customHeight="1" x14ac:dyDescent="0.25">
      <c r="A322" s="103" t="s">
        <v>12</v>
      </c>
      <c r="B322" s="120">
        <v>33005</v>
      </c>
      <c r="C322" s="103" t="s">
        <v>130</v>
      </c>
      <c r="D322" s="83">
        <v>22622</v>
      </c>
      <c r="E322" s="103" t="s">
        <v>20</v>
      </c>
      <c r="F322" s="103" t="s">
        <v>15</v>
      </c>
      <c r="G322" s="121">
        <v>259</v>
      </c>
      <c r="H322" s="122">
        <v>25862</v>
      </c>
    </row>
    <row r="323" spans="1:8" ht="15.75" customHeight="1" x14ac:dyDescent="0.25">
      <c r="A323" s="103" t="s">
        <v>12</v>
      </c>
      <c r="B323" s="120">
        <v>27151</v>
      </c>
      <c r="C323" s="103" t="s">
        <v>49</v>
      </c>
      <c r="D323" s="83">
        <v>21647</v>
      </c>
      <c r="E323" s="103" t="s">
        <v>20</v>
      </c>
      <c r="F323" s="103" t="s">
        <v>15</v>
      </c>
      <c r="G323" s="121">
        <v>256</v>
      </c>
      <c r="H323" s="122">
        <v>25578</v>
      </c>
    </row>
    <row r="324" spans="1:8" ht="15.75" customHeight="1" x14ac:dyDescent="0.25">
      <c r="A324" s="103" t="s">
        <v>24</v>
      </c>
      <c r="B324" s="120">
        <v>26925</v>
      </c>
      <c r="C324" s="103" t="s">
        <v>66</v>
      </c>
      <c r="D324" s="83">
        <v>20598</v>
      </c>
      <c r="E324" s="103" t="s">
        <v>26</v>
      </c>
      <c r="F324" s="103" t="s">
        <v>23</v>
      </c>
      <c r="G324" s="121">
        <v>255</v>
      </c>
      <c r="H324" s="122">
        <v>25500</v>
      </c>
    </row>
    <row r="325" spans="1:8" ht="15.75" customHeight="1" x14ac:dyDescent="0.25">
      <c r="A325" s="103" t="s">
        <v>12</v>
      </c>
      <c r="B325" s="120">
        <v>18288</v>
      </c>
      <c r="C325" s="103" t="s">
        <v>60</v>
      </c>
      <c r="D325" s="83">
        <v>21770</v>
      </c>
      <c r="E325" s="103" t="s">
        <v>20</v>
      </c>
      <c r="F325" s="103" t="s">
        <v>15</v>
      </c>
      <c r="G325" s="121">
        <v>254</v>
      </c>
      <c r="H325" s="122">
        <v>25368</v>
      </c>
    </row>
    <row r="326" spans="1:8" ht="15.75" customHeight="1" x14ac:dyDescent="0.25">
      <c r="A326" s="103" t="s">
        <v>24</v>
      </c>
      <c r="B326" s="120">
        <v>27911</v>
      </c>
      <c r="C326" s="103" t="s">
        <v>130</v>
      </c>
      <c r="D326" s="83">
        <v>21805</v>
      </c>
      <c r="E326" s="103" t="s">
        <v>20</v>
      </c>
      <c r="F326" s="103" t="s">
        <v>15</v>
      </c>
      <c r="G326" s="121">
        <v>251</v>
      </c>
      <c r="H326" s="122">
        <v>25146</v>
      </c>
    </row>
    <row r="327" spans="1:8" ht="15.75" customHeight="1" x14ac:dyDescent="0.25">
      <c r="A327" s="103" t="s">
        <v>12</v>
      </c>
      <c r="B327" s="120">
        <v>26</v>
      </c>
      <c r="C327" s="103" t="s">
        <v>48</v>
      </c>
      <c r="D327" s="83">
        <v>42146</v>
      </c>
      <c r="E327" s="103" t="s">
        <v>20</v>
      </c>
      <c r="F327" s="103" t="s">
        <v>15</v>
      </c>
      <c r="G327" s="121">
        <v>250</v>
      </c>
      <c r="H327" s="122">
        <v>25000</v>
      </c>
    </row>
    <row r="328" spans="1:8" ht="15.75" customHeight="1" x14ac:dyDescent="0.25">
      <c r="A328" s="103" t="s">
        <v>24</v>
      </c>
      <c r="B328" s="120">
        <v>29842</v>
      </c>
      <c r="C328" s="103" t="s">
        <v>16</v>
      </c>
      <c r="D328" s="83">
        <v>20697</v>
      </c>
      <c r="E328" s="103" t="s">
        <v>17</v>
      </c>
      <c r="F328" s="103" t="s">
        <v>18</v>
      </c>
      <c r="G328" s="121">
        <v>250</v>
      </c>
      <c r="H328" s="122">
        <v>25000</v>
      </c>
    </row>
    <row r="329" spans="1:8" ht="15.75" customHeight="1" x14ac:dyDescent="0.25">
      <c r="A329" s="103" t="s">
        <v>24</v>
      </c>
      <c r="B329" s="120">
        <v>27791</v>
      </c>
      <c r="C329" s="103" t="s">
        <v>65</v>
      </c>
      <c r="D329" s="83">
        <v>20647</v>
      </c>
      <c r="E329" s="103" t="s">
        <v>17</v>
      </c>
      <c r="F329" s="103" t="s">
        <v>23</v>
      </c>
      <c r="G329" s="121">
        <v>250</v>
      </c>
      <c r="H329" s="122">
        <v>24960</v>
      </c>
    </row>
    <row r="330" spans="1:8" ht="15.75" customHeight="1" x14ac:dyDescent="0.25">
      <c r="A330" s="103" t="s">
        <v>24</v>
      </c>
      <c r="B330" s="120">
        <v>24473</v>
      </c>
      <c r="C330" s="103" t="s">
        <v>162</v>
      </c>
      <c r="D330" s="83">
        <v>140018</v>
      </c>
      <c r="E330" s="103" t="s">
        <v>17</v>
      </c>
      <c r="F330" s="103" t="s">
        <v>18</v>
      </c>
      <c r="G330" s="121">
        <v>248</v>
      </c>
      <c r="H330" s="122">
        <v>24804</v>
      </c>
    </row>
    <row r="331" spans="1:8" ht="15.75" customHeight="1" x14ac:dyDescent="0.25">
      <c r="A331" s="103" t="s">
        <v>24</v>
      </c>
      <c r="B331" s="120">
        <v>33350</v>
      </c>
      <c r="C331" s="103" t="s">
        <v>13</v>
      </c>
      <c r="D331" s="83">
        <v>119656</v>
      </c>
      <c r="E331" s="103" t="s">
        <v>14</v>
      </c>
      <c r="F331" s="103" t="s">
        <v>15</v>
      </c>
      <c r="G331" s="121">
        <v>247</v>
      </c>
      <c r="H331" s="122">
        <v>24695</v>
      </c>
    </row>
    <row r="332" spans="1:8" ht="15.75" customHeight="1" x14ac:dyDescent="0.25">
      <c r="A332" s="103" t="s">
        <v>12</v>
      </c>
      <c r="B332" s="120">
        <v>24354</v>
      </c>
      <c r="C332" s="103" t="s">
        <v>80</v>
      </c>
      <c r="D332" s="83">
        <v>129073</v>
      </c>
      <c r="E332" s="103" t="s">
        <v>26</v>
      </c>
      <c r="F332" s="103" t="s">
        <v>23</v>
      </c>
      <c r="G332" s="121">
        <v>242</v>
      </c>
      <c r="H332" s="122">
        <v>24156</v>
      </c>
    </row>
    <row r="333" spans="1:8" ht="15.75" customHeight="1" x14ac:dyDescent="0.25">
      <c r="A333" s="103" t="s">
        <v>24</v>
      </c>
      <c r="B333" s="120">
        <v>20552</v>
      </c>
      <c r="C333" s="103" t="s">
        <v>66</v>
      </c>
      <c r="D333" s="83">
        <v>20754</v>
      </c>
      <c r="E333" s="103" t="s">
        <v>26</v>
      </c>
      <c r="F333" s="103" t="s">
        <v>23</v>
      </c>
      <c r="G333" s="121">
        <v>241</v>
      </c>
      <c r="H333" s="122">
        <v>24120</v>
      </c>
    </row>
    <row r="334" spans="1:8" ht="15.75" customHeight="1" x14ac:dyDescent="0.25">
      <c r="A334" s="103" t="s">
        <v>24</v>
      </c>
      <c r="B334" s="120">
        <v>30563</v>
      </c>
      <c r="C334" s="103" t="s">
        <v>67</v>
      </c>
      <c r="D334" s="83">
        <v>20922</v>
      </c>
      <c r="E334" s="103" t="s">
        <v>67</v>
      </c>
      <c r="F334" s="103" t="s">
        <v>23</v>
      </c>
      <c r="G334" s="121">
        <v>241</v>
      </c>
      <c r="H334" s="122">
        <v>24064</v>
      </c>
    </row>
    <row r="335" spans="1:8" ht="15.75" customHeight="1" x14ac:dyDescent="0.25">
      <c r="A335" s="103" t="s">
        <v>12</v>
      </c>
      <c r="B335" s="120">
        <v>29441</v>
      </c>
      <c r="C335" s="103" t="s">
        <v>60</v>
      </c>
      <c r="D335" s="83">
        <v>20515</v>
      </c>
      <c r="E335" s="103" t="s">
        <v>20</v>
      </c>
      <c r="F335" s="103" t="s">
        <v>15</v>
      </c>
      <c r="G335" s="121">
        <v>239</v>
      </c>
      <c r="H335" s="122">
        <v>23940</v>
      </c>
    </row>
    <row r="336" spans="1:8" ht="15.75" customHeight="1" x14ac:dyDescent="0.25">
      <c r="A336" s="103" t="s">
        <v>12</v>
      </c>
      <c r="B336" s="120">
        <v>25144</v>
      </c>
      <c r="C336" s="103" t="s">
        <v>61</v>
      </c>
      <c r="D336" s="83">
        <v>21911</v>
      </c>
      <c r="E336" s="103" t="s">
        <v>26</v>
      </c>
      <c r="F336" s="103" t="s">
        <v>23</v>
      </c>
      <c r="G336" s="121">
        <v>237</v>
      </c>
      <c r="H336" s="122">
        <v>23660</v>
      </c>
    </row>
    <row r="337" spans="1:8" ht="15.75" customHeight="1" x14ac:dyDescent="0.25">
      <c r="A337" s="103" t="s">
        <v>12</v>
      </c>
      <c r="B337" s="120">
        <v>30015</v>
      </c>
      <c r="C337" s="103" t="s">
        <v>163</v>
      </c>
      <c r="D337" s="83">
        <v>126025</v>
      </c>
      <c r="E337" s="103" t="s">
        <v>39</v>
      </c>
      <c r="F337" s="103" t="s">
        <v>40</v>
      </c>
      <c r="G337" s="121">
        <v>236</v>
      </c>
      <c r="H337" s="122">
        <v>23600</v>
      </c>
    </row>
    <row r="338" spans="1:8" ht="15.75" customHeight="1" x14ac:dyDescent="0.25">
      <c r="A338" s="103" t="s">
        <v>24</v>
      </c>
      <c r="B338" s="120">
        <v>32284</v>
      </c>
      <c r="C338" s="103" t="s">
        <v>31</v>
      </c>
      <c r="D338" s="83">
        <v>123556</v>
      </c>
      <c r="E338" s="103" t="s">
        <v>20</v>
      </c>
      <c r="F338" s="103" t="s">
        <v>15</v>
      </c>
      <c r="G338" s="121">
        <v>232</v>
      </c>
      <c r="H338" s="122">
        <v>23200</v>
      </c>
    </row>
    <row r="339" spans="1:8" ht="15.75" customHeight="1" x14ac:dyDescent="0.25">
      <c r="A339" s="103" t="s">
        <v>24</v>
      </c>
      <c r="B339" s="120">
        <v>30170</v>
      </c>
      <c r="C339" s="103" t="s">
        <v>57</v>
      </c>
      <c r="D339" s="83">
        <v>20482</v>
      </c>
      <c r="E339" s="103" t="s">
        <v>35</v>
      </c>
      <c r="F339" s="103" t="s">
        <v>15</v>
      </c>
      <c r="G339" s="121">
        <v>232</v>
      </c>
      <c r="H339" s="122">
        <v>23166</v>
      </c>
    </row>
    <row r="340" spans="1:8" ht="15.75" customHeight="1" x14ac:dyDescent="0.25">
      <c r="A340" s="103" t="s">
        <v>24</v>
      </c>
      <c r="B340" s="120">
        <v>25079</v>
      </c>
      <c r="C340" s="103" t="s">
        <v>73</v>
      </c>
      <c r="D340" s="83">
        <v>24980</v>
      </c>
      <c r="E340" s="103" t="s">
        <v>74</v>
      </c>
      <c r="F340" s="103" t="s">
        <v>23</v>
      </c>
      <c r="G340" s="121">
        <v>224</v>
      </c>
      <c r="H340" s="122">
        <v>22428</v>
      </c>
    </row>
    <row r="341" spans="1:8" ht="15.75" customHeight="1" x14ac:dyDescent="0.25">
      <c r="A341" s="103" t="s">
        <v>12</v>
      </c>
      <c r="B341" s="120">
        <v>24472</v>
      </c>
      <c r="C341" s="103" t="s">
        <v>76</v>
      </c>
      <c r="D341" s="83">
        <v>21135</v>
      </c>
      <c r="E341" s="103" t="s">
        <v>55</v>
      </c>
      <c r="F341" s="103" t="s">
        <v>18</v>
      </c>
      <c r="G341" s="121">
        <v>223</v>
      </c>
      <c r="H341" s="122">
        <v>22344</v>
      </c>
    </row>
    <row r="342" spans="1:8" ht="15.75" customHeight="1" x14ac:dyDescent="0.25">
      <c r="A342" s="103" t="s">
        <v>12</v>
      </c>
      <c r="B342" s="120">
        <v>29380</v>
      </c>
      <c r="C342" s="103" t="s">
        <v>61</v>
      </c>
      <c r="D342" s="83">
        <v>126614</v>
      </c>
      <c r="E342" s="103" t="s">
        <v>26</v>
      </c>
      <c r="F342" s="103" t="s">
        <v>23</v>
      </c>
      <c r="G342" s="121">
        <v>222</v>
      </c>
      <c r="H342" s="122">
        <v>22185</v>
      </c>
    </row>
    <row r="343" spans="1:8" ht="15.75" customHeight="1" x14ac:dyDescent="0.25">
      <c r="A343" s="103" t="s">
        <v>12</v>
      </c>
      <c r="B343" s="120">
        <v>31256</v>
      </c>
      <c r="C343" s="103" t="s">
        <v>61</v>
      </c>
      <c r="D343" s="83">
        <v>133476</v>
      </c>
      <c r="E343" s="103" t="s">
        <v>26</v>
      </c>
      <c r="F343" s="103" t="s">
        <v>23</v>
      </c>
      <c r="G343" s="121">
        <v>220</v>
      </c>
      <c r="H343" s="122">
        <v>22002</v>
      </c>
    </row>
    <row r="344" spans="1:8" ht="15.75" customHeight="1" x14ac:dyDescent="0.25">
      <c r="A344" s="103" t="s">
        <v>12</v>
      </c>
      <c r="B344" s="120">
        <v>27863</v>
      </c>
      <c r="C344" s="103" t="s">
        <v>50</v>
      </c>
      <c r="D344" s="83">
        <v>24634</v>
      </c>
      <c r="E344" s="103" t="s">
        <v>20</v>
      </c>
      <c r="F344" s="103" t="s">
        <v>15</v>
      </c>
      <c r="G344" s="121">
        <v>219</v>
      </c>
      <c r="H344" s="122">
        <v>21945</v>
      </c>
    </row>
    <row r="345" spans="1:8" ht="15.75" customHeight="1" x14ac:dyDescent="0.25">
      <c r="A345" s="103" t="s">
        <v>12</v>
      </c>
      <c r="B345" s="120">
        <v>29898</v>
      </c>
      <c r="C345" s="103" t="s">
        <v>66</v>
      </c>
      <c r="D345" s="83">
        <v>128794</v>
      </c>
      <c r="E345" s="103" t="s">
        <v>26</v>
      </c>
      <c r="F345" s="103" t="s">
        <v>23</v>
      </c>
      <c r="G345" s="121">
        <v>219</v>
      </c>
      <c r="H345" s="122">
        <v>21889</v>
      </c>
    </row>
    <row r="346" spans="1:8" ht="15.75" customHeight="1" x14ac:dyDescent="0.25">
      <c r="A346" s="103" t="s">
        <v>24</v>
      </c>
      <c r="B346" s="120">
        <v>27857</v>
      </c>
      <c r="C346" s="103" t="s">
        <v>77</v>
      </c>
      <c r="D346" s="83">
        <v>23639</v>
      </c>
      <c r="E346" s="103" t="s">
        <v>26</v>
      </c>
      <c r="F346" s="103" t="s">
        <v>23</v>
      </c>
      <c r="G346" s="121">
        <v>218</v>
      </c>
      <c r="H346" s="122">
        <v>21840</v>
      </c>
    </row>
    <row r="347" spans="1:8" ht="15.75" customHeight="1" x14ac:dyDescent="0.25">
      <c r="A347" s="103" t="s">
        <v>24</v>
      </c>
      <c r="B347" s="120">
        <v>30248</v>
      </c>
      <c r="C347" s="103" t="s">
        <v>164</v>
      </c>
      <c r="D347" s="83">
        <v>20921</v>
      </c>
      <c r="E347" s="103" t="s">
        <v>52</v>
      </c>
      <c r="F347" s="103" t="s">
        <v>15</v>
      </c>
      <c r="G347" s="121">
        <v>214</v>
      </c>
      <c r="H347" s="122">
        <v>21448</v>
      </c>
    </row>
    <row r="348" spans="1:8" ht="15.75" customHeight="1" x14ac:dyDescent="0.25">
      <c r="A348" s="103" t="s">
        <v>12</v>
      </c>
      <c r="B348" s="120">
        <v>22939</v>
      </c>
      <c r="C348" s="103" t="s">
        <v>31</v>
      </c>
      <c r="D348" s="83">
        <v>26693</v>
      </c>
      <c r="E348" s="103" t="s">
        <v>20</v>
      </c>
      <c r="F348" s="103" t="s">
        <v>15</v>
      </c>
      <c r="G348" s="121">
        <v>212</v>
      </c>
      <c r="H348" s="122">
        <v>21200</v>
      </c>
    </row>
    <row r="349" spans="1:8" ht="15.75" customHeight="1" x14ac:dyDescent="0.25">
      <c r="A349" s="103" t="s">
        <v>24</v>
      </c>
      <c r="B349" s="120">
        <v>24230</v>
      </c>
      <c r="C349" s="103" t="s">
        <v>156</v>
      </c>
      <c r="D349" s="83">
        <v>141686</v>
      </c>
      <c r="E349" s="103" t="s">
        <v>157</v>
      </c>
      <c r="F349" s="103" t="s">
        <v>40</v>
      </c>
      <c r="G349" s="121">
        <v>212</v>
      </c>
      <c r="H349" s="122">
        <v>21168</v>
      </c>
    </row>
    <row r="350" spans="1:8" ht="15.75" customHeight="1" x14ac:dyDescent="0.25">
      <c r="A350" s="103" t="s">
        <v>12</v>
      </c>
      <c r="B350" s="120">
        <v>24970</v>
      </c>
      <c r="C350" s="103" t="s">
        <v>118</v>
      </c>
      <c r="D350" s="83">
        <v>128829</v>
      </c>
      <c r="E350" s="103" t="s">
        <v>20</v>
      </c>
      <c r="F350" s="103" t="s">
        <v>15</v>
      </c>
      <c r="G350" s="121">
        <v>210</v>
      </c>
      <c r="H350" s="122">
        <v>21000</v>
      </c>
    </row>
    <row r="351" spans="1:8" ht="15.75" customHeight="1" x14ac:dyDescent="0.25">
      <c r="A351" s="103" t="s">
        <v>12</v>
      </c>
      <c r="B351" s="120">
        <v>27278</v>
      </c>
      <c r="C351" s="103" t="s">
        <v>165</v>
      </c>
      <c r="D351" s="83">
        <v>20479</v>
      </c>
      <c r="E351" s="103" t="s">
        <v>26</v>
      </c>
      <c r="F351" s="103" t="s">
        <v>23</v>
      </c>
      <c r="G351" s="121">
        <v>209</v>
      </c>
      <c r="H351" s="122">
        <v>20880</v>
      </c>
    </row>
    <row r="352" spans="1:8" ht="15.75" customHeight="1" x14ac:dyDescent="0.25">
      <c r="A352" s="103" t="s">
        <v>12</v>
      </c>
      <c r="B352" s="120">
        <v>31147</v>
      </c>
      <c r="C352" s="103" t="s">
        <v>57</v>
      </c>
      <c r="D352" s="83">
        <v>20952</v>
      </c>
      <c r="E352" s="103" t="s">
        <v>35</v>
      </c>
      <c r="F352" s="103" t="s">
        <v>15</v>
      </c>
      <c r="G352" s="121">
        <v>208</v>
      </c>
      <c r="H352" s="122">
        <v>20800</v>
      </c>
    </row>
    <row r="353" spans="1:8" ht="15.75" customHeight="1" x14ac:dyDescent="0.25">
      <c r="A353" s="103" t="s">
        <v>12</v>
      </c>
      <c r="B353" s="120">
        <v>32089</v>
      </c>
      <c r="C353" s="103" t="s">
        <v>48</v>
      </c>
      <c r="D353" s="83">
        <v>129568</v>
      </c>
      <c r="E353" s="103" t="s">
        <v>20</v>
      </c>
      <c r="F353" s="103" t="s">
        <v>15</v>
      </c>
      <c r="G353" s="121">
        <v>208</v>
      </c>
      <c r="H353" s="122">
        <v>20770</v>
      </c>
    </row>
    <row r="354" spans="1:8" ht="15.75" customHeight="1" x14ac:dyDescent="0.25">
      <c r="A354" s="103" t="s">
        <v>24</v>
      </c>
      <c r="B354" s="120">
        <v>16670</v>
      </c>
      <c r="C354" s="103" t="s">
        <v>43</v>
      </c>
      <c r="D354" s="83">
        <v>26086</v>
      </c>
      <c r="E354" s="103" t="s">
        <v>35</v>
      </c>
      <c r="F354" s="103" t="s">
        <v>15</v>
      </c>
      <c r="G354" s="121">
        <v>206</v>
      </c>
      <c r="H354" s="122">
        <v>20625</v>
      </c>
    </row>
    <row r="355" spans="1:8" ht="15.75" customHeight="1" x14ac:dyDescent="0.25">
      <c r="A355" s="103" t="s">
        <v>24</v>
      </c>
      <c r="B355" s="120">
        <v>31284</v>
      </c>
      <c r="C355" s="103" t="s">
        <v>48</v>
      </c>
      <c r="D355" s="83">
        <v>21063</v>
      </c>
      <c r="E355" s="103" t="s">
        <v>20</v>
      </c>
      <c r="F355" s="103" t="s">
        <v>15</v>
      </c>
      <c r="G355" s="121">
        <v>206</v>
      </c>
      <c r="H355" s="122">
        <v>20625</v>
      </c>
    </row>
    <row r="356" spans="1:8" ht="15.75" customHeight="1" x14ac:dyDescent="0.25">
      <c r="A356" s="103" t="s">
        <v>12</v>
      </c>
      <c r="B356" s="120">
        <v>29058</v>
      </c>
      <c r="C356" s="103" t="s">
        <v>166</v>
      </c>
      <c r="D356" s="83">
        <v>22217</v>
      </c>
      <c r="E356" s="103" t="s">
        <v>84</v>
      </c>
      <c r="F356" s="103" t="s">
        <v>40</v>
      </c>
      <c r="G356" s="121">
        <v>205</v>
      </c>
      <c r="H356" s="122">
        <v>20475</v>
      </c>
    </row>
    <row r="357" spans="1:8" ht="15.75" customHeight="1" x14ac:dyDescent="0.25">
      <c r="A357" s="103" t="s">
        <v>12</v>
      </c>
      <c r="B357" s="120">
        <v>25034</v>
      </c>
      <c r="C357" s="103" t="s">
        <v>60</v>
      </c>
      <c r="D357" s="83">
        <v>132186</v>
      </c>
      <c r="E357" s="103" t="s">
        <v>20</v>
      </c>
      <c r="F357" s="103" t="s">
        <v>15</v>
      </c>
      <c r="G357" s="121">
        <v>202</v>
      </c>
      <c r="H357" s="122">
        <v>20150</v>
      </c>
    </row>
    <row r="358" spans="1:8" ht="15.75" customHeight="1" x14ac:dyDescent="0.25">
      <c r="A358" s="103" t="s">
        <v>24</v>
      </c>
      <c r="B358" s="120">
        <v>21068</v>
      </c>
      <c r="C358" s="103" t="s">
        <v>13</v>
      </c>
      <c r="D358" s="83">
        <v>21615</v>
      </c>
      <c r="E358" s="103" t="s">
        <v>14</v>
      </c>
      <c r="F358" s="103" t="s">
        <v>15</v>
      </c>
      <c r="G358" s="121">
        <v>201</v>
      </c>
      <c r="H358" s="122">
        <v>20130</v>
      </c>
    </row>
    <row r="359" spans="1:8" ht="15.75" customHeight="1" x14ac:dyDescent="0.25">
      <c r="A359" s="103" t="s">
        <v>12</v>
      </c>
      <c r="B359" s="120">
        <v>22847</v>
      </c>
      <c r="C359" s="103" t="s">
        <v>57</v>
      </c>
      <c r="D359" s="83">
        <v>20546</v>
      </c>
      <c r="E359" s="103" t="s">
        <v>35</v>
      </c>
      <c r="F359" s="103" t="s">
        <v>15</v>
      </c>
      <c r="G359" s="121">
        <v>200</v>
      </c>
      <c r="H359" s="122">
        <v>19955</v>
      </c>
    </row>
    <row r="360" spans="1:8" ht="15.75" customHeight="1" x14ac:dyDescent="0.25">
      <c r="A360" s="103" t="s">
        <v>12</v>
      </c>
      <c r="B360" s="120">
        <v>32314</v>
      </c>
      <c r="C360" s="103" t="s">
        <v>27</v>
      </c>
      <c r="D360" s="83">
        <v>31092</v>
      </c>
      <c r="E360" s="103" t="s">
        <v>28</v>
      </c>
      <c r="F360" s="103" t="s">
        <v>23</v>
      </c>
      <c r="G360" s="121">
        <v>200</v>
      </c>
      <c r="H360" s="122">
        <v>19950</v>
      </c>
    </row>
    <row r="361" spans="1:8" ht="15.75" customHeight="1" x14ac:dyDescent="0.25">
      <c r="A361" s="103" t="s">
        <v>12</v>
      </c>
      <c r="B361" s="120">
        <v>30022</v>
      </c>
      <c r="C361" s="103" t="s">
        <v>128</v>
      </c>
      <c r="D361" s="83">
        <v>126215</v>
      </c>
      <c r="E361" s="103" t="s">
        <v>129</v>
      </c>
      <c r="F361" s="103" t="s">
        <v>18</v>
      </c>
      <c r="G361" s="121">
        <v>200</v>
      </c>
      <c r="H361" s="122">
        <v>19950</v>
      </c>
    </row>
    <row r="362" spans="1:8" ht="15.75" customHeight="1" x14ac:dyDescent="0.25">
      <c r="A362" s="103" t="s">
        <v>12</v>
      </c>
      <c r="B362" s="120">
        <v>28678</v>
      </c>
      <c r="C362" s="103" t="s">
        <v>81</v>
      </c>
      <c r="D362" s="83">
        <v>124244</v>
      </c>
      <c r="E362" s="103" t="s">
        <v>39</v>
      </c>
      <c r="F362" s="103" t="s">
        <v>40</v>
      </c>
      <c r="G362" s="121">
        <v>198</v>
      </c>
      <c r="H362" s="122">
        <v>19839</v>
      </c>
    </row>
    <row r="363" spans="1:8" ht="15.75" customHeight="1" x14ac:dyDescent="0.25">
      <c r="A363" s="103" t="s">
        <v>12</v>
      </c>
      <c r="B363" s="120">
        <v>28699</v>
      </c>
      <c r="C363" s="103" t="s">
        <v>98</v>
      </c>
      <c r="D363" s="83">
        <v>124780</v>
      </c>
      <c r="E363" s="103" t="s">
        <v>28</v>
      </c>
      <c r="F363" s="103" t="s">
        <v>23</v>
      </c>
      <c r="G363" s="121">
        <v>198</v>
      </c>
      <c r="H363" s="122">
        <v>19800</v>
      </c>
    </row>
    <row r="364" spans="1:8" ht="15.75" customHeight="1" x14ac:dyDescent="0.25">
      <c r="A364" s="103" t="s">
        <v>12</v>
      </c>
      <c r="B364" s="120">
        <v>21739</v>
      </c>
      <c r="C364" s="103" t="s">
        <v>167</v>
      </c>
      <c r="D364" s="83">
        <v>21756</v>
      </c>
      <c r="E364" s="103" t="s">
        <v>74</v>
      </c>
      <c r="F364" s="103" t="s">
        <v>79</v>
      </c>
      <c r="G364" s="121">
        <v>198</v>
      </c>
      <c r="H364" s="122">
        <v>19800</v>
      </c>
    </row>
    <row r="365" spans="1:8" ht="15.75" customHeight="1" x14ac:dyDescent="0.25">
      <c r="A365" s="103" t="s">
        <v>24</v>
      </c>
      <c r="B365" s="120">
        <v>28428</v>
      </c>
      <c r="C365" s="103" t="s">
        <v>13</v>
      </c>
      <c r="D365" s="83">
        <v>121041</v>
      </c>
      <c r="E365" s="103" t="s">
        <v>14</v>
      </c>
      <c r="F365" s="103" t="s">
        <v>15</v>
      </c>
      <c r="G365" s="121">
        <v>198</v>
      </c>
      <c r="H365" s="122">
        <v>19760</v>
      </c>
    </row>
    <row r="366" spans="1:8" ht="15.75" customHeight="1" x14ac:dyDescent="0.25">
      <c r="A366" s="103" t="s">
        <v>12</v>
      </c>
      <c r="B366" s="120">
        <v>31022</v>
      </c>
      <c r="C366" s="103" t="s">
        <v>155</v>
      </c>
      <c r="D366" s="83">
        <v>25921</v>
      </c>
      <c r="E366" s="103" t="s">
        <v>84</v>
      </c>
      <c r="F366" s="103" t="s">
        <v>40</v>
      </c>
      <c r="G366" s="121">
        <v>198</v>
      </c>
      <c r="H366" s="122">
        <v>19760</v>
      </c>
    </row>
    <row r="367" spans="1:8" ht="15.75" customHeight="1" x14ac:dyDescent="0.25">
      <c r="A367" s="103" t="s">
        <v>12</v>
      </c>
      <c r="B367" s="120">
        <v>25144</v>
      </c>
      <c r="C367" s="103" t="s">
        <v>80</v>
      </c>
      <c r="D367" s="83">
        <v>128402</v>
      </c>
      <c r="E367" s="103" t="s">
        <v>26</v>
      </c>
      <c r="F367" s="103" t="s">
        <v>23</v>
      </c>
      <c r="G367" s="121">
        <v>197</v>
      </c>
      <c r="H367" s="122">
        <v>19720</v>
      </c>
    </row>
    <row r="368" spans="1:8" ht="15.75" customHeight="1" x14ac:dyDescent="0.25">
      <c r="A368" s="103" t="s">
        <v>12</v>
      </c>
      <c r="B368" s="120">
        <v>35608</v>
      </c>
      <c r="C368" s="103" t="s">
        <v>109</v>
      </c>
      <c r="D368" s="83">
        <v>94307</v>
      </c>
      <c r="E368" s="103" t="s">
        <v>26</v>
      </c>
      <c r="F368" s="103" t="s">
        <v>23</v>
      </c>
      <c r="G368" s="121">
        <v>196</v>
      </c>
      <c r="H368" s="122">
        <v>19600</v>
      </c>
    </row>
    <row r="369" spans="1:8" ht="15.75" customHeight="1" x14ac:dyDescent="0.25">
      <c r="A369" s="103" t="s">
        <v>12</v>
      </c>
      <c r="B369" s="120">
        <v>26480</v>
      </c>
      <c r="C369" s="103" t="s">
        <v>81</v>
      </c>
      <c r="D369" s="83">
        <v>130041</v>
      </c>
      <c r="E369" s="103" t="s">
        <v>39</v>
      </c>
      <c r="F369" s="103" t="s">
        <v>40</v>
      </c>
      <c r="G369" s="121">
        <v>195</v>
      </c>
      <c r="H369" s="122">
        <v>19500</v>
      </c>
    </row>
    <row r="370" spans="1:8" ht="15.75" customHeight="1" x14ac:dyDescent="0.25">
      <c r="A370" s="103" t="s">
        <v>12</v>
      </c>
      <c r="B370" s="120">
        <v>27211</v>
      </c>
      <c r="C370" s="103" t="s">
        <v>32</v>
      </c>
      <c r="D370" s="83">
        <v>121810</v>
      </c>
      <c r="E370" s="103" t="s">
        <v>20</v>
      </c>
      <c r="F370" s="103" t="s">
        <v>15</v>
      </c>
      <c r="G370" s="121">
        <v>192</v>
      </c>
      <c r="H370" s="122">
        <v>19200</v>
      </c>
    </row>
    <row r="371" spans="1:8" ht="15.75" customHeight="1" x14ac:dyDescent="0.25">
      <c r="A371" s="103" t="s">
        <v>24</v>
      </c>
      <c r="B371" s="120">
        <v>30749</v>
      </c>
      <c r="C371" s="103" t="s">
        <v>80</v>
      </c>
      <c r="D371" s="83">
        <v>21727</v>
      </c>
      <c r="E371" s="103" t="s">
        <v>26</v>
      </c>
      <c r="F371" s="103" t="s">
        <v>23</v>
      </c>
      <c r="G371" s="121">
        <v>187</v>
      </c>
      <c r="H371" s="122">
        <v>18720</v>
      </c>
    </row>
    <row r="372" spans="1:8" ht="15.75" customHeight="1" x14ac:dyDescent="0.25">
      <c r="A372" s="103" t="s">
        <v>24</v>
      </c>
      <c r="B372" s="120">
        <v>31857</v>
      </c>
      <c r="C372" s="103" t="s">
        <v>98</v>
      </c>
      <c r="D372" s="83">
        <v>26259</v>
      </c>
      <c r="E372" s="103" t="s">
        <v>28</v>
      </c>
      <c r="F372" s="103" t="s">
        <v>23</v>
      </c>
      <c r="G372" s="121">
        <v>186</v>
      </c>
      <c r="H372" s="122">
        <v>18630</v>
      </c>
    </row>
    <row r="373" spans="1:8" ht="15.75" customHeight="1" x14ac:dyDescent="0.25">
      <c r="A373" s="103" t="s">
        <v>24</v>
      </c>
      <c r="B373" s="120">
        <v>21024</v>
      </c>
      <c r="C373" s="103" t="s">
        <v>168</v>
      </c>
      <c r="D373" s="83">
        <v>26548</v>
      </c>
      <c r="E373" s="103" t="s">
        <v>35</v>
      </c>
      <c r="F373" s="103" t="s">
        <v>15</v>
      </c>
      <c r="G373" s="121">
        <v>185</v>
      </c>
      <c r="H373" s="122">
        <v>18512</v>
      </c>
    </row>
    <row r="374" spans="1:8" ht="15.75" customHeight="1" x14ac:dyDescent="0.25">
      <c r="A374" s="103" t="s">
        <v>12</v>
      </c>
      <c r="B374" s="120">
        <v>32887</v>
      </c>
      <c r="C374" s="103" t="s">
        <v>105</v>
      </c>
      <c r="D374" s="83">
        <v>123547</v>
      </c>
      <c r="E374" s="103" t="s">
        <v>26</v>
      </c>
      <c r="F374" s="103" t="s">
        <v>23</v>
      </c>
      <c r="G374" s="121">
        <v>185</v>
      </c>
      <c r="H374" s="122">
        <v>18480</v>
      </c>
    </row>
    <row r="375" spans="1:8" ht="15.75" customHeight="1" x14ac:dyDescent="0.25">
      <c r="A375" s="103" t="s">
        <v>12</v>
      </c>
      <c r="B375" s="120">
        <v>31016</v>
      </c>
      <c r="C375" s="103" t="s">
        <v>87</v>
      </c>
      <c r="D375" s="83">
        <v>128519</v>
      </c>
      <c r="E375" s="103" t="s">
        <v>28</v>
      </c>
      <c r="F375" s="103" t="s">
        <v>23</v>
      </c>
      <c r="G375" s="121">
        <v>182</v>
      </c>
      <c r="H375" s="122">
        <v>18178</v>
      </c>
    </row>
    <row r="376" spans="1:8" ht="15.75" customHeight="1" x14ac:dyDescent="0.25">
      <c r="A376" s="103" t="s">
        <v>24</v>
      </c>
      <c r="B376" s="120">
        <v>26639</v>
      </c>
      <c r="C376" s="103" t="s">
        <v>50</v>
      </c>
      <c r="D376" s="83">
        <v>121892</v>
      </c>
      <c r="E376" s="103" t="s">
        <v>20</v>
      </c>
      <c r="F376" s="103" t="s">
        <v>15</v>
      </c>
      <c r="G376" s="121">
        <v>180</v>
      </c>
      <c r="H376" s="122">
        <v>18000</v>
      </c>
    </row>
    <row r="377" spans="1:8" ht="15.75" customHeight="1" x14ac:dyDescent="0.25">
      <c r="A377" s="103" t="s">
        <v>12</v>
      </c>
      <c r="B377" s="120">
        <v>31292</v>
      </c>
      <c r="C377" s="103" t="s">
        <v>81</v>
      </c>
      <c r="D377" s="83">
        <v>20427</v>
      </c>
      <c r="E377" s="103" t="s">
        <v>39</v>
      </c>
      <c r="F377" s="103" t="s">
        <v>40</v>
      </c>
      <c r="G377" s="121">
        <v>177</v>
      </c>
      <c r="H377" s="122">
        <v>17700</v>
      </c>
    </row>
    <row r="378" spans="1:8" ht="15.75" customHeight="1" x14ac:dyDescent="0.25">
      <c r="A378" s="103" t="s">
        <v>12</v>
      </c>
      <c r="B378" s="120">
        <v>30882</v>
      </c>
      <c r="C378" s="103" t="s">
        <v>169</v>
      </c>
      <c r="D378" s="83">
        <v>22515</v>
      </c>
      <c r="E378" s="103" t="s">
        <v>74</v>
      </c>
      <c r="F378" s="103" t="s">
        <v>79</v>
      </c>
      <c r="G378" s="121">
        <v>174</v>
      </c>
      <c r="H378" s="122">
        <v>17437</v>
      </c>
    </row>
    <row r="379" spans="1:8" ht="15.75" customHeight="1" x14ac:dyDescent="0.25">
      <c r="A379" s="103" t="s">
        <v>12</v>
      </c>
      <c r="B379" s="120">
        <v>27200</v>
      </c>
      <c r="C379" s="103" t="s">
        <v>48</v>
      </c>
      <c r="D379" s="83">
        <v>21021</v>
      </c>
      <c r="E379" s="103" t="s">
        <v>20</v>
      </c>
      <c r="F379" s="103" t="s">
        <v>15</v>
      </c>
      <c r="G379" s="121">
        <v>174</v>
      </c>
      <c r="H379" s="122">
        <v>17420</v>
      </c>
    </row>
    <row r="380" spans="1:8" ht="15.75" customHeight="1" x14ac:dyDescent="0.25">
      <c r="A380" s="103" t="s">
        <v>12</v>
      </c>
      <c r="B380" s="120">
        <v>26025</v>
      </c>
      <c r="C380" s="103" t="s">
        <v>43</v>
      </c>
      <c r="D380" s="83">
        <v>24659</v>
      </c>
      <c r="E380" s="103" t="s">
        <v>35</v>
      </c>
      <c r="F380" s="103" t="s">
        <v>15</v>
      </c>
      <c r="G380" s="121">
        <v>174</v>
      </c>
      <c r="H380" s="122">
        <v>17385</v>
      </c>
    </row>
    <row r="381" spans="1:8" ht="15.75" customHeight="1" x14ac:dyDescent="0.25">
      <c r="A381" s="103" t="s">
        <v>12</v>
      </c>
      <c r="B381" s="120">
        <v>19542</v>
      </c>
      <c r="C381" s="103" t="s">
        <v>60</v>
      </c>
      <c r="D381" s="83">
        <v>20745</v>
      </c>
      <c r="E381" s="103" t="s">
        <v>20</v>
      </c>
      <c r="F381" s="103" t="s">
        <v>15</v>
      </c>
      <c r="G381" s="121">
        <v>173</v>
      </c>
      <c r="H381" s="122">
        <v>17298</v>
      </c>
    </row>
    <row r="382" spans="1:8" ht="15.75" customHeight="1" x14ac:dyDescent="0.25">
      <c r="A382" s="103" t="s">
        <v>12</v>
      </c>
      <c r="B382" s="120">
        <v>26068</v>
      </c>
      <c r="C382" s="103" t="s">
        <v>48</v>
      </c>
      <c r="D382" s="83">
        <v>131022</v>
      </c>
      <c r="E382" s="103" t="s">
        <v>20</v>
      </c>
      <c r="F382" s="103" t="s">
        <v>15</v>
      </c>
      <c r="G382" s="121">
        <v>173</v>
      </c>
      <c r="H382" s="122">
        <v>17284</v>
      </c>
    </row>
    <row r="383" spans="1:8" ht="15.75" customHeight="1" x14ac:dyDescent="0.25">
      <c r="A383" s="103" t="s">
        <v>12</v>
      </c>
      <c r="B383" s="120">
        <v>28133</v>
      </c>
      <c r="C383" s="103" t="s">
        <v>48</v>
      </c>
      <c r="D383" s="83">
        <v>20766</v>
      </c>
      <c r="E383" s="103" t="s">
        <v>20</v>
      </c>
      <c r="F383" s="103" t="s">
        <v>15</v>
      </c>
      <c r="G383" s="121">
        <v>173</v>
      </c>
      <c r="H383" s="122">
        <v>17262</v>
      </c>
    </row>
    <row r="384" spans="1:8" ht="15.75" customHeight="1" x14ac:dyDescent="0.25">
      <c r="A384" s="103" t="s">
        <v>24</v>
      </c>
      <c r="B384" s="120">
        <v>28562</v>
      </c>
      <c r="C384" s="103" t="s">
        <v>81</v>
      </c>
      <c r="D384" s="83">
        <v>20477</v>
      </c>
      <c r="E384" s="103" t="s">
        <v>39</v>
      </c>
      <c r="F384" s="103" t="s">
        <v>40</v>
      </c>
      <c r="G384" s="121">
        <v>171</v>
      </c>
      <c r="H384" s="122">
        <v>17110</v>
      </c>
    </row>
    <row r="385" spans="1:8" ht="15.75" customHeight="1" x14ac:dyDescent="0.25">
      <c r="A385" s="103" t="s">
        <v>24</v>
      </c>
      <c r="B385" s="120">
        <v>22785</v>
      </c>
      <c r="C385" s="103" t="s">
        <v>60</v>
      </c>
      <c r="D385" s="83">
        <v>24859</v>
      </c>
      <c r="E385" s="103" t="s">
        <v>20</v>
      </c>
      <c r="F385" s="103" t="s">
        <v>15</v>
      </c>
      <c r="G385" s="121">
        <v>171</v>
      </c>
      <c r="H385" s="122">
        <v>17051</v>
      </c>
    </row>
    <row r="386" spans="1:8" ht="15.75" customHeight="1" x14ac:dyDescent="0.25">
      <c r="A386" s="103" t="s">
        <v>12</v>
      </c>
      <c r="B386" s="120">
        <v>19277</v>
      </c>
      <c r="C386" s="103" t="s">
        <v>73</v>
      </c>
      <c r="D386" s="83">
        <v>127508</v>
      </c>
      <c r="E386" s="103" t="s">
        <v>74</v>
      </c>
      <c r="F386" s="103" t="s">
        <v>23</v>
      </c>
      <c r="G386" s="121">
        <v>168</v>
      </c>
      <c r="H386" s="122">
        <v>16800</v>
      </c>
    </row>
    <row r="387" spans="1:8" ht="15.75" customHeight="1" x14ac:dyDescent="0.25">
      <c r="A387" s="103" t="s">
        <v>24</v>
      </c>
      <c r="B387" s="120">
        <v>32457</v>
      </c>
      <c r="C387" s="103" t="s">
        <v>34</v>
      </c>
      <c r="D387" s="83">
        <v>21878</v>
      </c>
      <c r="E387" s="103" t="s">
        <v>35</v>
      </c>
      <c r="F387" s="103" t="s">
        <v>15</v>
      </c>
      <c r="G387" s="121">
        <v>168</v>
      </c>
      <c r="H387" s="122">
        <v>16800</v>
      </c>
    </row>
    <row r="388" spans="1:8" ht="15.75" customHeight="1" x14ac:dyDescent="0.25">
      <c r="A388" s="103" t="s">
        <v>12</v>
      </c>
      <c r="B388" s="120">
        <v>32092</v>
      </c>
      <c r="C388" s="103" t="s">
        <v>126</v>
      </c>
      <c r="D388" s="83">
        <v>125093</v>
      </c>
      <c r="E388" s="103" t="s">
        <v>22</v>
      </c>
      <c r="F388" s="103" t="s">
        <v>23</v>
      </c>
      <c r="G388" s="121">
        <v>165</v>
      </c>
      <c r="H388" s="122">
        <v>16461</v>
      </c>
    </row>
    <row r="389" spans="1:8" ht="15.75" customHeight="1" x14ac:dyDescent="0.25">
      <c r="A389" s="103" t="s">
        <v>12</v>
      </c>
      <c r="B389" s="120">
        <v>31464</v>
      </c>
      <c r="C389" s="103" t="s">
        <v>48</v>
      </c>
      <c r="D389" s="83">
        <v>21145</v>
      </c>
      <c r="E389" s="103" t="s">
        <v>20</v>
      </c>
      <c r="F389" s="103" t="s">
        <v>15</v>
      </c>
      <c r="G389" s="121">
        <v>163</v>
      </c>
      <c r="H389" s="122">
        <v>16320</v>
      </c>
    </row>
    <row r="390" spans="1:8" ht="15.75" customHeight="1" x14ac:dyDescent="0.25">
      <c r="A390" s="103" t="s">
        <v>24</v>
      </c>
      <c r="B390" s="120">
        <v>27764</v>
      </c>
      <c r="C390" s="103" t="s">
        <v>13</v>
      </c>
      <c r="D390" s="83">
        <v>20942</v>
      </c>
      <c r="E390" s="103" t="s">
        <v>14</v>
      </c>
      <c r="F390" s="103" t="s">
        <v>15</v>
      </c>
      <c r="G390" s="121">
        <v>163</v>
      </c>
      <c r="H390" s="122">
        <v>16306</v>
      </c>
    </row>
    <row r="391" spans="1:8" ht="15.75" customHeight="1" x14ac:dyDescent="0.25">
      <c r="A391" s="103" t="s">
        <v>12</v>
      </c>
      <c r="B391" s="120">
        <v>19000</v>
      </c>
      <c r="C391" s="103" t="s">
        <v>130</v>
      </c>
      <c r="D391" s="83">
        <v>20763</v>
      </c>
      <c r="E391" s="103" t="s">
        <v>20</v>
      </c>
      <c r="F391" s="103" t="s">
        <v>15</v>
      </c>
      <c r="G391" s="121">
        <v>163</v>
      </c>
      <c r="H391" s="122">
        <v>16250</v>
      </c>
    </row>
    <row r="392" spans="1:8" ht="15.75" customHeight="1" x14ac:dyDescent="0.25">
      <c r="A392" s="103" t="s">
        <v>12</v>
      </c>
      <c r="B392" s="120">
        <v>29952</v>
      </c>
      <c r="C392" s="103" t="s">
        <v>57</v>
      </c>
      <c r="D392" s="83">
        <v>20433</v>
      </c>
      <c r="E392" s="103" t="s">
        <v>35</v>
      </c>
      <c r="F392" s="103" t="s">
        <v>15</v>
      </c>
      <c r="G392" s="121">
        <v>162</v>
      </c>
      <c r="H392" s="122">
        <v>16165</v>
      </c>
    </row>
    <row r="393" spans="1:8" ht="15.75" customHeight="1" x14ac:dyDescent="0.25">
      <c r="A393" s="103" t="s">
        <v>12</v>
      </c>
      <c r="B393" s="120">
        <v>26064</v>
      </c>
      <c r="C393" s="103" t="s">
        <v>48</v>
      </c>
      <c r="D393" s="83">
        <v>26565</v>
      </c>
      <c r="E393" s="103" t="s">
        <v>20</v>
      </c>
      <c r="F393" s="103" t="s">
        <v>15</v>
      </c>
      <c r="G393" s="121">
        <v>160</v>
      </c>
      <c r="H393" s="122">
        <v>15982</v>
      </c>
    </row>
    <row r="394" spans="1:8" ht="15.75" customHeight="1" x14ac:dyDescent="0.25">
      <c r="A394" s="103" t="s">
        <v>12</v>
      </c>
      <c r="B394" s="120">
        <v>28278</v>
      </c>
      <c r="C394" s="103" t="s">
        <v>41</v>
      </c>
      <c r="D394" s="83">
        <v>22357</v>
      </c>
      <c r="E394" s="103" t="s">
        <v>20</v>
      </c>
      <c r="F394" s="103" t="s">
        <v>15</v>
      </c>
      <c r="G394" s="121">
        <v>159</v>
      </c>
      <c r="H394" s="122">
        <v>15900</v>
      </c>
    </row>
    <row r="395" spans="1:8" ht="15.75" customHeight="1" x14ac:dyDescent="0.25">
      <c r="A395" s="103" t="s">
        <v>12</v>
      </c>
      <c r="B395" s="120">
        <v>28110</v>
      </c>
      <c r="C395" s="103" t="s">
        <v>19</v>
      </c>
      <c r="D395" s="83">
        <v>22047</v>
      </c>
      <c r="E395" s="103" t="s">
        <v>20</v>
      </c>
      <c r="F395" s="103" t="s">
        <v>15</v>
      </c>
      <c r="G395" s="121">
        <v>154</v>
      </c>
      <c r="H395" s="122">
        <v>15400</v>
      </c>
    </row>
    <row r="396" spans="1:8" ht="15.75" customHeight="1" x14ac:dyDescent="0.25">
      <c r="A396" s="103" t="s">
        <v>12</v>
      </c>
      <c r="B396" s="120">
        <v>29926</v>
      </c>
      <c r="C396" s="103" t="s">
        <v>57</v>
      </c>
      <c r="D396" s="83">
        <v>39151</v>
      </c>
      <c r="E396" s="103" t="s">
        <v>35</v>
      </c>
      <c r="F396" s="103" t="s">
        <v>15</v>
      </c>
      <c r="G396" s="121">
        <v>153</v>
      </c>
      <c r="H396" s="122">
        <v>15336</v>
      </c>
    </row>
    <row r="397" spans="1:8" ht="15.75" customHeight="1" x14ac:dyDescent="0.25">
      <c r="A397" s="103" t="s">
        <v>12</v>
      </c>
      <c r="B397" s="120">
        <v>27452</v>
      </c>
      <c r="C397" s="103" t="s">
        <v>154</v>
      </c>
      <c r="D397" s="83">
        <v>21080</v>
      </c>
      <c r="E397" s="103" t="s">
        <v>37</v>
      </c>
      <c r="F397" s="103" t="s">
        <v>18</v>
      </c>
      <c r="G397" s="121">
        <v>153</v>
      </c>
      <c r="H397" s="122">
        <v>15300</v>
      </c>
    </row>
    <row r="398" spans="1:8" ht="15.75" customHeight="1" x14ac:dyDescent="0.25">
      <c r="A398" s="103" t="s">
        <v>12</v>
      </c>
      <c r="B398" s="120">
        <v>23488</v>
      </c>
      <c r="C398" s="103" t="s">
        <v>50</v>
      </c>
      <c r="D398" s="83">
        <v>21251</v>
      </c>
      <c r="E398" s="103" t="s">
        <v>20</v>
      </c>
      <c r="F398" s="103" t="s">
        <v>15</v>
      </c>
      <c r="G398" s="121">
        <v>150</v>
      </c>
      <c r="H398" s="122">
        <v>15000</v>
      </c>
    </row>
    <row r="399" spans="1:8" ht="15.75" customHeight="1" x14ac:dyDescent="0.25">
      <c r="A399" s="103" t="s">
        <v>12</v>
      </c>
      <c r="B399" s="120">
        <v>32695</v>
      </c>
      <c r="C399" s="103" t="s">
        <v>70</v>
      </c>
      <c r="D399" s="83">
        <v>22905</v>
      </c>
      <c r="E399" s="103" t="s">
        <v>55</v>
      </c>
      <c r="F399" s="103" t="s">
        <v>18</v>
      </c>
      <c r="G399" s="121">
        <v>147</v>
      </c>
      <c r="H399" s="122">
        <v>14742</v>
      </c>
    </row>
    <row r="400" spans="1:8" ht="15.75" customHeight="1" x14ac:dyDescent="0.25">
      <c r="A400" s="103" t="s">
        <v>24</v>
      </c>
      <c r="B400" s="120">
        <v>30032</v>
      </c>
      <c r="C400" s="103" t="s">
        <v>105</v>
      </c>
      <c r="D400" s="83">
        <v>25711</v>
      </c>
      <c r="E400" s="103" t="s">
        <v>26</v>
      </c>
      <c r="F400" s="103" t="s">
        <v>23</v>
      </c>
      <c r="G400" s="121">
        <v>147</v>
      </c>
      <c r="H400" s="122">
        <v>14690</v>
      </c>
    </row>
    <row r="401" spans="1:8" ht="15.75" customHeight="1" x14ac:dyDescent="0.25">
      <c r="A401" s="103" t="s">
        <v>12</v>
      </c>
      <c r="B401" s="120">
        <v>22098</v>
      </c>
      <c r="C401" s="103" t="s">
        <v>60</v>
      </c>
      <c r="D401" s="83">
        <v>129528</v>
      </c>
      <c r="E401" s="103" t="s">
        <v>20</v>
      </c>
      <c r="F401" s="103" t="s">
        <v>15</v>
      </c>
      <c r="G401" s="121">
        <v>145</v>
      </c>
      <c r="H401" s="122">
        <v>14535</v>
      </c>
    </row>
    <row r="402" spans="1:8" ht="15.75" customHeight="1" x14ac:dyDescent="0.25">
      <c r="A402" s="103" t="s">
        <v>24</v>
      </c>
      <c r="B402" s="120">
        <v>25050</v>
      </c>
      <c r="C402" s="103" t="s">
        <v>48</v>
      </c>
      <c r="D402" s="83">
        <v>131440</v>
      </c>
      <c r="E402" s="103" t="s">
        <v>20</v>
      </c>
      <c r="F402" s="103" t="s">
        <v>15</v>
      </c>
      <c r="G402" s="121">
        <v>141</v>
      </c>
      <c r="H402" s="122">
        <v>14091</v>
      </c>
    </row>
    <row r="403" spans="1:8" ht="15.75" customHeight="1" x14ac:dyDescent="0.25">
      <c r="A403" s="103" t="s">
        <v>12</v>
      </c>
      <c r="B403" s="120">
        <v>33596</v>
      </c>
      <c r="C403" s="103" t="s">
        <v>54</v>
      </c>
      <c r="D403" s="83">
        <v>24012</v>
      </c>
      <c r="E403" s="103" t="s">
        <v>55</v>
      </c>
      <c r="F403" s="103" t="s">
        <v>18</v>
      </c>
      <c r="G403" s="121">
        <v>140</v>
      </c>
      <c r="H403" s="122">
        <v>14040</v>
      </c>
    </row>
    <row r="404" spans="1:8" ht="15.75" customHeight="1" x14ac:dyDescent="0.25">
      <c r="A404" s="103" t="s">
        <v>12</v>
      </c>
      <c r="B404" s="120">
        <v>29377</v>
      </c>
      <c r="C404" s="103" t="s">
        <v>50</v>
      </c>
      <c r="D404" s="83">
        <v>21820</v>
      </c>
      <c r="E404" s="103" t="s">
        <v>20</v>
      </c>
      <c r="F404" s="103" t="s">
        <v>15</v>
      </c>
      <c r="G404" s="121">
        <v>139</v>
      </c>
      <c r="H404" s="122">
        <v>13920</v>
      </c>
    </row>
    <row r="405" spans="1:8" ht="15.75" customHeight="1" x14ac:dyDescent="0.25">
      <c r="A405" s="103" t="s">
        <v>12</v>
      </c>
      <c r="B405" s="120">
        <v>27830</v>
      </c>
      <c r="C405" s="103" t="s">
        <v>69</v>
      </c>
      <c r="D405" s="83">
        <v>25461</v>
      </c>
      <c r="E405" s="103" t="s">
        <v>39</v>
      </c>
      <c r="F405" s="103" t="s">
        <v>40</v>
      </c>
      <c r="G405" s="121">
        <v>136</v>
      </c>
      <c r="H405" s="122">
        <v>13578</v>
      </c>
    </row>
    <row r="406" spans="1:8" ht="15.75" customHeight="1" x14ac:dyDescent="0.25">
      <c r="A406" s="103" t="s">
        <v>12</v>
      </c>
      <c r="B406" s="120">
        <v>21596</v>
      </c>
      <c r="C406" s="103" t="s">
        <v>102</v>
      </c>
      <c r="D406" s="83">
        <v>126732</v>
      </c>
      <c r="E406" s="103" t="s">
        <v>84</v>
      </c>
      <c r="F406" s="103" t="s">
        <v>40</v>
      </c>
      <c r="G406" s="121">
        <v>135</v>
      </c>
      <c r="H406" s="122">
        <v>13500</v>
      </c>
    </row>
    <row r="407" spans="1:8" ht="15.75" customHeight="1" x14ac:dyDescent="0.25">
      <c r="A407" s="103" t="s">
        <v>12</v>
      </c>
      <c r="B407" s="120">
        <v>32608</v>
      </c>
      <c r="C407" s="103" t="s">
        <v>48</v>
      </c>
      <c r="D407" s="83">
        <v>27664</v>
      </c>
      <c r="E407" s="103" t="s">
        <v>20</v>
      </c>
      <c r="F407" s="103" t="s">
        <v>15</v>
      </c>
      <c r="G407" s="121">
        <v>132</v>
      </c>
      <c r="H407" s="122">
        <v>13200</v>
      </c>
    </row>
    <row r="408" spans="1:8" ht="15.75" customHeight="1" x14ac:dyDescent="0.25">
      <c r="A408" s="103" t="s">
        <v>12</v>
      </c>
      <c r="B408" s="120">
        <v>31418</v>
      </c>
      <c r="C408" s="103" t="s">
        <v>75</v>
      </c>
      <c r="D408" s="83">
        <v>133138</v>
      </c>
      <c r="E408" s="103" t="s">
        <v>20</v>
      </c>
      <c r="F408" s="103" t="s">
        <v>15</v>
      </c>
      <c r="G408" s="121">
        <v>128</v>
      </c>
      <c r="H408" s="122">
        <v>12825</v>
      </c>
    </row>
    <row r="409" spans="1:8" ht="15.75" customHeight="1" x14ac:dyDescent="0.25">
      <c r="A409" s="103" t="s">
        <v>24</v>
      </c>
      <c r="B409" s="120">
        <v>25974</v>
      </c>
      <c r="C409" s="103" t="s">
        <v>31</v>
      </c>
      <c r="D409" s="83">
        <v>122734</v>
      </c>
      <c r="E409" s="103" t="s">
        <v>20</v>
      </c>
      <c r="F409" s="103" t="s">
        <v>15</v>
      </c>
      <c r="G409" s="121">
        <v>128</v>
      </c>
      <c r="H409" s="122">
        <v>12800</v>
      </c>
    </row>
    <row r="410" spans="1:8" ht="15.75" customHeight="1" x14ac:dyDescent="0.25">
      <c r="A410" s="103" t="s">
        <v>12</v>
      </c>
      <c r="B410" s="120">
        <v>27648</v>
      </c>
      <c r="C410" s="103" t="s">
        <v>57</v>
      </c>
      <c r="D410" s="83">
        <v>22167</v>
      </c>
      <c r="E410" s="103" t="s">
        <v>35</v>
      </c>
      <c r="F410" s="103" t="s">
        <v>15</v>
      </c>
      <c r="G410" s="121">
        <v>127</v>
      </c>
      <c r="H410" s="122">
        <v>12675</v>
      </c>
    </row>
    <row r="411" spans="1:8" ht="15.75" customHeight="1" x14ac:dyDescent="0.25">
      <c r="A411" s="103" t="s">
        <v>24</v>
      </c>
      <c r="B411" s="120">
        <v>29813</v>
      </c>
      <c r="C411" s="103" t="s">
        <v>32</v>
      </c>
      <c r="D411" s="83">
        <v>26642</v>
      </c>
      <c r="E411" s="103" t="s">
        <v>20</v>
      </c>
      <c r="F411" s="103" t="s">
        <v>15</v>
      </c>
      <c r="G411" s="121">
        <v>126</v>
      </c>
      <c r="H411" s="122">
        <v>12614</v>
      </c>
    </row>
    <row r="412" spans="1:8" ht="15.75" customHeight="1" x14ac:dyDescent="0.25">
      <c r="A412" s="103" t="s">
        <v>24</v>
      </c>
      <c r="B412" s="120">
        <v>26893</v>
      </c>
      <c r="C412" s="103" t="s">
        <v>170</v>
      </c>
      <c r="D412" s="83">
        <v>138213</v>
      </c>
      <c r="E412" s="103" t="s">
        <v>26</v>
      </c>
      <c r="F412" s="103" t="s">
        <v>23</v>
      </c>
      <c r="G412" s="121">
        <v>126</v>
      </c>
      <c r="H412" s="122">
        <v>12600</v>
      </c>
    </row>
    <row r="413" spans="1:8" ht="15.75" customHeight="1" x14ac:dyDescent="0.25">
      <c r="A413" s="103" t="s">
        <v>12</v>
      </c>
      <c r="B413" s="120">
        <v>26891</v>
      </c>
      <c r="C413" s="103" t="s">
        <v>49</v>
      </c>
      <c r="D413" s="83">
        <v>126676</v>
      </c>
      <c r="E413" s="103" t="s">
        <v>20</v>
      </c>
      <c r="F413" s="103" t="s">
        <v>15</v>
      </c>
      <c r="G413" s="121">
        <v>123</v>
      </c>
      <c r="H413" s="122">
        <v>12338</v>
      </c>
    </row>
    <row r="414" spans="1:8" ht="15.75" customHeight="1" x14ac:dyDescent="0.25">
      <c r="A414" s="103" t="s">
        <v>12</v>
      </c>
      <c r="B414" s="120">
        <v>30479</v>
      </c>
      <c r="C414" s="103" t="s">
        <v>118</v>
      </c>
      <c r="D414" s="83">
        <v>129168</v>
      </c>
      <c r="E414" s="103" t="s">
        <v>20</v>
      </c>
      <c r="F414" s="103" t="s">
        <v>15</v>
      </c>
      <c r="G414" s="121">
        <v>122</v>
      </c>
      <c r="H414" s="122">
        <v>12200</v>
      </c>
    </row>
    <row r="415" spans="1:8" ht="15.75" customHeight="1" x14ac:dyDescent="0.25">
      <c r="A415" s="103" t="s">
        <v>12</v>
      </c>
      <c r="B415" s="120">
        <v>31083</v>
      </c>
      <c r="C415" s="103" t="s">
        <v>114</v>
      </c>
      <c r="D415" s="83">
        <v>121576</v>
      </c>
      <c r="E415" s="103" t="s">
        <v>17</v>
      </c>
      <c r="F415" s="103" t="s">
        <v>18</v>
      </c>
      <c r="G415" s="121">
        <v>121</v>
      </c>
      <c r="H415" s="122">
        <v>12139</v>
      </c>
    </row>
    <row r="416" spans="1:8" ht="15.75" customHeight="1" x14ac:dyDescent="0.25">
      <c r="A416" s="103" t="s">
        <v>24</v>
      </c>
      <c r="B416" s="120">
        <v>28127</v>
      </c>
      <c r="C416" s="103" t="s">
        <v>50</v>
      </c>
      <c r="D416" s="83">
        <v>21346</v>
      </c>
      <c r="E416" s="103" t="s">
        <v>20</v>
      </c>
      <c r="F416" s="103" t="s">
        <v>15</v>
      </c>
      <c r="G416" s="121">
        <v>121</v>
      </c>
      <c r="H416" s="122">
        <v>12090</v>
      </c>
    </row>
    <row r="417" spans="1:8" ht="15.75" customHeight="1" x14ac:dyDescent="0.25">
      <c r="A417" s="103" t="s">
        <v>12</v>
      </c>
      <c r="B417" s="120">
        <v>23238</v>
      </c>
      <c r="C417" s="103" t="s">
        <v>48</v>
      </c>
      <c r="D417" s="83">
        <v>128641</v>
      </c>
      <c r="E417" s="103" t="s">
        <v>20</v>
      </c>
      <c r="F417" s="103" t="s">
        <v>15</v>
      </c>
      <c r="G417" s="121">
        <v>120</v>
      </c>
      <c r="H417" s="122">
        <v>12000</v>
      </c>
    </row>
    <row r="418" spans="1:8" ht="15.75" customHeight="1" x14ac:dyDescent="0.25">
      <c r="A418" s="103" t="s">
        <v>12</v>
      </c>
      <c r="B418" s="120">
        <v>33845</v>
      </c>
      <c r="C418" s="103" t="s">
        <v>49</v>
      </c>
      <c r="D418" s="83">
        <v>94442</v>
      </c>
      <c r="E418" s="103" t="s">
        <v>20</v>
      </c>
      <c r="F418" s="103" t="s">
        <v>15</v>
      </c>
      <c r="G418" s="121">
        <v>119</v>
      </c>
      <c r="H418" s="122">
        <v>11880</v>
      </c>
    </row>
    <row r="419" spans="1:8" ht="15.75" customHeight="1" x14ac:dyDescent="0.25">
      <c r="A419" s="103" t="s">
        <v>12</v>
      </c>
      <c r="B419" s="120">
        <v>30911</v>
      </c>
      <c r="C419" s="103" t="s">
        <v>75</v>
      </c>
      <c r="D419" s="83">
        <v>21427</v>
      </c>
      <c r="E419" s="103" t="s">
        <v>20</v>
      </c>
      <c r="F419" s="103" t="s">
        <v>15</v>
      </c>
      <c r="G419" s="121">
        <v>118</v>
      </c>
      <c r="H419" s="122">
        <v>11800</v>
      </c>
    </row>
    <row r="420" spans="1:8" ht="15.75" customHeight="1" x14ac:dyDescent="0.25">
      <c r="A420" s="103" t="s">
        <v>12</v>
      </c>
      <c r="B420" s="120">
        <v>30150</v>
      </c>
      <c r="C420" s="103" t="s">
        <v>171</v>
      </c>
      <c r="D420" s="83">
        <v>140105</v>
      </c>
      <c r="E420" s="103" t="s">
        <v>55</v>
      </c>
      <c r="F420" s="103" t="s">
        <v>18</v>
      </c>
      <c r="G420" s="121">
        <v>118</v>
      </c>
      <c r="H420" s="122">
        <v>11800</v>
      </c>
    </row>
    <row r="421" spans="1:8" ht="15.75" customHeight="1" x14ac:dyDescent="0.25">
      <c r="A421" s="103" t="s">
        <v>12</v>
      </c>
      <c r="B421" s="120">
        <v>31970</v>
      </c>
      <c r="C421" s="103" t="s">
        <v>172</v>
      </c>
      <c r="D421" s="83">
        <v>123382</v>
      </c>
      <c r="E421" s="103" t="s">
        <v>173</v>
      </c>
      <c r="F421" s="103" t="s">
        <v>40</v>
      </c>
      <c r="G421" s="121">
        <v>116</v>
      </c>
      <c r="H421" s="122">
        <v>11600</v>
      </c>
    </row>
    <row r="422" spans="1:8" ht="15.75" customHeight="1" x14ac:dyDescent="0.25">
      <c r="A422" s="103" t="s">
        <v>12</v>
      </c>
      <c r="B422" s="120">
        <v>26665</v>
      </c>
      <c r="C422" s="103" t="s">
        <v>174</v>
      </c>
      <c r="D422" s="83">
        <v>125910</v>
      </c>
      <c r="E422" s="103" t="s">
        <v>35</v>
      </c>
      <c r="F422" s="103" t="s">
        <v>15</v>
      </c>
      <c r="G422" s="121">
        <v>115</v>
      </c>
      <c r="H422" s="122">
        <v>11542</v>
      </c>
    </row>
    <row r="423" spans="1:8" ht="15.75" customHeight="1" x14ac:dyDescent="0.25">
      <c r="A423" s="103" t="s">
        <v>12</v>
      </c>
      <c r="B423" s="120">
        <v>36701</v>
      </c>
      <c r="C423" s="103" t="s">
        <v>60</v>
      </c>
      <c r="D423" s="83">
        <v>117259</v>
      </c>
      <c r="E423" s="103" t="s">
        <v>20</v>
      </c>
      <c r="F423" s="103" t="s">
        <v>15</v>
      </c>
      <c r="G423" s="121">
        <v>115</v>
      </c>
      <c r="H423" s="122">
        <v>11450</v>
      </c>
    </row>
    <row r="424" spans="1:8" ht="15.75" customHeight="1" x14ac:dyDescent="0.25">
      <c r="A424" s="103" t="s">
        <v>12</v>
      </c>
      <c r="B424" s="120">
        <v>24211</v>
      </c>
      <c r="C424" s="103" t="s">
        <v>50</v>
      </c>
      <c r="D424" s="83">
        <v>23332</v>
      </c>
      <c r="E424" s="103" t="s">
        <v>20</v>
      </c>
      <c r="F424" s="103" t="s">
        <v>15</v>
      </c>
      <c r="G424" s="121">
        <v>113</v>
      </c>
      <c r="H424" s="122">
        <v>11343</v>
      </c>
    </row>
    <row r="425" spans="1:8" ht="15.75" customHeight="1" x14ac:dyDescent="0.25">
      <c r="A425" s="103" t="s">
        <v>12</v>
      </c>
      <c r="B425" s="120">
        <v>21638</v>
      </c>
      <c r="C425" s="103" t="s">
        <v>149</v>
      </c>
      <c r="D425" s="83">
        <v>121357</v>
      </c>
      <c r="E425" s="103" t="s">
        <v>150</v>
      </c>
      <c r="F425" s="103" t="s">
        <v>40</v>
      </c>
      <c r="G425" s="121">
        <v>111</v>
      </c>
      <c r="H425" s="122">
        <v>11144</v>
      </c>
    </row>
    <row r="426" spans="1:8" ht="15.75" customHeight="1" x14ac:dyDescent="0.25">
      <c r="A426" s="103" t="s">
        <v>24</v>
      </c>
      <c r="B426" s="120">
        <v>22687</v>
      </c>
      <c r="C426" s="103" t="s">
        <v>25</v>
      </c>
      <c r="D426" s="83">
        <v>134724</v>
      </c>
      <c r="E426" s="103" t="s">
        <v>26</v>
      </c>
      <c r="F426" s="103" t="s">
        <v>23</v>
      </c>
      <c r="G426" s="121">
        <v>110</v>
      </c>
      <c r="H426" s="122">
        <v>11000</v>
      </c>
    </row>
    <row r="427" spans="1:8" ht="15.75" customHeight="1" x14ac:dyDescent="0.25">
      <c r="A427" s="103" t="s">
        <v>12</v>
      </c>
      <c r="B427" s="120">
        <v>27796</v>
      </c>
      <c r="C427" s="103" t="s">
        <v>109</v>
      </c>
      <c r="D427" s="83">
        <v>24986</v>
      </c>
      <c r="E427" s="103" t="s">
        <v>26</v>
      </c>
      <c r="F427" s="103" t="s">
        <v>23</v>
      </c>
      <c r="G427" s="121">
        <v>110</v>
      </c>
      <c r="H427" s="122">
        <v>10980</v>
      </c>
    </row>
    <row r="428" spans="1:8" ht="15.75" customHeight="1" x14ac:dyDescent="0.25">
      <c r="A428" s="103" t="s">
        <v>12</v>
      </c>
      <c r="B428" s="120">
        <v>24629</v>
      </c>
      <c r="C428" s="103" t="s">
        <v>66</v>
      </c>
      <c r="D428" s="83">
        <v>21134</v>
      </c>
      <c r="E428" s="103" t="s">
        <v>26</v>
      </c>
      <c r="F428" s="103" t="s">
        <v>23</v>
      </c>
      <c r="G428" s="121">
        <v>109</v>
      </c>
      <c r="H428" s="122">
        <v>10945</v>
      </c>
    </row>
    <row r="429" spans="1:8" ht="15.75" customHeight="1" x14ac:dyDescent="0.25">
      <c r="A429" s="103" t="s">
        <v>24</v>
      </c>
      <c r="B429" s="120">
        <v>22498</v>
      </c>
      <c r="C429" s="103" t="s">
        <v>175</v>
      </c>
      <c r="D429" s="83">
        <v>133911</v>
      </c>
      <c r="E429" s="103" t="s">
        <v>14</v>
      </c>
      <c r="F429" s="103" t="s">
        <v>15</v>
      </c>
      <c r="G429" s="121">
        <v>108</v>
      </c>
      <c r="H429" s="122">
        <v>10800</v>
      </c>
    </row>
    <row r="430" spans="1:8" ht="15.75" customHeight="1" x14ac:dyDescent="0.25">
      <c r="A430" s="103" t="s">
        <v>12</v>
      </c>
      <c r="B430" s="120">
        <v>23278</v>
      </c>
      <c r="C430" s="103" t="s">
        <v>57</v>
      </c>
      <c r="D430" s="83">
        <v>122645</v>
      </c>
      <c r="E430" s="103" t="s">
        <v>35</v>
      </c>
      <c r="F430" s="103" t="s">
        <v>15</v>
      </c>
      <c r="G430" s="121">
        <v>108</v>
      </c>
      <c r="H430" s="122">
        <v>10800</v>
      </c>
    </row>
    <row r="431" spans="1:8" ht="15.75" customHeight="1" x14ac:dyDescent="0.25">
      <c r="A431" s="103" t="s">
        <v>12</v>
      </c>
      <c r="B431" s="120">
        <v>31943</v>
      </c>
      <c r="C431" s="103" t="s">
        <v>38</v>
      </c>
      <c r="D431" s="83">
        <v>126056</v>
      </c>
      <c r="E431" s="103" t="s">
        <v>39</v>
      </c>
      <c r="F431" s="103" t="s">
        <v>40</v>
      </c>
      <c r="G431" s="121">
        <v>108</v>
      </c>
      <c r="H431" s="122">
        <v>10800</v>
      </c>
    </row>
    <row r="432" spans="1:8" ht="15.75" customHeight="1" x14ac:dyDescent="0.25">
      <c r="A432" s="103" t="s">
        <v>12</v>
      </c>
      <c r="B432" s="120">
        <v>31054</v>
      </c>
      <c r="C432" s="103" t="s">
        <v>41</v>
      </c>
      <c r="D432" s="83">
        <v>22100</v>
      </c>
      <c r="E432" s="103" t="s">
        <v>20</v>
      </c>
      <c r="F432" s="103" t="s">
        <v>15</v>
      </c>
      <c r="G432" s="121">
        <v>108</v>
      </c>
      <c r="H432" s="122">
        <v>10790</v>
      </c>
    </row>
    <row r="433" spans="1:8" ht="15.75" customHeight="1" x14ac:dyDescent="0.25">
      <c r="A433" s="103" t="s">
        <v>12</v>
      </c>
      <c r="B433" s="120">
        <v>31878</v>
      </c>
      <c r="C433" s="103" t="s">
        <v>71</v>
      </c>
      <c r="D433" s="83">
        <v>121138</v>
      </c>
      <c r="E433" s="103" t="s">
        <v>72</v>
      </c>
      <c r="F433" s="103" t="s">
        <v>18</v>
      </c>
      <c r="G433" s="121">
        <v>107</v>
      </c>
      <c r="H433" s="122">
        <v>10746</v>
      </c>
    </row>
    <row r="434" spans="1:8" ht="15.75" customHeight="1" x14ac:dyDescent="0.25">
      <c r="A434" s="103" t="s">
        <v>12</v>
      </c>
      <c r="B434" s="120">
        <v>25686</v>
      </c>
      <c r="C434" s="103" t="s">
        <v>73</v>
      </c>
      <c r="D434" s="83">
        <v>121279</v>
      </c>
      <c r="E434" s="103" t="s">
        <v>74</v>
      </c>
      <c r="F434" s="103" t="s">
        <v>23</v>
      </c>
      <c r="G434" s="121">
        <v>107</v>
      </c>
      <c r="H434" s="122">
        <v>10710</v>
      </c>
    </row>
    <row r="435" spans="1:8" ht="15.75" customHeight="1" x14ac:dyDescent="0.25">
      <c r="A435" s="103" t="s">
        <v>24</v>
      </c>
      <c r="B435" s="120">
        <v>25719</v>
      </c>
      <c r="C435" s="103" t="s">
        <v>176</v>
      </c>
      <c r="D435" s="83">
        <v>24842</v>
      </c>
      <c r="E435" s="103" t="s">
        <v>35</v>
      </c>
      <c r="F435" s="103" t="s">
        <v>15</v>
      </c>
      <c r="G435" s="121">
        <v>106</v>
      </c>
      <c r="H435" s="122">
        <v>10608</v>
      </c>
    </row>
    <row r="436" spans="1:8" ht="15.75" customHeight="1" x14ac:dyDescent="0.25">
      <c r="A436" s="103" t="s">
        <v>24</v>
      </c>
      <c r="B436" s="120">
        <v>28182</v>
      </c>
      <c r="C436" s="103" t="s">
        <v>92</v>
      </c>
      <c r="D436" s="83">
        <v>47221</v>
      </c>
      <c r="E436" s="103" t="s">
        <v>35</v>
      </c>
      <c r="F436" s="103" t="s">
        <v>15</v>
      </c>
      <c r="G436" s="121">
        <v>104</v>
      </c>
      <c r="H436" s="122">
        <v>10400</v>
      </c>
    </row>
    <row r="437" spans="1:8" ht="15.75" customHeight="1" x14ac:dyDescent="0.25">
      <c r="A437" s="103" t="s">
        <v>24</v>
      </c>
      <c r="B437" s="120">
        <v>27030</v>
      </c>
      <c r="C437" s="103" t="s">
        <v>31</v>
      </c>
      <c r="D437" s="83">
        <v>131473</v>
      </c>
      <c r="E437" s="103" t="s">
        <v>20</v>
      </c>
      <c r="F437" s="103" t="s">
        <v>15</v>
      </c>
      <c r="G437" s="121">
        <v>104</v>
      </c>
      <c r="H437" s="122">
        <v>10400</v>
      </c>
    </row>
    <row r="438" spans="1:8" ht="15.75" customHeight="1" x14ac:dyDescent="0.25">
      <c r="A438" s="103" t="s">
        <v>12</v>
      </c>
      <c r="B438" s="120">
        <v>23883</v>
      </c>
      <c r="C438" s="103" t="s">
        <v>81</v>
      </c>
      <c r="D438" s="83">
        <v>26897</v>
      </c>
      <c r="E438" s="103" t="s">
        <v>39</v>
      </c>
      <c r="F438" s="103" t="s">
        <v>40</v>
      </c>
      <c r="G438" s="121">
        <v>102</v>
      </c>
      <c r="H438" s="122">
        <v>10200</v>
      </c>
    </row>
    <row r="439" spans="1:8" ht="15.75" customHeight="1" x14ac:dyDescent="0.25">
      <c r="A439" s="103" t="s">
        <v>12</v>
      </c>
      <c r="B439" s="120">
        <v>21916</v>
      </c>
      <c r="C439" s="103" t="s">
        <v>50</v>
      </c>
      <c r="D439" s="83">
        <v>137627</v>
      </c>
      <c r="E439" s="103" t="s">
        <v>20</v>
      </c>
      <c r="F439" s="103" t="s">
        <v>15</v>
      </c>
      <c r="G439" s="121">
        <v>101</v>
      </c>
      <c r="H439" s="122">
        <v>10149</v>
      </c>
    </row>
    <row r="440" spans="1:8" ht="15.75" customHeight="1" x14ac:dyDescent="0.25">
      <c r="A440" s="103" t="s">
        <v>12</v>
      </c>
      <c r="B440" s="120">
        <v>27933</v>
      </c>
      <c r="C440" s="103" t="s">
        <v>48</v>
      </c>
      <c r="D440" s="83">
        <v>130871</v>
      </c>
      <c r="E440" s="103" t="s">
        <v>20</v>
      </c>
      <c r="F440" s="103" t="s">
        <v>15</v>
      </c>
      <c r="G440" s="121">
        <v>101</v>
      </c>
      <c r="H440" s="122">
        <v>10149</v>
      </c>
    </row>
    <row r="441" spans="1:8" ht="15.75" customHeight="1" x14ac:dyDescent="0.25">
      <c r="A441" s="103" t="s">
        <v>12</v>
      </c>
      <c r="B441" s="120">
        <v>27374</v>
      </c>
      <c r="C441" s="103" t="s">
        <v>162</v>
      </c>
      <c r="D441" s="83">
        <v>20789</v>
      </c>
      <c r="E441" s="103" t="s">
        <v>17</v>
      </c>
      <c r="F441" s="103" t="s">
        <v>18</v>
      </c>
      <c r="G441" s="121">
        <v>100</v>
      </c>
      <c r="H441" s="122">
        <v>9983</v>
      </c>
    </row>
    <row r="442" spans="1:8" ht="15.75" customHeight="1" x14ac:dyDescent="0.25">
      <c r="A442" s="103" t="s">
        <v>12</v>
      </c>
      <c r="B442" s="120">
        <v>29974</v>
      </c>
      <c r="C442" s="103" t="s">
        <v>76</v>
      </c>
      <c r="D442" s="83">
        <v>131558</v>
      </c>
      <c r="E442" s="103" t="s">
        <v>55</v>
      </c>
      <c r="F442" s="103" t="s">
        <v>18</v>
      </c>
      <c r="G442" s="121">
        <v>100</v>
      </c>
      <c r="H442" s="122">
        <v>9960</v>
      </c>
    </row>
    <row r="443" spans="1:8" ht="15.75" customHeight="1" x14ac:dyDescent="0.25">
      <c r="A443" s="103" t="s">
        <v>12</v>
      </c>
      <c r="B443" s="120">
        <v>24171</v>
      </c>
      <c r="C443" s="103" t="s">
        <v>177</v>
      </c>
      <c r="D443" s="83">
        <v>94307</v>
      </c>
      <c r="E443" s="103" t="s">
        <v>74</v>
      </c>
      <c r="F443" s="103" t="s">
        <v>79</v>
      </c>
      <c r="G443" s="121">
        <v>99</v>
      </c>
      <c r="H443" s="122">
        <v>9900</v>
      </c>
    </row>
    <row r="444" spans="1:8" ht="15.75" customHeight="1" x14ac:dyDescent="0.25">
      <c r="A444" s="103" t="s">
        <v>12</v>
      </c>
      <c r="B444" s="120">
        <v>24654</v>
      </c>
      <c r="C444" s="103" t="s">
        <v>178</v>
      </c>
      <c r="D444" s="83">
        <v>140709</v>
      </c>
      <c r="E444" s="103" t="s">
        <v>26</v>
      </c>
      <c r="F444" s="103" t="s">
        <v>23</v>
      </c>
      <c r="G444" s="121">
        <v>98</v>
      </c>
      <c r="H444" s="122">
        <v>9834</v>
      </c>
    </row>
    <row r="445" spans="1:8" ht="15.75" customHeight="1" x14ac:dyDescent="0.25">
      <c r="A445" s="103" t="s">
        <v>12</v>
      </c>
      <c r="B445" s="120">
        <v>26677</v>
      </c>
      <c r="C445" s="103" t="s">
        <v>48</v>
      </c>
      <c r="D445" s="83">
        <v>123122</v>
      </c>
      <c r="E445" s="103" t="s">
        <v>20</v>
      </c>
      <c r="F445" s="103" t="s">
        <v>15</v>
      </c>
      <c r="G445" s="121">
        <v>98</v>
      </c>
      <c r="H445" s="122">
        <v>9805</v>
      </c>
    </row>
    <row r="446" spans="1:8" ht="15.75" customHeight="1" x14ac:dyDescent="0.25">
      <c r="A446" s="103" t="s">
        <v>12</v>
      </c>
      <c r="B446" s="120">
        <v>28696</v>
      </c>
      <c r="C446" s="103" t="s">
        <v>179</v>
      </c>
      <c r="D446" s="83">
        <v>22458</v>
      </c>
      <c r="E446" s="103" t="s">
        <v>20</v>
      </c>
      <c r="F446" s="103" t="s">
        <v>15</v>
      </c>
      <c r="G446" s="121">
        <v>98</v>
      </c>
      <c r="H446" s="122">
        <v>9750</v>
      </c>
    </row>
    <row r="447" spans="1:8" ht="15.75" customHeight="1" x14ac:dyDescent="0.25">
      <c r="A447" s="103" t="s">
        <v>12</v>
      </c>
      <c r="B447" s="120">
        <v>26140</v>
      </c>
      <c r="C447" s="103" t="s">
        <v>41</v>
      </c>
      <c r="D447" s="83">
        <v>93908</v>
      </c>
      <c r="E447" s="103" t="s">
        <v>20</v>
      </c>
      <c r="F447" s="103" t="s">
        <v>15</v>
      </c>
      <c r="G447" s="121">
        <v>95</v>
      </c>
      <c r="H447" s="122">
        <v>9536</v>
      </c>
    </row>
    <row r="448" spans="1:8" ht="15.75" customHeight="1" x14ac:dyDescent="0.25">
      <c r="A448" s="103" t="s">
        <v>12</v>
      </c>
      <c r="B448" s="120">
        <v>34803</v>
      </c>
      <c r="C448" s="103" t="s">
        <v>75</v>
      </c>
      <c r="D448" s="83">
        <v>125323</v>
      </c>
      <c r="E448" s="103" t="s">
        <v>20</v>
      </c>
      <c r="F448" s="103" t="s">
        <v>15</v>
      </c>
      <c r="G448" s="121">
        <v>93</v>
      </c>
      <c r="H448" s="122">
        <v>9300</v>
      </c>
    </row>
    <row r="449" spans="1:8" ht="15.75" customHeight="1" x14ac:dyDescent="0.25">
      <c r="A449" s="103" t="s">
        <v>24</v>
      </c>
      <c r="B449" s="120">
        <v>30116</v>
      </c>
      <c r="C449" s="103" t="s">
        <v>48</v>
      </c>
      <c r="D449" s="83">
        <v>136688</v>
      </c>
      <c r="E449" s="103" t="s">
        <v>20</v>
      </c>
      <c r="F449" s="103" t="s">
        <v>15</v>
      </c>
      <c r="G449" s="121">
        <v>91</v>
      </c>
      <c r="H449" s="122">
        <v>9108</v>
      </c>
    </row>
    <row r="450" spans="1:8" ht="15.75" customHeight="1" x14ac:dyDescent="0.25">
      <c r="A450" s="103" t="s">
        <v>24</v>
      </c>
      <c r="B450" s="120">
        <v>18350</v>
      </c>
      <c r="C450" s="103" t="s">
        <v>145</v>
      </c>
      <c r="D450" s="83">
        <v>128961</v>
      </c>
      <c r="E450" s="103" t="s">
        <v>39</v>
      </c>
      <c r="F450" s="103" t="s">
        <v>40</v>
      </c>
      <c r="G450" s="121">
        <v>91</v>
      </c>
      <c r="H450" s="122">
        <v>9100</v>
      </c>
    </row>
    <row r="451" spans="1:8" ht="15.75" customHeight="1" x14ac:dyDescent="0.25">
      <c r="A451" s="103" t="s">
        <v>12</v>
      </c>
      <c r="B451" s="120">
        <v>24124</v>
      </c>
      <c r="C451" s="103" t="s">
        <v>38</v>
      </c>
      <c r="D451" s="83">
        <v>20646</v>
      </c>
      <c r="E451" s="103" t="s">
        <v>39</v>
      </c>
      <c r="F451" s="103" t="s">
        <v>40</v>
      </c>
      <c r="G451" s="121">
        <v>90</v>
      </c>
      <c r="H451" s="122">
        <v>8967</v>
      </c>
    </row>
    <row r="452" spans="1:8" ht="15.75" customHeight="1" x14ac:dyDescent="0.25">
      <c r="A452" s="103" t="s">
        <v>12</v>
      </c>
      <c r="B452" s="120">
        <v>32901</v>
      </c>
      <c r="C452" s="103" t="s">
        <v>76</v>
      </c>
      <c r="D452" s="83">
        <v>42271</v>
      </c>
      <c r="E452" s="103" t="s">
        <v>55</v>
      </c>
      <c r="F452" s="103" t="s">
        <v>18</v>
      </c>
      <c r="G452" s="121">
        <v>86</v>
      </c>
      <c r="H452" s="122">
        <v>8642</v>
      </c>
    </row>
    <row r="453" spans="1:8" ht="15.75" customHeight="1" x14ac:dyDescent="0.25">
      <c r="A453" s="103" t="s">
        <v>12</v>
      </c>
      <c r="B453" s="120">
        <v>19782</v>
      </c>
      <c r="C453" s="103" t="s">
        <v>107</v>
      </c>
      <c r="D453" s="83">
        <v>22053</v>
      </c>
      <c r="E453" s="103" t="s">
        <v>55</v>
      </c>
      <c r="F453" s="103" t="s">
        <v>18</v>
      </c>
      <c r="G453" s="121">
        <v>85</v>
      </c>
      <c r="H453" s="122">
        <v>8493</v>
      </c>
    </row>
    <row r="454" spans="1:8" ht="15.75" customHeight="1" x14ac:dyDescent="0.25">
      <c r="A454" s="103" t="s">
        <v>12</v>
      </c>
      <c r="B454" s="120">
        <v>31907</v>
      </c>
      <c r="C454" s="103" t="s">
        <v>97</v>
      </c>
      <c r="D454" s="83">
        <v>26352</v>
      </c>
      <c r="E454" s="103" t="s">
        <v>26</v>
      </c>
      <c r="F454" s="103" t="s">
        <v>23</v>
      </c>
      <c r="G454" s="121">
        <v>84</v>
      </c>
      <c r="H454" s="122">
        <v>8400</v>
      </c>
    </row>
    <row r="455" spans="1:8" ht="15.75" customHeight="1" x14ac:dyDescent="0.25">
      <c r="A455" s="103" t="s">
        <v>12</v>
      </c>
      <c r="B455" s="120">
        <v>31520</v>
      </c>
      <c r="C455" s="103" t="s">
        <v>180</v>
      </c>
      <c r="D455" s="83">
        <v>27003</v>
      </c>
      <c r="E455" s="103" t="s">
        <v>39</v>
      </c>
      <c r="F455" s="103" t="s">
        <v>40</v>
      </c>
      <c r="G455" s="121">
        <v>84</v>
      </c>
      <c r="H455" s="122">
        <v>8385</v>
      </c>
    </row>
    <row r="456" spans="1:8" ht="15.75" customHeight="1" x14ac:dyDescent="0.25">
      <c r="A456" s="103" t="s">
        <v>12</v>
      </c>
      <c r="B456" s="120">
        <v>31477</v>
      </c>
      <c r="C456" s="103" t="s">
        <v>165</v>
      </c>
      <c r="D456" s="83">
        <v>129265</v>
      </c>
      <c r="E456" s="103" t="s">
        <v>26</v>
      </c>
      <c r="F456" s="103" t="s">
        <v>23</v>
      </c>
      <c r="G456" s="121">
        <v>83</v>
      </c>
      <c r="H456" s="122">
        <v>8344</v>
      </c>
    </row>
    <row r="457" spans="1:8" ht="15.75" customHeight="1" x14ac:dyDescent="0.25">
      <c r="A457" s="103" t="s">
        <v>12</v>
      </c>
      <c r="B457" s="120">
        <v>26430</v>
      </c>
      <c r="C457" s="103" t="s">
        <v>164</v>
      </c>
      <c r="D457" s="83">
        <v>22636</v>
      </c>
      <c r="E457" s="103" t="s">
        <v>52</v>
      </c>
      <c r="F457" s="103" t="s">
        <v>15</v>
      </c>
      <c r="G457" s="121">
        <v>80</v>
      </c>
      <c r="H457" s="122">
        <v>7950</v>
      </c>
    </row>
    <row r="458" spans="1:8" ht="15.75" customHeight="1" x14ac:dyDescent="0.25">
      <c r="A458" s="103" t="s">
        <v>12</v>
      </c>
      <c r="B458" s="120">
        <v>32763</v>
      </c>
      <c r="C458" s="103" t="s">
        <v>50</v>
      </c>
      <c r="D458" s="83">
        <v>20894</v>
      </c>
      <c r="E458" s="103" t="s">
        <v>20</v>
      </c>
      <c r="F458" s="103" t="s">
        <v>15</v>
      </c>
      <c r="G458" s="121">
        <v>76</v>
      </c>
      <c r="H458" s="122">
        <v>7564</v>
      </c>
    </row>
    <row r="459" spans="1:8" ht="15.75" customHeight="1" x14ac:dyDescent="0.25">
      <c r="A459" s="103" t="s">
        <v>12</v>
      </c>
      <c r="B459" s="120">
        <v>30479</v>
      </c>
      <c r="C459" s="103" t="s">
        <v>48</v>
      </c>
      <c r="D459" s="83">
        <v>20571</v>
      </c>
      <c r="E459" s="103" t="s">
        <v>20</v>
      </c>
      <c r="F459" s="103" t="s">
        <v>15</v>
      </c>
      <c r="G459" s="121">
        <v>75</v>
      </c>
      <c r="H459" s="122">
        <v>7500</v>
      </c>
    </row>
    <row r="460" spans="1:8" ht="15.75" customHeight="1" x14ac:dyDescent="0.25">
      <c r="A460" s="103" t="s">
        <v>12</v>
      </c>
      <c r="B460" s="120">
        <v>27589</v>
      </c>
      <c r="C460" s="103" t="s">
        <v>181</v>
      </c>
      <c r="D460" s="83">
        <v>33416</v>
      </c>
      <c r="E460" s="103" t="s">
        <v>182</v>
      </c>
      <c r="F460" s="103" t="s">
        <v>18</v>
      </c>
      <c r="G460" s="121">
        <v>75</v>
      </c>
      <c r="H460" s="122">
        <v>7450</v>
      </c>
    </row>
    <row r="461" spans="1:8" ht="15.75" customHeight="1" x14ac:dyDescent="0.25">
      <c r="A461" s="103" t="s">
        <v>12</v>
      </c>
      <c r="B461" s="120">
        <v>30956</v>
      </c>
      <c r="C461" s="103" t="s">
        <v>127</v>
      </c>
      <c r="D461" s="83">
        <v>23633</v>
      </c>
      <c r="E461" s="103" t="s">
        <v>37</v>
      </c>
      <c r="F461" s="103" t="s">
        <v>18</v>
      </c>
      <c r="G461" s="121">
        <v>72</v>
      </c>
      <c r="H461" s="122">
        <v>7224</v>
      </c>
    </row>
    <row r="462" spans="1:8" ht="15.75" customHeight="1" x14ac:dyDescent="0.25">
      <c r="A462" s="103" t="s">
        <v>24</v>
      </c>
      <c r="B462" s="120">
        <v>30050</v>
      </c>
      <c r="C462" s="103" t="s">
        <v>32</v>
      </c>
      <c r="D462" s="83">
        <v>129777</v>
      </c>
      <c r="E462" s="103" t="s">
        <v>20</v>
      </c>
      <c r="F462" s="103" t="s">
        <v>15</v>
      </c>
      <c r="G462" s="121">
        <v>69</v>
      </c>
      <c r="H462" s="122">
        <v>6930</v>
      </c>
    </row>
    <row r="463" spans="1:8" ht="15.75" customHeight="1" x14ac:dyDescent="0.25">
      <c r="A463" s="103" t="s">
        <v>12</v>
      </c>
      <c r="B463" s="120">
        <v>27166</v>
      </c>
      <c r="C463" s="103" t="s">
        <v>81</v>
      </c>
      <c r="D463" s="83">
        <v>141694</v>
      </c>
      <c r="E463" s="103" t="s">
        <v>39</v>
      </c>
      <c r="F463" s="103" t="s">
        <v>40</v>
      </c>
      <c r="G463" s="121">
        <v>69</v>
      </c>
      <c r="H463" s="122">
        <v>6882</v>
      </c>
    </row>
    <row r="464" spans="1:8" ht="15.75" customHeight="1" x14ac:dyDescent="0.25">
      <c r="A464" s="103" t="s">
        <v>12</v>
      </c>
      <c r="B464" s="120">
        <v>32650</v>
      </c>
      <c r="C464" s="103" t="s">
        <v>32</v>
      </c>
      <c r="D464" s="83">
        <v>121398</v>
      </c>
      <c r="E464" s="103" t="s">
        <v>20</v>
      </c>
      <c r="F464" s="103" t="s">
        <v>15</v>
      </c>
      <c r="G464" s="121">
        <v>68</v>
      </c>
      <c r="H464" s="122">
        <v>6840</v>
      </c>
    </row>
    <row r="465" spans="1:8" ht="15.75" customHeight="1" x14ac:dyDescent="0.25">
      <c r="A465" s="103" t="s">
        <v>12</v>
      </c>
      <c r="B465" s="120">
        <v>32947</v>
      </c>
      <c r="C465" s="103" t="s">
        <v>60</v>
      </c>
      <c r="D465" s="83">
        <v>120444</v>
      </c>
      <c r="E465" s="103" t="s">
        <v>20</v>
      </c>
      <c r="F465" s="103" t="s">
        <v>15</v>
      </c>
      <c r="G465" s="121">
        <v>67</v>
      </c>
      <c r="H465" s="122">
        <v>6708</v>
      </c>
    </row>
    <row r="466" spans="1:8" ht="15.75" customHeight="1" x14ac:dyDescent="0.25">
      <c r="A466" s="103" t="s">
        <v>12</v>
      </c>
      <c r="B466" s="120">
        <v>30067</v>
      </c>
      <c r="C466" s="103" t="s">
        <v>109</v>
      </c>
      <c r="D466" s="83">
        <v>37310</v>
      </c>
      <c r="E466" s="103" t="s">
        <v>26</v>
      </c>
      <c r="F466" s="103" t="s">
        <v>23</v>
      </c>
      <c r="G466" s="121">
        <v>67</v>
      </c>
      <c r="H466" s="122">
        <v>6700</v>
      </c>
    </row>
    <row r="467" spans="1:8" ht="15.75" customHeight="1" x14ac:dyDescent="0.25">
      <c r="A467" s="103" t="s">
        <v>24</v>
      </c>
      <c r="B467" s="120">
        <v>28741</v>
      </c>
      <c r="C467" s="103" t="s">
        <v>68</v>
      </c>
      <c r="D467" s="83">
        <v>120375</v>
      </c>
      <c r="E467" s="103" t="s">
        <v>28</v>
      </c>
      <c r="F467" s="103" t="s">
        <v>23</v>
      </c>
      <c r="G467" s="121">
        <v>67</v>
      </c>
      <c r="H467" s="122">
        <v>6666</v>
      </c>
    </row>
    <row r="468" spans="1:8" ht="15.75" customHeight="1" x14ac:dyDescent="0.25">
      <c r="A468" s="103" t="s">
        <v>12</v>
      </c>
      <c r="B468" s="120">
        <v>30945</v>
      </c>
      <c r="C468" s="103" t="s">
        <v>183</v>
      </c>
      <c r="D468" s="83">
        <v>27392</v>
      </c>
      <c r="E468" s="103" t="s">
        <v>39</v>
      </c>
      <c r="F468" s="103" t="s">
        <v>79</v>
      </c>
      <c r="G468" s="121">
        <v>64</v>
      </c>
      <c r="H468" s="122">
        <v>6435</v>
      </c>
    </row>
    <row r="469" spans="1:8" ht="15.75" customHeight="1" x14ac:dyDescent="0.25">
      <c r="A469" s="103" t="s">
        <v>12</v>
      </c>
      <c r="B469" s="120">
        <v>25240</v>
      </c>
      <c r="C469" s="103" t="s">
        <v>61</v>
      </c>
      <c r="D469" s="83">
        <v>36155</v>
      </c>
      <c r="E469" s="103" t="s">
        <v>26</v>
      </c>
      <c r="F469" s="103" t="s">
        <v>23</v>
      </c>
      <c r="G469" s="121">
        <v>62</v>
      </c>
      <c r="H469" s="122">
        <v>6240</v>
      </c>
    </row>
    <row r="470" spans="1:8" ht="15.75" customHeight="1" x14ac:dyDescent="0.25">
      <c r="A470" s="103" t="s">
        <v>24</v>
      </c>
      <c r="B470" s="120">
        <v>21825</v>
      </c>
      <c r="C470" s="103" t="s">
        <v>178</v>
      </c>
      <c r="D470" s="83">
        <v>140169</v>
      </c>
      <c r="E470" s="103" t="s">
        <v>26</v>
      </c>
      <c r="F470" s="103" t="s">
        <v>23</v>
      </c>
      <c r="G470" s="121">
        <v>60</v>
      </c>
      <c r="H470" s="122">
        <v>6000</v>
      </c>
    </row>
    <row r="471" spans="1:8" ht="15.75" customHeight="1" x14ac:dyDescent="0.25">
      <c r="A471" s="103" t="s">
        <v>12</v>
      </c>
      <c r="B471" s="120">
        <v>23864</v>
      </c>
      <c r="C471" s="103" t="s">
        <v>184</v>
      </c>
      <c r="D471" s="83">
        <v>128689</v>
      </c>
      <c r="E471" s="103" t="s">
        <v>26</v>
      </c>
      <c r="F471" s="103" t="s">
        <v>23</v>
      </c>
      <c r="G471" s="121">
        <v>60</v>
      </c>
      <c r="H471" s="122">
        <v>6000</v>
      </c>
    </row>
    <row r="472" spans="1:8" ht="15.75" customHeight="1" x14ac:dyDescent="0.25">
      <c r="A472" s="103" t="s">
        <v>12</v>
      </c>
      <c r="B472" s="120">
        <v>31176</v>
      </c>
      <c r="C472" s="103" t="s">
        <v>156</v>
      </c>
      <c r="D472" s="83">
        <v>31817</v>
      </c>
      <c r="E472" s="103" t="s">
        <v>157</v>
      </c>
      <c r="F472" s="103" t="s">
        <v>40</v>
      </c>
      <c r="G472" s="121">
        <v>60</v>
      </c>
      <c r="H472" s="122">
        <v>5952</v>
      </c>
    </row>
    <row r="473" spans="1:8" ht="15.75" customHeight="1" x14ac:dyDescent="0.25">
      <c r="A473" s="103" t="s">
        <v>24</v>
      </c>
      <c r="B473" s="120">
        <v>31413</v>
      </c>
      <c r="C473" s="103" t="s">
        <v>31</v>
      </c>
      <c r="D473" s="83">
        <v>21759</v>
      </c>
      <c r="E473" s="103" t="s">
        <v>20</v>
      </c>
      <c r="F473" s="103" t="s">
        <v>15</v>
      </c>
      <c r="G473" s="121">
        <v>55</v>
      </c>
      <c r="H473" s="122">
        <v>5500</v>
      </c>
    </row>
    <row r="474" spans="1:8" ht="15.75" customHeight="1" x14ac:dyDescent="0.25">
      <c r="A474" s="103" t="s">
        <v>12</v>
      </c>
      <c r="B474" s="120">
        <v>21675</v>
      </c>
      <c r="C474" s="103" t="s">
        <v>124</v>
      </c>
      <c r="D474" s="83">
        <v>129446</v>
      </c>
      <c r="E474" s="103" t="s">
        <v>14</v>
      </c>
      <c r="F474" s="103" t="s">
        <v>15</v>
      </c>
      <c r="G474" s="121">
        <v>55</v>
      </c>
      <c r="H474" s="122">
        <v>5500</v>
      </c>
    </row>
    <row r="475" spans="1:8" ht="15.75" customHeight="1" x14ac:dyDescent="0.25">
      <c r="A475" s="103" t="s">
        <v>12</v>
      </c>
      <c r="B475" s="120">
        <v>24236</v>
      </c>
      <c r="C475" s="103" t="s">
        <v>152</v>
      </c>
      <c r="D475" s="83">
        <v>130192</v>
      </c>
      <c r="E475" s="103" t="s">
        <v>74</v>
      </c>
      <c r="F475" s="103" t="s">
        <v>79</v>
      </c>
      <c r="G475" s="121">
        <v>54</v>
      </c>
      <c r="H475" s="122">
        <v>5400</v>
      </c>
    </row>
    <row r="476" spans="1:8" ht="15.75" customHeight="1" x14ac:dyDescent="0.25">
      <c r="A476" s="103" t="s">
        <v>12</v>
      </c>
      <c r="B476" s="120">
        <v>29343</v>
      </c>
      <c r="C476" s="103" t="s">
        <v>118</v>
      </c>
      <c r="D476" s="83">
        <v>20875</v>
      </c>
      <c r="E476" s="103" t="s">
        <v>20</v>
      </c>
      <c r="F476" s="103" t="s">
        <v>15</v>
      </c>
      <c r="G476" s="121">
        <v>53</v>
      </c>
      <c r="H476" s="122">
        <v>5304</v>
      </c>
    </row>
    <row r="477" spans="1:8" ht="15.75" customHeight="1" x14ac:dyDescent="0.25">
      <c r="A477" s="103" t="s">
        <v>12</v>
      </c>
      <c r="B477" s="120">
        <v>26817</v>
      </c>
      <c r="C477" s="103" t="s">
        <v>60</v>
      </c>
      <c r="D477" s="83">
        <v>26811</v>
      </c>
      <c r="E477" s="103" t="s">
        <v>20</v>
      </c>
      <c r="F477" s="103" t="s">
        <v>15</v>
      </c>
      <c r="G477" s="121">
        <v>52</v>
      </c>
      <c r="H477" s="122">
        <v>5220</v>
      </c>
    </row>
    <row r="478" spans="1:8" ht="15.75" customHeight="1" x14ac:dyDescent="0.25">
      <c r="A478" s="103" t="s">
        <v>12</v>
      </c>
      <c r="B478" s="120">
        <v>29453</v>
      </c>
      <c r="C478" s="103" t="s">
        <v>46</v>
      </c>
      <c r="D478" s="83">
        <v>129858</v>
      </c>
      <c r="E478" s="103" t="s">
        <v>35</v>
      </c>
      <c r="F478" s="103" t="s">
        <v>15</v>
      </c>
      <c r="G478" s="121">
        <v>52</v>
      </c>
      <c r="H478" s="122">
        <v>5200</v>
      </c>
    </row>
    <row r="479" spans="1:8" ht="15.75" customHeight="1" x14ac:dyDescent="0.25">
      <c r="A479" s="103" t="s">
        <v>24</v>
      </c>
      <c r="B479" s="120">
        <v>29469</v>
      </c>
      <c r="C479" s="103" t="s">
        <v>19</v>
      </c>
      <c r="D479" s="83">
        <v>25535</v>
      </c>
      <c r="E479" s="103" t="s">
        <v>20</v>
      </c>
      <c r="F479" s="103" t="s">
        <v>15</v>
      </c>
      <c r="G479" s="121">
        <v>51</v>
      </c>
      <c r="H479" s="122">
        <v>5100</v>
      </c>
    </row>
    <row r="480" spans="1:8" ht="15.75" customHeight="1" x14ac:dyDescent="0.25">
      <c r="A480" s="103" t="s">
        <v>12</v>
      </c>
      <c r="B480" s="120">
        <v>28495</v>
      </c>
      <c r="C480" s="103" t="s">
        <v>185</v>
      </c>
      <c r="D480" s="83">
        <v>132997</v>
      </c>
      <c r="E480" s="103" t="s">
        <v>39</v>
      </c>
      <c r="F480" s="103" t="s">
        <v>18</v>
      </c>
      <c r="G480" s="121">
        <v>51</v>
      </c>
      <c r="H480" s="122">
        <v>5100</v>
      </c>
    </row>
    <row r="481" spans="1:8" ht="15.75" customHeight="1" x14ac:dyDescent="0.25">
      <c r="A481" s="103" t="s">
        <v>24</v>
      </c>
      <c r="B481" s="120">
        <v>23743</v>
      </c>
      <c r="C481" s="103" t="s">
        <v>46</v>
      </c>
      <c r="D481" s="83">
        <v>124337</v>
      </c>
      <c r="E481" s="103" t="s">
        <v>35</v>
      </c>
      <c r="F481" s="103" t="s">
        <v>15</v>
      </c>
      <c r="G481" s="121">
        <v>50</v>
      </c>
      <c r="H481" s="122">
        <v>5000</v>
      </c>
    </row>
    <row r="482" spans="1:8" ht="15.75" customHeight="1" x14ac:dyDescent="0.25">
      <c r="A482" s="103" t="s">
        <v>12</v>
      </c>
      <c r="B482" s="120">
        <v>19952</v>
      </c>
      <c r="C482" s="103" t="s">
        <v>57</v>
      </c>
      <c r="D482" s="83">
        <v>21283</v>
      </c>
      <c r="E482" s="103" t="s">
        <v>35</v>
      </c>
      <c r="F482" s="103" t="s">
        <v>15</v>
      </c>
      <c r="G482" s="121">
        <v>49</v>
      </c>
      <c r="H482" s="122">
        <v>4896</v>
      </c>
    </row>
    <row r="483" spans="1:8" ht="15.75" customHeight="1" x14ac:dyDescent="0.25">
      <c r="A483" s="103" t="s">
        <v>12</v>
      </c>
      <c r="B483" s="120">
        <v>27902</v>
      </c>
      <c r="C483" s="103" t="s">
        <v>97</v>
      </c>
      <c r="D483" s="83">
        <v>30474</v>
      </c>
      <c r="E483" s="103" t="s">
        <v>26</v>
      </c>
      <c r="F483" s="103" t="s">
        <v>23</v>
      </c>
      <c r="G483" s="121">
        <v>46</v>
      </c>
      <c r="H483" s="122">
        <v>4590</v>
      </c>
    </row>
    <row r="484" spans="1:8" ht="15.75" customHeight="1" x14ac:dyDescent="0.25">
      <c r="A484" s="103" t="s">
        <v>12</v>
      </c>
      <c r="B484" s="120">
        <v>27810</v>
      </c>
      <c r="C484" s="103" t="s">
        <v>19</v>
      </c>
      <c r="D484" s="83">
        <v>21089</v>
      </c>
      <c r="E484" s="103" t="s">
        <v>20</v>
      </c>
      <c r="F484" s="103" t="s">
        <v>15</v>
      </c>
      <c r="G484" s="121">
        <v>45</v>
      </c>
      <c r="H484" s="122">
        <v>4500</v>
      </c>
    </row>
    <row r="485" spans="1:8" ht="15.75" customHeight="1" x14ac:dyDescent="0.25">
      <c r="A485" s="103" t="s">
        <v>12</v>
      </c>
      <c r="B485" s="120">
        <v>17249</v>
      </c>
      <c r="C485" s="103" t="s">
        <v>66</v>
      </c>
      <c r="D485" s="83">
        <v>129154</v>
      </c>
      <c r="E485" s="103" t="s">
        <v>26</v>
      </c>
      <c r="F485" s="103" t="s">
        <v>23</v>
      </c>
      <c r="G485" s="121">
        <v>43</v>
      </c>
      <c r="H485" s="122">
        <v>4275</v>
      </c>
    </row>
    <row r="486" spans="1:8" ht="15.75" customHeight="1" x14ac:dyDescent="0.25">
      <c r="A486" s="103" t="s">
        <v>12</v>
      </c>
      <c r="B486" s="120">
        <v>32808</v>
      </c>
      <c r="C486" s="103" t="s">
        <v>60</v>
      </c>
      <c r="D486" s="83">
        <v>122594</v>
      </c>
      <c r="E486" s="103" t="s">
        <v>20</v>
      </c>
      <c r="F486" s="103" t="s">
        <v>15</v>
      </c>
      <c r="G486" s="121">
        <v>42</v>
      </c>
      <c r="H486" s="122">
        <v>4216</v>
      </c>
    </row>
    <row r="487" spans="1:8" ht="15.75" customHeight="1" x14ac:dyDescent="0.25">
      <c r="A487" s="103" t="s">
        <v>12</v>
      </c>
      <c r="B487" s="120">
        <v>32224</v>
      </c>
      <c r="C487" s="103" t="s">
        <v>48</v>
      </c>
      <c r="D487" s="83">
        <v>20529</v>
      </c>
      <c r="E487" s="103" t="s">
        <v>20</v>
      </c>
      <c r="F487" s="103" t="s">
        <v>15</v>
      </c>
      <c r="G487" s="121">
        <v>39</v>
      </c>
      <c r="H487" s="122">
        <v>3864</v>
      </c>
    </row>
    <row r="488" spans="1:8" ht="15.75" customHeight="1" x14ac:dyDescent="0.25">
      <c r="A488" s="103" t="s">
        <v>12</v>
      </c>
      <c r="B488" s="120">
        <v>24590</v>
      </c>
      <c r="C488" s="103" t="s">
        <v>130</v>
      </c>
      <c r="D488" s="83">
        <v>139532</v>
      </c>
      <c r="E488" s="103" t="s">
        <v>20</v>
      </c>
      <c r="F488" s="103" t="s">
        <v>15</v>
      </c>
      <c r="G488" s="121">
        <v>32</v>
      </c>
      <c r="H488" s="122">
        <v>3200</v>
      </c>
    </row>
    <row r="489" spans="1:8" ht="15.75" customHeight="1" x14ac:dyDescent="0.25">
      <c r="A489" s="103" t="s">
        <v>12</v>
      </c>
      <c r="B489" s="120">
        <v>30177</v>
      </c>
      <c r="C489" s="103" t="s">
        <v>108</v>
      </c>
      <c r="D489" s="83">
        <v>21547</v>
      </c>
      <c r="E489" s="103" t="s">
        <v>74</v>
      </c>
      <c r="F489" s="103" t="s">
        <v>79</v>
      </c>
      <c r="G489" s="121">
        <v>32</v>
      </c>
      <c r="H489" s="122">
        <v>3185</v>
      </c>
    </row>
    <row r="490" spans="1:8" ht="15.75" customHeight="1" x14ac:dyDescent="0.25">
      <c r="A490" s="103" t="s">
        <v>12</v>
      </c>
      <c r="B490" s="120">
        <v>30035</v>
      </c>
      <c r="C490" s="103" t="s">
        <v>170</v>
      </c>
      <c r="D490" s="83">
        <v>22414</v>
      </c>
      <c r="E490" s="103" t="s">
        <v>26</v>
      </c>
      <c r="F490" s="103" t="s">
        <v>23</v>
      </c>
      <c r="G490" s="121">
        <v>31</v>
      </c>
      <c r="H490" s="122">
        <v>3082</v>
      </c>
    </row>
    <row r="491" spans="1:8" ht="15.75" customHeight="1" x14ac:dyDescent="0.25">
      <c r="A491" s="103" t="s">
        <v>12</v>
      </c>
      <c r="B491" s="120">
        <v>29757</v>
      </c>
      <c r="C491" s="103" t="s">
        <v>75</v>
      </c>
      <c r="D491" s="83">
        <v>22076</v>
      </c>
      <c r="E491" s="103" t="s">
        <v>20</v>
      </c>
      <c r="F491" s="103" t="s">
        <v>15</v>
      </c>
      <c r="G491" s="121">
        <v>28</v>
      </c>
      <c r="H491" s="122">
        <v>2793</v>
      </c>
    </row>
    <row r="492" spans="1:8" ht="15.75" customHeight="1" x14ac:dyDescent="0.25">
      <c r="A492" s="103" t="s">
        <v>12</v>
      </c>
      <c r="B492" s="120">
        <v>32706</v>
      </c>
      <c r="C492" s="103" t="s">
        <v>186</v>
      </c>
      <c r="D492" s="83">
        <v>94257</v>
      </c>
      <c r="E492" s="103" t="s">
        <v>20</v>
      </c>
      <c r="F492" s="103" t="s">
        <v>15</v>
      </c>
      <c r="G492" s="121">
        <v>27</v>
      </c>
      <c r="H492" s="122">
        <v>2695</v>
      </c>
    </row>
    <row r="493" spans="1:8" ht="15.75" customHeight="1" x14ac:dyDescent="0.25">
      <c r="A493" s="103" t="s">
        <v>12</v>
      </c>
      <c r="B493" s="120">
        <v>27805</v>
      </c>
      <c r="C493" s="103" t="s">
        <v>186</v>
      </c>
      <c r="D493" s="83">
        <v>22085</v>
      </c>
      <c r="E493" s="103" t="s">
        <v>20</v>
      </c>
      <c r="F493" s="103" t="s">
        <v>15</v>
      </c>
      <c r="G493" s="121">
        <v>26</v>
      </c>
      <c r="H493" s="122">
        <v>2597</v>
      </c>
    </row>
    <row r="494" spans="1:8" ht="15.75" customHeight="1" x14ac:dyDescent="0.25">
      <c r="A494" s="103" t="s">
        <v>12</v>
      </c>
      <c r="B494" s="120">
        <v>28104</v>
      </c>
      <c r="C494" s="103" t="s">
        <v>30</v>
      </c>
      <c r="D494" s="83">
        <v>125335</v>
      </c>
      <c r="E494" s="103" t="s">
        <v>20</v>
      </c>
      <c r="F494" s="103" t="s">
        <v>15</v>
      </c>
      <c r="G494" s="121">
        <v>25</v>
      </c>
      <c r="H494" s="122">
        <v>2496</v>
      </c>
    </row>
    <row r="495" spans="1:8" ht="15.75" customHeight="1" x14ac:dyDescent="0.25">
      <c r="A495" s="103" t="s">
        <v>12</v>
      </c>
      <c r="B495" s="120">
        <v>32638</v>
      </c>
      <c r="C495" s="103" t="s">
        <v>127</v>
      </c>
      <c r="D495" s="83">
        <v>123608</v>
      </c>
      <c r="E495" s="103" t="s">
        <v>37</v>
      </c>
      <c r="F495" s="103" t="s">
        <v>18</v>
      </c>
      <c r="G495" s="121">
        <v>24</v>
      </c>
      <c r="H495" s="122">
        <v>2356</v>
      </c>
    </row>
    <row r="496" spans="1:8" ht="15.75" customHeight="1" x14ac:dyDescent="0.25">
      <c r="A496" s="103" t="s">
        <v>12</v>
      </c>
      <c r="B496" s="120">
        <v>28825</v>
      </c>
      <c r="C496" s="103" t="s">
        <v>41</v>
      </c>
      <c r="D496" s="83">
        <v>134874</v>
      </c>
      <c r="E496" s="103" t="s">
        <v>20</v>
      </c>
      <c r="F496" s="103" t="s">
        <v>15</v>
      </c>
      <c r="G496" s="121">
        <v>17</v>
      </c>
      <c r="H496" s="122">
        <v>1701</v>
      </c>
    </row>
    <row r="497" spans="1:8" ht="15.75" customHeight="1" x14ac:dyDescent="0.25">
      <c r="A497" s="103" t="s">
        <v>12</v>
      </c>
      <c r="B497" s="120">
        <v>30939</v>
      </c>
      <c r="C497" s="103" t="s">
        <v>33</v>
      </c>
      <c r="D497" s="83">
        <v>24335</v>
      </c>
      <c r="E497" s="103" t="s">
        <v>20</v>
      </c>
      <c r="F497" s="103" t="s">
        <v>15</v>
      </c>
      <c r="G497" s="121">
        <v>17</v>
      </c>
      <c r="H497" s="122">
        <v>1680</v>
      </c>
    </row>
    <row r="498" spans="1:8" ht="15.75" customHeight="1" x14ac:dyDescent="0.25">
      <c r="A498" s="103" t="s">
        <v>12</v>
      </c>
      <c r="B498" s="120">
        <v>31955</v>
      </c>
      <c r="C498" s="103" t="s">
        <v>45</v>
      </c>
      <c r="D498" s="83">
        <v>22299</v>
      </c>
      <c r="E498" s="103" t="s">
        <v>28</v>
      </c>
      <c r="F498" s="103" t="s">
        <v>23</v>
      </c>
      <c r="G498" s="121">
        <v>12</v>
      </c>
      <c r="H498" s="122">
        <v>1220</v>
      </c>
    </row>
    <row r="499" spans="1:8" ht="15.75" customHeight="1" x14ac:dyDescent="0.25">
      <c r="A499" s="103" t="s">
        <v>12</v>
      </c>
      <c r="B499" s="120">
        <v>25720</v>
      </c>
      <c r="C499" s="103" t="s">
        <v>73</v>
      </c>
      <c r="D499" s="83">
        <v>125064</v>
      </c>
      <c r="E499" s="103" t="s">
        <v>74</v>
      </c>
      <c r="F499" s="103" t="s">
        <v>23</v>
      </c>
      <c r="G499" s="121">
        <v>12</v>
      </c>
      <c r="H499" s="122">
        <v>1176</v>
      </c>
    </row>
    <row r="500" spans="1:8" ht="15.75" customHeight="1" x14ac:dyDescent="0.25">
      <c r="A500" s="103" t="s">
        <v>12</v>
      </c>
      <c r="B500" s="120">
        <v>30051</v>
      </c>
      <c r="C500" s="103" t="s">
        <v>59</v>
      </c>
      <c r="D500" s="83">
        <v>27411</v>
      </c>
      <c r="E500" s="103" t="s">
        <v>28</v>
      </c>
      <c r="F500" s="103" t="s">
        <v>23</v>
      </c>
      <c r="G500" s="121">
        <v>6</v>
      </c>
      <c r="H500" s="122">
        <v>590</v>
      </c>
    </row>
    <row r="501" spans="1:8" ht="15.75" customHeight="1" x14ac:dyDescent="0.25">
      <c r="A501" s="119" t="s">
        <v>12</v>
      </c>
      <c r="B501" s="123">
        <v>31547</v>
      </c>
      <c r="C501" s="119" t="s">
        <v>118</v>
      </c>
      <c r="D501" s="94">
        <v>131079</v>
      </c>
      <c r="E501" s="119" t="s">
        <v>20</v>
      </c>
      <c r="F501" s="119" t="s">
        <v>15</v>
      </c>
      <c r="G501" s="124">
        <v>6</v>
      </c>
      <c r="H501" s="125">
        <v>583</v>
      </c>
    </row>
    <row r="502" spans="1:8" ht="15.75" customHeight="1" x14ac:dyDescent="0.25"/>
    <row r="503" spans="1:8" ht="15.75" customHeight="1" x14ac:dyDescent="0.25"/>
    <row r="504" spans="1:8" ht="15.75" customHeight="1" x14ac:dyDescent="0.25"/>
    <row r="505" spans="1:8" ht="15.75" customHeight="1" x14ac:dyDescent="0.25"/>
    <row r="506" spans="1:8" ht="15.75" customHeight="1" x14ac:dyDescent="0.25"/>
    <row r="507" spans="1:8" ht="15.75" customHeight="1" x14ac:dyDescent="0.25"/>
    <row r="508" spans="1:8" ht="15.75" customHeight="1" x14ac:dyDescent="0.25"/>
    <row r="509" spans="1:8" ht="15.75" customHeight="1" x14ac:dyDescent="0.25"/>
    <row r="510" spans="1:8" ht="15.75" customHeight="1" x14ac:dyDescent="0.25"/>
    <row r="511" spans="1:8" ht="15.75" customHeight="1" x14ac:dyDescent="0.25"/>
    <row r="512" spans="1:8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  <row r="1064" ht="15.75" customHeight="1" x14ac:dyDescent="0.25"/>
    <row r="1065" ht="15.75" customHeight="1" x14ac:dyDescent="0.25"/>
    <row r="1066" ht="15.75" customHeight="1" x14ac:dyDescent="0.25"/>
    <row r="1067" ht="15.75" customHeight="1" x14ac:dyDescent="0.25"/>
    <row r="1068" ht="15.75" customHeight="1" x14ac:dyDescent="0.25"/>
    <row r="1069" ht="15.75" customHeight="1" x14ac:dyDescent="0.25"/>
    <row r="1070" ht="15.75" customHeight="1" x14ac:dyDescent="0.25"/>
    <row r="1071" ht="15.75" customHeight="1" x14ac:dyDescent="0.25"/>
    <row r="1072" ht="15.75" customHeight="1" x14ac:dyDescent="0.25"/>
    <row r="1073" ht="15.75" customHeight="1" x14ac:dyDescent="0.25"/>
    <row r="1074" ht="15.75" customHeight="1" x14ac:dyDescent="0.25"/>
    <row r="1075" ht="15.75" customHeight="1" x14ac:dyDescent="0.25"/>
    <row r="1076" ht="15.75" customHeight="1" x14ac:dyDescent="0.25"/>
    <row r="1077" ht="15.75" customHeight="1" x14ac:dyDescent="0.25"/>
    <row r="1078" ht="15.75" customHeight="1" x14ac:dyDescent="0.25"/>
    <row r="1079" ht="15.75" customHeight="1" x14ac:dyDescent="0.25"/>
    <row r="1080" ht="15.75" customHeight="1" x14ac:dyDescent="0.25"/>
    <row r="1081" ht="15.75" customHeight="1" x14ac:dyDescent="0.25"/>
    <row r="1082" ht="15.75" customHeight="1" x14ac:dyDescent="0.25"/>
    <row r="1083" ht="15.75" customHeight="1" x14ac:dyDescent="0.25"/>
    <row r="1084" ht="15.75" customHeight="1" x14ac:dyDescent="0.25"/>
    <row r="1085" ht="15.75" customHeight="1" x14ac:dyDescent="0.25"/>
    <row r="1086" ht="15.75" customHeight="1" x14ac:dyDescent="0.25"/>
    <row r="1087" ht="15.75" customHeight="1" x14ac:dyDescent="0.25"/>
    <row r="1088" ht="15.75" customHeight="1" x14ac:dyDescent="0.25"/>
    <row r="1089" ht="15.75" customHeight="1" x14ac:dyDescent="0.25"/>
    <row r="1090" ht="15.75" customHeight="1" x14ac:dyDescent="0.25"/>
    <row r="1091" ht="15.75" customHeight="1" x14ac:dyDescent="0.25"/>
    <row r="1092" ht="15.75" customHeight="1" x14ac:dyDescent="0.25"/>
    <row r="1093" ht="15.75" customHeight="1" x14ac:dyDescent="0.25"/>
    <row r="1094" ht="15.75" customHeight="1" x14ac:dyDescent="0.25"/>
    <row r="1095" ht="15.75" customHeight="1" x14ac:dyDescent="0.25"/>
    <row r="1096" ht="15.75" customHeight="1" x14ac:dyDescent="0.25"/>
    <row r="1097" ht="15.75" customHeight="1" x14ac:dyDescent="0.25"/>
    <row r="1098" ht="15.75" customHeight="1" x14ac:dyDescent="0.25"/>
    <row r="1099" ht="15.75" customHeight="1" x14ac:dyDescent="0.25"/>
    <row r="1100" ht="15.75" customHeight="1" x14ac:dyDescent="0.25"/>
    <row r="1101" ht="15.75" customHeight="1" x14ac:dyDescent="0.25"/>
    <row r="1102" ht="15.75" customHeight="1" x14ac:dyDescent="0.25"/>
    <row r="1103" ht="15.75" customHeight="1" x14ac:dyDescent="0.25"/>
    <row r="1104" ht="15.75" customHeight="1" x14ac:dyDescent="0.25"/>
    <row r="1105" ht="15.75" customHeight="1" x14ac:dyDescent="0.25"/>
    <row r="1106" ht="15.75" customHeight="1" x14ac:dyDescent="0.25"/>
    <row r="1107" ht="15.75" customHeight="1" x14ac:dyDescent="0.25"/>
    <row r="1108" ht="15.75" customHeight="1" x14ac:dyDescent="0.25"/>
    <row r="1109" ht="15.75" customHeight="1" x14ac:dyDescent="0.25"/>
    <row r="1110" ht="15.75" customHeight="1" x14ac:dyDescent="0.25"/>
    <row r="1111" ht="15.75" customHeight="1" x14ac:dyDescent="0.25"/>
    <row r="1112" ht="15.75" customHeight="1" x14ac:dyDescent="0.25"/>
    <row r="1113" ht="15.75" customHeight="1" x14ac:dyDescent="0.25"/>
    <row r="1114" ht="15.75" customHeight="1" x14ac:dyDescent="0.25"/>
    <row r="1115" ht="15.75" customHeight="1" x14ac:dyDescent="0.25"/>
    <row r="1116" ht="15.75" customHeight="1" x14ac:dyDescent="0.25"/>
    <row r="1117" ht="15.75" customHeight="1" x14ac:dyDescent="0.25"/>
    <row r="1118" ht="15.75" customHeight="1" x14ac:dyDescent="0.25"/>
    <row r="1119" ht="15.75" customHeight="1" x14ac:dyDescent="0.25"/>
    <row r="1120" ht="15.75" customHeight="1" x14ac:dyDescent="0.25"/>
    <row r="1121" ht="15.75" customHeight="1" x14ac:dyDescent="0.25"/>
    <row r="1122" ht="15.75" customHeight="1" x14ac:dyDescent="0.25"/>
    <row r="1123" ht="15.75" customHeight="1" x14ac:dyDescent="0.25"/>
    <row r="1124" ht="15.75" customHeight="1" x14ac:dyDescent="0.25"/>
    <row r="1125" ht="15.75" customHeight="1" x14ac:dyDescent="0.25"/>
    <row r="1126" ht="15.75" customHeight="1" x14ac:dyDescent="0.25"/>
    <row r="1127" ht="15.75" customHeight="1" x14ac:dyDescent="0.25"/>
    <row r="1128" ht="15.75" customHeight="1" x14ac:dyDescent="0.25"/>
    <row r="1129" ht="15.75" customHeight="1" x14ac:dyDescent="0.25"/>
    <row r="1130" ht="15.75" customHeight="1" x14ac:dyDescent="0.25"/>
    <row r="1131" ht="15.75" customHeight="1" x14ac:dyDescent="0.25"/>
    <row r="1132" ht="15.75" customHeight="1" x14ac:dyDescent="0.25"/>
    <row r="1133" ht="15.75" customHeight="1" x14ac:dyDescent="0.25"/>
    <row r="1134" ht="15.75" customHeight="1" x14ac:dyDescent="0.25"/>
    <row r="1135" ht="15.75" customHeight="1" x14ac:dyDescent="0.25"/>
    <row r="1136" ht="15.75" customHeight="1" x14ac:dyDescent="0.25"/>
    <row r="1137" ht="15.75" customHeight="1" x14ac:dyDescent="0.25"/>
    <row r="1138" ht="15.75" customHeight="1" x14ac:dyDescent="0.25"/>
    <row r="1139" ht="15.75" customHeight="1" x14ac:dyDescent="0.25"/>
    <row r="1140" ht="15.75" customHeight="1" x14ac:dyDescent="0.25"/>
    <row r="1141" ht="15.75" customHeight="1" x14ac:dyDescent="0.25"/>
    <row r="1142" ht="15.75" customHeight="1" x14ac:dyDescent="0.25"/>
    <row r="1143" ht="15.75" customHeight="1" x14ac:dyDescent="0.25"/>
    <row r="1144" ht="15.75" customHeight="1" x14ac:dyDescent="0.25"/>
    <row r="1145" ht="15.75" customHeight="1" x14ac:dyDescent="0.25"/>
    <row r="1146" ht="15.75" customHeight="1" x14ac:dyDescent="0.25"/>
    <row r="1147" ht="15.75" customHeight="1" x14ac:dyDescent="0.25"/>
    <row r="1148" ht="15.75" customHeight="1" x14ac:dyDescent="0.25"/>
    <row r="1149" ht="15.75" customHeight="1" x14ac:dyDescent="0.25"/>
    <row r="1150" ht="15.75" customHeight="1" x14ac:dyDescent="0.25"/>
    <row r="1151" ht="15.75" customHeight="1" x14ac:dyDescent="0.25"/>
    <row r="1152" ht="15.75" customHeight="1" x14ac:dyDescent="0.25"/>
    <row r="1153" ht="15.75" customHeight="1" x14ac:dyDescent="0.25"/>
    <row r="1154" ht="15.75" customHeight="1" x14ac:dyDescent="0.25"/>
    <row r="1155" ht="15.75" customHeight="1" x14ac:dyDescent="0.25"/>
    <row r="1156" ht="15.75" customHeight="1" x14ac:dyDescent="0.25"/>
    <row r="1157" ht="15.75" customHeight="1" x14ac:dyDescent="0.25"/>
    <row r="1158" ht="15.75" customHeight="1" x14ac:dyDescent="0.25"/>
    <row r="1159" ht="15.75" customHeight="1" x14ac:dyDescent="0.25"/>
    <row r="1160" ht="15.75" customHeight="1" x14ac:dyDescent="0.25"/>
    <row r="1161" ht="15.75" customHeight="1" x14ac:dyDescent="0.25"/>
    <row r="1162" ht="15.75" customHeight="1" x14ac:dyDescent="0.25"/>
    <row r="1163" ht="15.75" customHeight="1" x14ac:dyDescent="0.25"/>
    <row r="1164" ht="15.75" customHeight="1" x14ac:dyDescent="0.25"/>
    <row r="1165" ht="15.75" customHeight="1" x14ac:dyDescent="0.25"/>
    <row r="1166" ht="15.75" customHeight="1" x14ac:dyDescent="0.25"/>
    <row r="1167" ht="15.75" customHeight="1" x14ac:dyDescent="0.25"/>
    <row r="1168" ht="15.75" customHeight="1" x14ac:dyDescent="0.25"/>
    <row r="1169" ht="15.75" customHeight="1" x14ac:dyDescent="0.25"/>
    <row r="1170" ht="15.75" customHeight="1" x14ac:dyDescent="0.25"/>
    <row r="1171" ht="15.75" customHeight="1" x14ac:dyDescent="0.25"/>
    <row r="1172" ht="15.75" customHeight="1" x14ac:dyDescent="0.25"/>
    <row r="1173" ht="15.75" customHeight="1" x14ac:dyDescent="0.25"/>
    <row r="1174" ht="15.75" customHeight="1" x14ac:dyDescent="0.25"/>
    <row r="1175" ht="15.75" customHeight="1" x14ac:dyDescent="0.25"/>
    <row r="1176" ht="15.75" customHeight="1" x14ac:dyDescent="0.25"/>
    <row r="1177" ht="15.75" customHeight="1" x14ac:dyDescent="0.25"/>
    <row r="1178" ht="15.75" customHeight="1" x14ac:dyDescent="0.25"/>
    <row r="1179" ht="15.75" customHeight="1" x14ac:dyDescent="0.25"/>
    <row r="1180" ht="15.75" customHeight="1" x14ac:dyDescent="0.25"/>
    <row r="1181" ht="15.75" customHeight="1" x14ac:dyDescent="0.25"/>
    <row r="1182" ht="15.75" customHeight="1" x14ac:dyDescent="0.25"/>
    <row r="1183" ht="15.75" customHeight="1" x14ac:dyDescent="0.25"/>
    <row r="1184" ht="15.75" customHeight="1" x14ac:dyDescent="0.25"/>
    <row r="1185" ht="15.75" customHeight="1" x14ac:dyDescent="0.25"/>
    <row r="1186" ht="15.75" customHeight="1" x14ac:dyDescent="0.25"/>
    <row r="1187" ht="15.75" customHeight="1" x14ac:dyDescent="0.25"/>
    <row r="1188" ht="15.75" customHeight="1" x14ac:dyDescent="0.25"/>
    <row r="1189" ht="15.75" customHeight="1" x14ac:dyDescent="0.25"/>
    <row r="1190" ht="15.75" customHeight="1" x14ac:dyDescent="0.25"/>
    <row r="1191" ht="15.75" customHeight="1" x14ac:dyDescent="0.25"/>
    <row r="1192" ht="15.75" customHeight="1" x14ac:dyDescent="0.25"/>
    <row r="1193" ht="15.75" customHeight="1" x14ac:dyDescent="0.25"/>
    <row r="1194" ht="15.75" customHeight="1" x14ac:dyDescent="0.25"/>
    <row r="1195" ht="15.75" customHeight="1" x14ac:dyDescent="0.25"/>
    <row r="1196" ht="15.75" customHeight="1" x14ac:dyDescent="0.25"/>
    <row r="1197" ht="15.75" customHeight="1" x14ac:dyDescent="0.25"/>
    <row r="1198" ht="15.75" customHeight="1" x14ac:dyDescent="0.25"/>
    <row r="1199" ht="15.75" customHeight="1" x14ac:dyDescent="0.25"/>
    <row r="1200" ht="15.75" customHeight="1" x14ac:dyDescent="0.25"/>
    <row r="1201" ht="15.75" customHeight="1" x14ac:dyDescent="0.25"/>
    <row r="1202" ht="15.75" customHeight="1" x14ac:dyDescent="0.25"/>
    <row r="1203" ht="15.75" customHeight="1" x14ac:dyDescent="0.25"/>
    <row r="1204" ht="15.75" customHeight="1" x14ac:dyDescent="0.25"/>
    <row r="1205" ht="15.75" customHeight="1" x14ac:dyDescent="0.25"/>
    <row r="1206" ht="15.75" customHeight="1" x14ac:dyDescent="0.25"/>
    <row r="1207" ht="15.75" customHeight="1" x14ac:dyDescent="0.25"/>
    <row r="1208" ht="15.75" customHeight="1" x14ac:dyDescent="0.25"/>
    <row r="1209" ht="15.75" customHeight="1" x14ac:dyDescent="0.25"/>
    <row r="1210" ht="15.75" customHeight="1" x14ac:dyDescent="0.25"/>
    <row r="1211" ht="15.75" customHeight="1" x14ac:dyDescent="0.25"/>
    <row r="1212" ht="15.75" customHeight="1" x14ac:dyDescent="0.25"/>
    <row r="1213" ht="15.75" customHeight="1" x14ac:dyDescent="0.25"/>
    <row r="1214" ht="15.75" customHeight="1" x14ac:dyDescent="0.25"/>
    <row r="1215" ht="15.75" customHeight="1" x14ac:dyDescent="0.25"/>
    <row r="1216" ht="15.75" customHeight="1" x14ac:dyDescent="0.25"/>
    <row r="1217" ht="15.75" customHeight="1" x14ac:dyDescent="0.25"/>
    <row r="1218" ht="15.75" customHeight="1" x14ac:dyDescent="0.25"/>
    <row r="1219" ht="15.75" customHeight="1" x14ac:dyDescent="0.25"/>
    <row r="1220" ht="15.75" customHeight="1" x14ac:dyDescent="0.25"/>
    <row r="1221" ht="15.75" customHeight="1" x14ac:dyDescent="0.25"/>
    <row r="1222" ht="15.75" customHeight="1" x14ac:dyDescent="0.25"/>
    <row r="1223" ht="15.75" customHeight="1" x14ac:dyDescent="0.25"/>
    <row r="1224" ht="15.75" customHeight="1" x14ac:dyDescent="0.25"/>
    <row r="1225" ht="15.75" customHeight="1" x14ac:dyDescent="0.25"/>
    <row r="1226" ht="15.75" customHeight="1" x14ac:dyDescent="0.25"/>
    <row r="1227" ht="15.75" customHeight="1" x14ac:dyDescent="0.25"/>
    <row r="1228" ht="15.75" customHeight="1" x14ac:dyDescent="0.25"/>
    <row r="1229" ht="15.75" customHeight="1" x14ac:dyDescent="0.25"/>
    <row r="1230" ht="15.75" customHeight="1" x14ac:dyDescent="0.25"/>
    <row r="1231" ht="15.75" customHeight="1" x14ac:dyDescent="0.25"/>
    <row r="1232" ht="15.75" customHeight="1" x14ac:dyDescent="0.25"/>
    <row r="1233" ht="15.75" customHeight="1" x14ac:dyDescent="0.25"/>
    <row r="1234" ht="15.75" customHeight="1" x14ac:dyDescent="0.25"/>
    <row r="1235" ht="15.75" customHeight="1" x14ac:dyDescent="0.25"/>
    <row r="1236" ht="15.75" customHeight="1" x14ac:dyDescent="0.25"/>
    <row r="1237" ht="15.75" customHeight="1" x14ac:dyDescent="0.25"/>
    <row r="1238" ht="15.75" customHeight="1" x14ac:dyDescent="0.25"/>
    <row r="1239" ht="15.75" customHeight="1" x14ac:dyDescent="0.25"/>
    <row r="1240" ht="15.75" customHeight="1" x14ac:dyDescent="0.25"/>
    <row r="1241" ht="15.75" customHeight="1" x14ac:dyDescent="0.25"/>
    <row r="1242" ht="15.75" customHeight="1" x14ac:dyDescent="0.25"/>
    <row r="1243" ht="15.75" customHeight="1" x14ac:dyDescent="0.25"/>
    <row r="1244" ht="15.75" customHeight="1" x14ac:dyDescent="0.25"/>
    <row r="1245" ht="15.75" customHeight="1" x14ac:dyDescent="0.25"/>
    <row r="1246" ht="15.75" customHeight="1" x14ac:dyDescent="0.25"/>
    <row r="1247" ht="15.75" customHeight="1" x14ac:dyDescent="0.25"/>
    <row r="1248" ht="15.75" customHeight="1" x14ac:dyDescent="0.25"/>
    <row r="1249" ht="15.75" customHeight="1" x14ac:dyDescent="0.25"/>
    <row r="1250" ht="15.75" customHeight="1" x14ac:dyDescent="0.25"/>
    <row r="1251" ht="15.75" customHeight="1" x14ac:dyDescent="0.25"/>
    <row r="1252" ht="15.75" customHeight="1" x14ac:dyDescent="0.25"/>
    <row r="1253" ht="15.75" customHeight="1" x14ac:dyDescent="0.25"/>
    <row r="1254" ht="15.75" customHeight="1" x14ac:dyDescent="0.25"/>
    <row r="1255" ht="15.75" customHeight="1" x14ac:dyDescent="0.25"/>
    <row r="1256" ht="15.75" customHeight="1" x14ac:dyDescent="0.25"/>
    <row r="1257" ht="15.75" customHeight="1" x14ac:dyDescent="0.25"/>
    <row r="1258" ht="15.75" customHeight="1" x14ac:dyDescent="0.25"/>
    <row r="1259" ht="15.75" customHeight="1" x14ac:dyDescent="0.25"/>
    <row r="1260" ht="15.75" customHeight="1" x14ac:dyDescent="0.25"/>
    <row r="1261" ht="15.75" customHeight="1" x14ac:dyDescent="0.25"/>
    <row r="1262" ht="15.75" customHeight="1" x14ac:dyDescent="0.25"/>
    <row r="1263" ht="15.75" customHeight="1" x14ac:dyDescent="0.25"/>
    <row r="1264" ht="15.75" customHeight="1" x14ac:dyDescent="0.25"/>
    <row r="1265" ht="15.75" customHeight="1" x14ac:dyDescent="0.25"/>
    <row r="1266" ht="15.75" customHeight="1" x14ac:dyDescent="0.25"/>
    <row r="1267" ht="15.75" customHeight="1" x14ac:dyDescent="0.25"/>
    <row r="1268" ht="15.75" customHeight="1" x14ac:dyDescent="0.25"/>
    <row r="1269" ht="15.75" customHeight="1" x14ac:dyDescent="0.25"/>
    <row r="1270" ht="15.75" customHeight="1" x14ac:dyDescent="0.25"/>
    <row r="1271" ht="15.75" customHeight="1" x14ac:dyDescent="0.25"/>
    <row r="1272" ht="15.75" customHeight="1" x14ac:dyDescent="0.25"/>
    <row r="1273" ht="15.75" customHeight="1" x14ac:dyDescent="0.25"/>
    <row r="1274" ht="15.75" customHeight="1" x14ac:dyDescent="0.25"/>
    <row r="1275" ht="15.75" customHeight="1" x14ac:dyDescent="0.25"/>
    <row r="1276" ht="15.75" customHeight="1" x14ac:dyDescent="0.25"/>
    <row r="1277" ht="15.75" customHeight="1" x14ac:dyDescent="0.25"/>
    <row r="1278" ht="15.75" customHeight="1" x14ac:dyDescent="0.25"/>
    <row r="1279" ht="15.75" customHeight="1" x14ac:dyDescent="0.25"/>
    <row r="1280" ht="15.75" customHeight="1" x14ac:dyDescent="0.25"/>
    <row r="1281" ht="15.75" customHeight="1" x14ac:dyDescent="0.25"/>
    <row r="1282" ht="15.75" customHeight="1" x14ac:dyDescent="0.25"/>
    <row r="1283" ht="15.75" customHeight="1" x14ac:dyDescent="0.25"/>
    <row r="1284" ht="15.75" customHeight="1" x14ac:dyDescent="0.25"/>
    <row r="1285" ht="15.75" customHeight="1" x14ac:dyDescent="0.25"/>
    <row r="1286" ht="15.75" customHeight="1" x14ac:dyDescent="0.25"/>
    <row r="1287" ht="15.75" customHeight="1" x14ac:dyDescent="0.25"/>
    <row r="1288" ht="15.75" customHeight="1" x14ac:dyDescent="0.25"/>
    <row r="1289" ht="15.75" customHeight="1" x14ac:dyDescent="0.25"/>
    <row r="1290" ht="15.75" customHeight="1" x14ac:dyDescent="0.25"/>
    <row r="1291" ht="15.75" customHeight="1" x14ac:dyDescent="0.25"/>
    <row r="1292" ht="15.75" customHeight="1" x14ac:dyDescent="0.25"/>
    <row r="1293" ht="15.75" customHeight="1" x14ac:dyDescent="0.25"/>
    <row r="1294" ht="15.75" customHeight="1" x14ac:dyDescent="0.25"/>
    <row r="1295" ht="15.75" customHeight="1" x14ac:dyDescent="0.25"/>
    <row r="1296" ht="15.75" customHeight="1" x14ac:dyDescent="0.25"/>
    <row r="1297" ht="15.75" customHeight="1" x14ac:dyDescent="0.25"/>
    <row r="1298" ht="15.75" customHeight="1" x14ac:dyDescent="0.25"/>
    <row r="1299" ht="15.75" customHeight="1" x14ac:dyDescent="0.25"/>
    <row r="1300" ht="15.75" customHeight="1" x14ac:dyDescent="0.25"/>
    <row r="1301" ht="15.75" customHeight="1" x14ac:dyDescent="0.25"/>
    <row r="1302" ht="15.75" customHeight="1" x14ac:dyDescent="0.25"/>
    <row r="1303" ht="15.75" customHeight="1" x14ac:dyDescent="0.25"/>
    <row r="1304" ht="15.75" customHeight="1" x14ac:dyDescent="0.25"/>
    <row r="1305" ht="15.75" customHeight="1" x14ac:dyDescent="0.25"/>
    <row r="1306" ht="15.75" customHeight="1" x14ac:dyDescent="0.25"/>
    <row r="1307" ht="15.75" customHeight="1" x14ac:dyDescent="0.25"/>
    <row r="1308" ht="15.75" customHeight="1" x14ac:dyDescent="0.25"/>
    <row r="1309" ht="15.75" customHeight="1" x14ac:dyDescent="0.25"/>
    <row r="1310" ht="15.75" customHeight="1" x14ac:dyDescent="0.25"/>
    <row r="1311" ht="15.75" customHeight="1" x14ac:dyDescent="0.25"/>
    <row r="1312" ht="15.75" customHeight="1" x14ac:dyDescent="0.25"/>
    <row r="1313" ht="15.75" customHeight="1" x14ac:dyDescent="0.25"/>
    <row r="1314" ht="15.75" customHeight="1" x14ac:dyDescent="0.25"/>
    <row r="1315" ht="15.75" customHeight="1" x14ac:dyDescent="0.25"/>
    <row r="1316" ht="15.75" customHeight="1" x14ac:dyDescent="0.25"/>
    <row r="1317" ht="15.75" customHeight="1" x14ac:dyDescent="0.25"/>
    <row r="1318" ht="15.75" customHeight="1" x14ac:dyDescent="0.25"/>
    <row r="1319" ht="15.75" customHeight="1" x14ac:dyDescent="0.25"/>
    <row r="1320" ht="15.75" customHeight="1" x14ac:dyDescent="0.25"/>
    <row r="1321" ht="15.75" customHeight="1" x14ac:dyDescent="0.25"/>
    <row r="1322" ht="15.75" customHeight="1" x14ac:dyDescent="0.25"/>
    <row r="1323" ht="15.75" customHeight="1" x14ac:dyDescent="0.25"/>
    <row r="1324" ht="15.75" customHeight="1" x14ac:dyDescent="0.25"/>
    <row r="1325" ht="15.75" customHeight="1" x14ac:dyDescent="0.25"/>
    <row r="1326" ht="15.75" customHeight="1" x14ac:dyDescent="0.25"/>
    <row r="1327" ht="15.75" customHeight="1" x14ac:dyDescent="0.25"/>
    <row r="1328" ht="15.75" customHeight="1" x14ac:dyDescent="0.25"/>
    <row r="1329" ht="15.75" customHeight="1" x14ac:dyDescent="0.25"/>
    <row r="1330" ht="15.75" customHeight="1" x14ac:dyDescent="0.25"/>
    <row r="1331" ht="15.75" customHeight="1" x14ac:dyDescent="0.25"/>
    <row r="1332" ht="15.75" customHeight="1" x14ac:dyDescent="0.25"/>
    <row r="1333" ht="15.75" customHeight="1" x14ac:dyDescent="0.25"/>
    <row r="1334" ht="15.75" customHeight="1" x14ac:dyDescent="0.25"/>
    <row r="1335" ht="15.75" customHeight="1" x14ac:dyDescent="0.25"/>
    <row r="1336" ht="15.75" customHeight="1" x14ac:dyDescent="0.25"/>
    <row r="1337" ht="15.75" customHeight="1" x14ac:dyDescent="0.25"/>
    <row r="1338" ht="15.75" customHeight="1" x14ac:dyDescent="0.25"/>
    <row r="1339" ht="15.75" customHeight="1" x14ac:dyDescent="0.25"/>
    <row r="1340" ht="15.75" customHeight="1" x14ac:dyDescent="0.25"/>
    <row r="1341" ht="15.75" customHeight="1" x14ac:dyDescent="0.25"/>
    <row r="1342" ht="15.75" customHeight="1" x14ac:dyDescent="0.25"/>
    <row r="1343" ht="15.75" customHeight="1" x14ac:dyDescent="0.25"/>
    <row r="1344" ht="15.75" customHeight="1" x14ac:dyDescent="0.25"/>
    <row r="1345" ht="15.75" customHeight="1" x14ac:dyDescent="0.25"/>
    <row r="1346" ht="15.75" customHeight="1" x14ac:dyDescent="0.25"/>
    <row r="1347" ht="15.75" customHeight="1" x14ac:dyDescent="0.25"/>
    <row r="1348" ht="15.75" customHeight="1" x14ac:dyDescent="0.25"/>
    <row r="1349" ht="15.75" customHeight="1" x14ac:dyDescent="0.25"/>
    <row r="1350" ht="15.75" customHeight="1" x14ac:dyDescent="0.25"/>
    <row r="1351" ht="15.75" customHeight="1" x14ac:dyDescent="0.25"/>
    <row r="1352" ht="15.75" customHeight="1" x14ac:dyDescent="0.25"/>
    <row r="1353" ht="15.75" customHeight="1" x14ac:dyDescent="0.25"/>
    <row r="1354" ht="15.75" customHeight="1" x14ac:dyDescent="0.25"/>
    <row r="1355" ht="15.75" customHeight="1" x14ac:dyDescent="0.25"/>
    <row r="1356" ht="15.75" customHeight="1" x14ac:dyDescent="0.25"/>
    <row r="1357" ht="15.75" customHeight="1" x14ac:dyDescent="0.25"/>
    <row r="1358" ht="15.75" customHeight="1" x14ac:dyDescent="0.25"/>
    <row r="1359" ht="15.75" customHeight="1" x14ac:dyDescent="0.25"/>
    <row r="1360" ht="15.75" customHeight="1" x14ac:dyDescent="0.25"/>
    <row r="1361" ht="15.75" customHeight="1" x14ac:dyDescent="0.25"/>
    <row r="1362" ht="15.75" customHeight="1" x14ac:dyDescent="0.25"/>
    <row r="1363" ht="15.75" customHeight="1" x14ac:dyDescent="0.25"/>
    <row r="1364" ht="15.75" customHeight="1" x14ac:dyDescent="0.25"/>
    <row r="1365" ht="15.75" customHeight="1" x14ac:dyDescent="0.25"/>
    <row r="1366" ht="15.75" customHeight="1" x14ac:dyDescent="0.25"/>
    <row r="1367" ht="15.75" customHeight="1" x14ac:dyDescent="0.25"/>
    <row r="1368" ht="15.75" customHeight="1" x14ac:dyDescent="0.25"/>
    <row r="1369" ht="15.75" customHeight="1" x14ac:dyDescent="0.25"/>
    <row r="1370" ht="15.75" customHeight="1" x14ac:dyDescent="0.25"/>
    <row r="1371" ht="15.75" customHeight="1" x14ac:dyDescent="0.25"/>
    <row r="1372" ht="15.75" customHeight="1" x14ac:dyDescent="0.25"/>
    <row r="1373" ht="15.75" customHeight="1" x14ac:dyDescent="0.25"/>
    <row r="1374" ht="15.75" customHeight="1" x14ac:dyDescent="0.25"/>
    <row r="1375" ht="15.75" customHeight="1" x14ac:dyDescent="0.25"/>
    <row r="1376" ht="15.75" customHeight="1" x14ac:dyDescent="0.25"/>
    <row r="1377" ht="15.75" customHeight="1" x14ac:dyDescent="0.25"/>
    <row r="1378" ht="15.75" customHeight="1" x14ac:dyDescent="0.25"/>
    <row r="1379" ht="15.75" customHeight="1" x14ac:dyDescent="0.25"/>
    <row r="1380" ht="15.75" customHeight="1" x14ac:dyDescent="0.25"/>
    <row r="1381" ht="15.75" customHeight="1" x14ac:dyDescent="0.25"/>
    <row r="1382" ht="15.75" customHeight="1" x14ac:dyDescent="0.25"/>
    <row r="1383" ht="15.75" customHeight="1" x14ac:dyDescent="0.25"/>
    <row r="1384" ht="15.75" customHeight="1" x14ac:dyDescent="0.25"/>
    <row r="1385" ht="15.75" customHeight="1" x14ac:dyDescent="0.25"/>
    <row r="1386" ht="15.75" customHeight="1" x14ac:dyDescent="0.25"/>
    <row r="1387" ht="15.75" customHeight="1" x14ac:dyDescent="0.25"/>
    <row r="1388" ht="15.75" customHeight="1" x14ac:dyDescent="0.25"/>
    <row r="1389" ht="15.75" customHeight="1" x14ac:dyDescent="0.25"/>
    <row r="1390" ht="15.75" customHeight="1" x14ac:dyDescent="0.25"/>
    <row r="1391" ht="15.75" customHeight="1" x14ac:dyDescent="0.25"/>
    <row r="1392" ht="15.75" customHeight="1" x14ac:dyDescent="0.25"/>
    <row r="1393" ht="15.75" customHeight="1" x14ac:dyDescent="0.25"/>
    <row r="1394" ht="15.75" customHeight="1" x14ac:dyDescent="0.25"/>
    <row r="1395" ht="15.75" customHeight="1" x14ac:dyDescent="0.25"/>
    <row r="1396" ht="15.75" customHeight="1" x14ac:dyDescent="0.25"/>
    <row r="1397" ht="15.75" customHeight="1" x14ac:dyDescent="0.25"/>
    <row r="1398" ht="15.75" customHeight="1" x14ac:dyDescent="0.25"/>
    <row r="1399" ht="15.75" customHeight="1" x14ac:dyDescent="0.25"/>
    <row r="1400" ht="15.75" customHeight="1" x14ac:dyDescent="0.25"/>
    <row r="1401" ht="15.75" customHeight="1" x14ac:dyDescent="0.25"/>
    <row r="1402" ht="15.75" customHeight="1" x14ac:dyDescent="0.25"/>
    <row r="1403" ht="15.75" customHeight="1" x14ac:dyDescent="0.25"/>
    <row r="1404" ht="15.75" customHeight="1" x14ac:dyDescent="0.25"/>
    <row r="1405" ht="15.75" customHeight="1" x14ac:dyDescent="0.25"/>
    <row r="1406" ht="15.75" customHeight="1" x14ac:dyDescent="0.25"/>
    <row r="1407" ht="15.75" customHeight="1" x14ac:dyDescent="0.25"/>
    <row r="1408" ht="15.75" customHeight="1" x14ac:dyDescent="0.25"/>
    <row r="1409" ht="15.75" customHeight="1" x14ac:dyDescent="0.25"/>
    <row r="1410" ht="15.75" customHeight="1" x14ac:dyDescent="0.25"/>
    <row r="1411" ht="15.75" customHeight="1" x14ac:dyDescent="0.25"/>
    <row r="1412" ht="15.75" customHeight="1" x14ac:dyDescent="0.25"/>
    <row r="1413" ht="15.75" customHeight="1" x14ac:dyDescent="0.25"/>
    <row r="1414" ht="15.75" customHeight="1" x14ac:dyDescent="0.25"/>
    <row r="1415" ht="15.75" customHeight="1" x14ac:dyDescent="0.25"/>
    <row r="1416" ht="15.75" customHeight="1" x14ac:dyDescent="0.25"/>
    <row r="1417" ht="15.75" customHeight="1" x14ac:dyDescent="0.25"/>
    <row r="1418" ht="15.75" customHeight="1" x14ac:dyDescent="0.25"/>
    <row r="1419" ht="15.75" customHeight="1" x14ac:dyDescent="0.25"/>
    <row r="1420" ht="15.75" customHeight="1" x14ac:dyDescent="0.25"/>
    <row r="1421" ht="15.75" customHeight="1" x14ac:dyDescent="0.25"/>
    <row r="1422" ht="15.75" customHeight="1" x14ac:dyDescent="0.25"/>
    <row r="1423" ht="15.75" customHeight="1" x14ac:dyDescent="0.25"/>
    <row r="1424" ht="15.75" customHeight="1" x14ac:dyDescent="0.25"/>
    <row r="1425" ht="15.75" customHeight="1" x14ac:dyDescent="0.25"/>
    <row r="1426" ht="15.75" customHeight="1" x14ac:dyDescent="0.25"/>
    <row r="1427" ht="15.75" customHeight="1" x14ac:dyDescent="0.25"/>
    <row r="1428" ht="15.75" customHeight="1" x14ac:dyDescent="0.25"/>
    <row r="1429" ht="15.75" customHeight="1" x14ac:dyDescent="0.25"/>
    <row r="1430" ht="15.75" customHeight="1" x14ac:dyDescent="0.25"/>
    <row r="1431" ht="15.75" customHeight="1" x14ac:dyDescent="0.25"/>
    <row r="1432" ht="15.75" customHeight="1" x14ac:dyDescent="0.25"/>
    <row r="1433" ht="15.75" customHeight="1" x14ac:dyDescent="0.25"/>
    <row r="1434" ht="15.75" customHeight="1" x14ac:dyDescent="0.25"/>
    <row r="1435" ht="15.75" customHeight="1" x14ac:dyDescent="0.25"/>
    <row r="1436" ht="15.75" customHeight="1" x14ac:dyDescent="0.25"/>
    <row r="1437" ht="15.75" customHeight="1" x14ac:dyDescent="0.25"/>
    <row r="1438" ht="15.75" customHeight="1" x14ac:dyDescent="0.25"/>
    <row r="1439" ht="15.75" customHeight="1" x14ac:dyDescent="0.25"/>
    <row r="1440" ht="15.75" customHeight="1" x14ac:dyDescent="0.25"/>
    <row r="1441" ht="15.75" customHeight="1" x14ac:dyDescent="0.25"/>
    <row r="1442" ht="15.75" customHeight="1" x14ac:dyDescent="0.25"/>
    <row r="1443" ht="15.75" customHeight="1" x14ac:dyDescent="0.25"/>
    <row r="1444" ht="15.75" customHeight="1" x14ac:dyDescent="0.25"/>
    <row r="1445" ht="15.75" customHeight="1" x14ac:dyDescent="0.25"/>
    <row r="1446" ht="15.75" customHeight="1" x14ac:dyDescent="0.25"/>
    <row r="1447" ht="15.75" customHeight="1" x14ac:dyDescent="0.25"/>
    <row r="1448" ht="15.75" customHeight="1" x14ac:dyDescent="0.25"/>
    <row r="1449" ht="15.75" customHeight="1" x14ac:dyDescent="0.25"/>
    <row r="1450" ht="15.75" customHeight="1" x14ac:dyDescent="0.25"/>
    <row r="1451" ht="15.75" customHeight="1" x14ac:dyDescent="0.25"/>
    <row r="1452" ht="15.75" customHeight="1" x14ac:dyDescent="0.25"/>
    <row r="1453" ht="15.75" customHeight="1" x14ac:dyDescent="0.25"/>
    <row r="1454" ht="15.75" customHeight="1" x14ac:dyDescent="0.25"/>
    <row r="1455" ht="15.75" customHeight="1" x14ac:dyDescent="0.25"/>
    <row r="1456" ht="15.75" customHeight="1" x14ac:dyDescent="0.25"/>
    <row r="1457" ht="15.75" customHeight="1" x14ac:dyDescent="0.25"/>
    <row r="1458" ht="15.75" customHeight="1" x14ac:dyDescent="0.25"/>
    <row r="1459" ht="15.75" customHeight="1" x14ac:dyDescent="0.25"/>
    <row r="1460" ht="15.75" customHeight="1" x14ac:dyDescent="0.25"/>
    <row r="1461" ht="15.75" customHeight="1" x14ac:dyDescent="0.25"/>
    <row r="1462" ht="15.75" customHeight="1" x14ac:dyDescent="0.25"/>
    <row r="1463" ht="15.75" customHeight="1" x14ac:dyDescent="0.25"/>
    <row r="1464" ht="15.75" customHeight="1" x14ac:dyDescent="0.25"/>
    <row r="1465" ht="15.75" customHeight="1" x14ac:dyDescent="0.25"/>
    <row r="1466" ht="15.75" customHeight="1" x14ac:dyDescent="0.25"/>
    <row r="1467" ht="15.75" customHeight="1" x14ac:dyDescent="0.25"/>
    <row r="1468" ht="15.75" customHeight="1" x14ac:dyDescent="0.25"/>
    <row r="1469" ht="15.75" customHeight="1" x14ac:dyDescent="0.25"/>
    <row r="1470" ht="15.75" customHeight="1" x14ac:dyDescent="0.25"/>
    <row r="1471" ht="15.75" customHeight="1" x14ac:dyDescent="0.25"/>
    <row r="1472" ht="15.75" customHeight="1" x14ac:dyDescent="0.25"/>
    <row r="1473" ht="15.75" customHeight="1" x14ac:dyDescent="0.25"/>
    <row r="1474" ht="15.75" customHeight="1" x14ac:dyDescent="0.25"/>
    <row r="1475" ht="15.75" customHeight="1" x14ac:dyDescent="0.25"/>
    <row r="1476" ht="15.75" customHeight="1" x14ac:dyDescent="0.25"/>
    <row r="1477" ht="15.75" customHeight="1" x14ac:dyDescent="0.25"/>
    <row r="1478" ht="15.75" customHeight="1" x14ac:dyDescent="0.25"/>
    <row r="1479" ht="15.75" customHeight="1" x14ac:dyDescent="0.25"/>
    <row r="1480" ht="15.75" customHeight="1" x14ac:dyDescent="0.25"/>
    <row r="1481" ht="15.75" customHeight="1" x14ac:dyDescent="0.25"/>
    <row r="1482" ht="15.75" customHeight="1" x14ac:dyDescent="0.25"/>
    <row r="1483" ht="15.75" customHeight="1" x14ac:dyDescent="0.25"/>
    <row r="1484" ht="15.75" customHeight="1" x14ac:dyDescent="0.25"/>
    <row r="1485" ht="15.75" customHeight="1" x14ac:dyDescent="0.25"/>
    <row r="1486" ht="15.75" customHeight="1" x14ac:dyDescent="0.25"/>
    <row r="1487" ht="15.75" customHeight="1" x14ac:dyDescent="0.25"/>
    <row r="1488" ht="15.75" customHeight="1" x14ac:dyDescent="0.25"/>
    <row r="1489" ht="15.75" customHeight="1" x14ac:dyDescent="0.25"/>
    <row r="1490" ht="15.75" customHeight="1" x14ac:dyDescent="0.25"/>
    <row r="1491" ht="15.75" customHeight="1" x14ac:dyDescent="0.25"/>
    <row r="1492" ht="15.75" customHeight="1" x14ac:dyDescent="0.25"/>
    <row r="1493" ht="15.75" customHeight="1" x14ac:dyDescent="0.25"/>
    <row r="1494" ht="15.75" customHeight="1" x14ac:dyDescent="0.25"/>
    <row r="1495" ht="15.75" customHeight="1" x14ac:dyDescent="0.25"/>
    <row r="1496" ht="15.75" customHeight="1" x14ac:dyDescent="0.25"/>
    <row r="1497" ht="15.75" customHeight="1" x14ac:dyDescent="0.25"/>
    <row r="1498" ht="15.75" customHeight="1" x14ac:dyDescent="0.25"/>
    <row r="1499" ht="15.75" customHeight="1" x14ac:dyDescent="0.25"/>
    <row r="1500" ht="15.75" customHeight="1" x14ac:dyDescent="0.25"/>
    <row r="1501" ht="15.75" customHeight="1" x14ac:dyDescent="0.25"/>
    <row r="1502" ht="15.75" customHeight="1" x14ac:dyDescent="0.25"/>
    <row r="1503" ht="15.75" customHeight="1" x14ac:dyDescent="0.25"/>
    <row r="1504" ht="15.75" customHeight="1" x14ac:dyDescent="0.25"/>
    <row r="1505" ht="15.75" customHeight="1" x14ac:dyDescent="0.25"/>
    <row r="1506" ht="15.75" customHeight="1" x14ac:dyDescent="0.25"/>
    <row r="1507" ht="15.75" customHeight="1" x14ac:dyDescent="0.25"/>
    <row r="1508" ht="15.75" customHeight="1" x14ac:dyDescent="0.25"/>
    <row r="1509" ht="15.75" customHeight="1" x14ac:dyDescent="0.25"/>
    <row r="1510" ht="15.75" customHeight="1" x14ac:dyDescent="0.25"/>
    <row r="1511" ht="15.75" customHeight="1" x14ac:dyDescent="0.25"/>
    <row r="1512" ht="15.75" customHeight="1" x14ac:dyDescent="0.25"/>
    <row r="1513" ht="15.75" customHeight="1" x14ac:dyDescent="0.25"/>
    <row r="1514" ht="15.75" customHeight="1" x14ac:dyDescent="0.25"/>
    <row r="1515" ht="15.75" customHeight="1" x14ac:dyDescent="0.25"/>
    <row r="1516" ht="15.75" customHeight="1" x14ac:dyDescent="0.25"/>
    <row r="1517" ht="15.75" customHeight="1" x14ac:dyDescent="0.25"/>
    <row r="1518" ht="15.75" customHeight="1" x14ac:dyDescent="0.25"/>
    <row r="1519" ht="15.75" customHeight="1" x14ac:dyDescent="0.25"/>
    <row r="1520" ht="15.75" customHeight="1" x14ac:dyDescent="0.25"/>
    <row r="1521" ht="15.75" customHeight="1" x14ac:dyDescent="0.25"/>
    <row r="1522" ht="15.75" customHeight="1" x14ac:dyDescent="0.25"/>
    <row r="1523" ht="15.75" customHeight="1" x14ac:dyDescent="0.25"/>
    <row r="1524" ht="15.75" customHeight="1" x14ac:dyDescent="0.25"/>
    <row r="1525" ht="15.75" customHeight="1" x14ac:dyDescent="0.25"/>
    <row r="1526" ht="15.75" customHeight="1" x14ac:dyDescent="0.25"/>
    <row r="1527" ht="15.75" customHeight="1" x14ac:dyDescent="0.25"/>
    <row r="1528" ht="15.75" customHeight="1" x14ac:dyDescent="0.25"/>
    <row r="1529" ht="15.75" customHeight="1" x14ac:dyDescent="0.25"/>
    <row r="1530" ht="15.75" customHeight="1" x14ac:dyDescent="0.25"/>
    <row r="1531" ht="15.75" customHeight="1" x14ac:dyDescent="0.25"/>
    <row r="1532" ht="15.75" customHeight="1" x14ac:dyDescent="0.25"/>
    <row r="1533" ht="15.75" customHeight="1" x14ac:dyDescent="0.25"/>
    <row r="1534" ht="15.75" customHeight="1" x14ac:dyDescent="0.25"/>
    <row r="1535" ht="15.75" customHeight="1" x14ac:dyDescent="0.25"/>
    <row r="1536" ht="15.75" customHeight="1" x14ac:dyDescent="0.25"/>
    <row r="1537" ht="15.75" customHeight="1" x14ac:dyDescent="0.25"/>
    <row r="1538" ht="15.75" customHeight="1" x14ac:dyDescent="0.25"/>
    <row r="1539" ht="15.75" customHeight="1" x14ac:dyDescent="0.25"/>
    <row r="1540" ht="15.75" customHeight="1" x14ac:dyDescent="0.25"/>
    <row r="1541" ht="15.75" customHeight="1" x14ac:dyDescent="0.25"/>
    <row r="1542" ht="15.75" customHeight="1" x14ac:dyDescent="0.25"/>
    <row r="1543" ht="15.75" customHeight="1" x14ac:dyDescent="0.25"/>
    <row r="1544" ht="15.75" customHeight="1" x14ac:dyDescent="0.25"/>
    <row r="1545" ht="15.75" customHeight="1" x14ac:dyDescent="0.25"/>
    <row r="1546" ht="15.75" customHeight="1" x14ac:dyDescent="0.25"/>
    <row r="1547" ht="15.75" customHeight="1" x14ac:dyDescent="0.25"/>
    <row r="1548" ht="15.75" customHeight="1" x14ac:dyDescent="0.25"/>
    <row r="1549" ht="15.75" customHeight="1" x14ac:dyDescent="0.25"/>
    <row r="1550" ht="15.75" customHeight="1" x14ac:dyDescent="0.25"/>
    <row r="1551" ht="15.75" customHeight="1" x14ac:dyDescent="0.25"/>
    <row r="1552" ht="15.75" customHeight="1" x14ac:dyDescent="0.25"/>
    <row r="1553" ht="15.75" customHeight="1" x14ac:dyDescent="0.25"/>
    <row r="1554" ht="15.75" customHeight="1" x14ac:dyDescent="0.25"/>
    <row r="1555" ht="15.75" customHeight="1" x14ac:dyDescent="0.25"/>
    <row r="1556" ht="15.75" customHeight="1" x14ac:dyDescent="0.25"/>
    <row r="1557" ht="15.75" customHeight="1" x14ac:dyDescent="0.25"/>
    <row r="1558" ht="15.75" customHeight="1" x14ac:dyDescent="0.25"/>
    <row r="1559" ht="15.75" customHeight="1" x14ac:dyDescent="0.25"/>
    <row r="1560" ht="15.75" customHeight="1" x14ac:dyDescent="0.25"/>
    <row r="1561" ht="15.75" customHeight="1" x14ac:dyDescent="0.25"/>
    <row r="1562" ht="15.75" customHeight="1" x14ac:dyDescent="0.25"/>
    <row r="1563" ht="15.75" customHeight="1" x14ac:dyDescent="0.25"/>
    <row r="1564" ht="15.75" customHeight="1" x14ac:dyDescent="0.25"/>
    <row r="1565" ht="15.75" customHeight="1" x14ac:dyDescent="0.25"/>
    <row r="1566" ht="15.75" customHeight="1" x14ac:dyDescent="0.25"/>
    <row r="1567" ht="15.75" customHeight="1" x14ac:dyDescent="0.25"/>
    <row r="1568" ht="15.75" customHeight="1" x14ac:dyDescent="0.25"/>
    <row r="1569" ht="15.75" customHeight="1" x14ac:dyDescent="0.25"/>
    <row r="1570" ht="15.75" customHeight="1" x14ac:dyDescent="0.25"/>
    <row r="1571" ht="15.75" customHeight="1" x14ac:dyDescent="0.25"/>
    <row r="1572" ht="15.75" customHeight="1" x14ac:dyDescent="0.25"/>
    <row r="1573" ht="15.75" customHeight="1" x14ac:dyDescent="0.25"/>
    <row r="1574" ht="15.75" customHeight="1" x14ac:dyDescent="0.25"/>
    <row r="1575" ht="15.75" customHeight="1" x14ac:dyDescent="0.25"/>
    <row r="1576" ht="15.75" customHeight="1" x14ac:dyDescent="0.25"/>
    <row r="1577" ht="15.75" customHeight="1" x14ac:dyDescent="0.25"/>
    <row r="1578" ht="15.75" customHeight="1" x14ac:dyDescent="0.25"/>
    <row r="1579" ht="15.75" customHeight="1" x14ac:dyDescent="0.25"/>
    <row r="1580" ht="15.75" customHeight="1" x14ac:dyDescent="0.25"/>
    <row r="1581" ht="15.75" customHeight="1" x14ac:dyDescent="0.25"/>
    <row r="1582" ht="15.75" customHeight="1" x14ac:dyDescent="0.25"/>
    <row r="1583" ht="15.75" customHeight="1" x14ac:dyDescent="0.25"/>
    <row r="1584" ht="15.75" customHeight="1" x14ac:dyDescent="0.25"/>
    <row r="1585" ht="15.75" customHeight="1" x14ac:dyDescent="0.25"/>
    <row r="1586" ht="15.75" customHeight="1" x14ac:dyDescent="0.25"/>
    <row r="1587" ht="15.75" customHeight="1" x14ac:dyDescent="0.25"/>
    <row r="1588" ht="15.75" customHeight="1" x14ac:dyDescent="0.25"/>
    <row r="1589" ht="15.75" customHeight="1" x14ac:dyDescent="0.25"/>
    <row r="1590" ht="15.75" customHeight="1" x14ac:dyDescent="0.25"/>
    <row r="1591" ht="15.75" customHeight="1" x14ac:dyDescent="0.25"/>
    <row r="1592" ht="15.75" customHeight="1" x14ac:dyDescent="0.25"/>
    <row r="1593" ht="15.75" customHeight="1" x14ac:dyDescent="0.25"/>
    <row r="1594" ht="15.75" customHeight="1" x14ac:dyDescent="0.25"/>
    <row r="1595" ht="15.75" customHeight="1" x14ac:dyDescent="0.25"/>
    <row r="1596" ht="15.75" customHeight="1" x14ac:dyDescent="0.25"/>
    <row r="1597" ht="15.75" customHeight="1" x14ac:dyDescent="0.25"/>
    <row r="1598" ht="15.75" customHeight="1" x14ac:dyDescent="0.25"/>
    <row r="1599" ht="15.75" customHeight="1" x14ac:dyDescent="0.25"/>
    <row r="1600" ht="15.75" customHeight="1" x14ac:dyDescent="0.25"/>
    <row r="1601" ht="15.75" customHeight="1" x14ac:dyDescent="0.25"/>
    <row r="1602" ht="15.75" customHeight="1" x14ac:dyDescent="0.25"/>
    <row r="1603" ht="15.75" customHeight="1" x14ac:dyDescent="0.25"/>
    <row r="1604" ht="15.75" customHeight="1" x14ac:dyDescent="0.25"/>
    <row r="1605" ht="15.75" customHeight="1" x14ac:dyDescent="0.25"/>
    <row r="1606" ht="15.75" customHeight="1" x14ac:dyDescent="0.25"/>
    <row r="1607" ht="15.75" customHeight="1" x14ac:dyDescent="0.25"/>
    <row r="1608" ht="15.75" customHeight="1" x14ac:dyDescent="0.25"/>
    <row r="1609" ht="15.75" customHeight="1" x14ac:dyDescent="0.25"/>
    <row r="1610" ht="15.75" customHeight="1" x14ac:dyDescent="0.25"/>
    <row r="1611" ht="15.75" customHeight="1" x14ac:dyDescent="0.25"/>
    <row r="1612" ht="15.75" customHeight="1" x14ac:dyDescent="0.25"/>
    <row r="1613" ht="15.75" customHeight="1" x14ac:dyDescent="0.25"/>
    <row r="1614" ht="15.75" customHeight="1" x14ac:dyDescent="0.25"/>
    <row r="1615" ht="15.75" customHeight="1" x14ac:dyDescent="0.25"/>
    <row r="1616" ht="15.75" customHeight="1" x14ac:dyDescent="0.25"/>
    <row r="1617" ht="15.75" customHeight="1" x14ac:dyDescent="0.25"/>
    <row r="1618" ht="15.75" customHeight="1" x14ac:dyDescent="0.25"/>
    <row r="1619" ht="15.75" customHeight="1" x14ac:dyDescent="0.25"/>
    <row r="1620" ht="15.75" customHeight="1" x14ac:dyDescent="0.25"/>
    <row r="1621" ht="15.75" customHeight="1" x14ac:dyDescent="0.25"/>
    <row r="1622" ht="15.75" customHeight="1" x14ac:dyDescent="0.25"/>
    <row r="1623" ht="15.75" customHeight="1" x14ac:dyDescent="0.25"/>
    <row r="1624" ht="15.75" customHeight="1" x14ac:dyDescent="0.25"/>
    <row r="1625" ht="15.75" customHeight="1" x14ac:dyDescent="0.25"/>
    <row r="1626" ht="15.75" customHeight="1" x14ac:dyDescent="0.25"/>
    <row r="1627" ht="15.75" customHeight="1" x14ac:dyDescent="0.25"/>
    <row r="1628" ht="15.75" customHeight="1" x14ac:dyDescent="0.25"/>
    <row r="1629" ht="15.75" customHeight="1" x14ac:dyDescent="0.25"/>
    <row r="1630" ht="15.75" customHeight="1" x14ac:dyDescent="0.25"/>
    <row r="1631" ht="15.75" customHeight="1" x14ac:dyDescent="0.25"/>
    <row r="1632" ht="15.75" customHeight="1" x14ac:dyDescent="0.25"/>
    <row r="1633" ht="15.75" customHeight="1" x14ac:dyDescent="0.25"/>
    <row r="1634" ht="15.75" customHeight="1" x14ac:dyDescent="0.25"/>
    <row r="1635" ht="15.75" customHeight="1" x14ac:dyDescent="0.25"/>
    <row r="1636" ht="15.75" customHeight="1" x14ac:dyDescent="0.25"/>
    <row r="1637" ht="15.75" customHeight="1" x14ac:dyDescent="0.25"/>
    <row r="1638" ht="15.75" customHeight="1" x14ac:dyDescent="0.25"/>
    <row r="1639" ht="15.75" customHeight="1" x14ac:dyDescent="0.25"/>
    <row r="1640" ht="15.75" customHeight="1" x14ac:dyDescent="0.25"/>
    <row r="1641" ht="15.75" customHeight="1" x14ac:dyDescent="0.25"/>
    <row r="1642" ht="15.75" customHeight="1" x14ac:dyDescent="0.25"/>
    <row r="1643" ht="15.75" customHeight="1" x14ac:dyDescent="0.25"/>
    <row r="1644" ht="15.75" customHeight="1" x14ac:dyDescent="0.25"/>
    <row r="1645" ht="15.75" customHeight="1" x14ac:dyDescent="0.25"/>
    <row r="1646" ht="15.75" customHeight="1" x14ac:dyDescent="0.25"/>
    <row r="1647" ht="15.75" customHeight="1" x14ac:dyDescent="0.25"/>
    <row r="1648" ht="15.75" customHeight="1" x14ac:dyDescent="0.25"/>
    <row r="1649" ht="15.75" customHeight="1" x14ac:dyDescent="0.25"/>
    <row r="1650" ht="15.75" customHeight="1" x14ac:dyDescent="0.25"/>
    <row r="1651" ht="15.75" customHeight="1" x14ac:dyDescent="0.25"/>
    <row r="1652" ht="15.75" customHeight="1" x14ac:dyDescent="0.25"/>
    <row r="1653" ht="15.75" customHeight="1" x14ac:dyDescent="0.25"/>
    <row r="1654" ht="15.75" customHeight="1" x14ac:dyDescent="0.25"/>
    <row r="1655" ht="15.75" customHeight="1" x14ac:dyDescent="0.25"/>
    <row r="1656" ht="15.75" customHeight="1" x14ac:dyDescent="0.25"/>
    <row r="1657" ht="15.75" customHeight="1" x14ac:dyDescent="0.25"/>
    <row r="1658" ht="15.75" customHeight="1" x14ac:dyDescent="0.25"/>
    <row r="1659" ht="15.75" customHeight="1" x14ac:dyDescent="0.25"/>
    <row r="1660" ht="15.75" customHeight="1" x14ac:dyDescent="0.25"/>
    <row r="1661" ht="15.75" customHeight="1" x14ac:dyDescent="0.25"/>
    <row r="1662" ht="15.75" customHeight="1" x14ac:dyDescent="0.25"/>
    <row r="1663" ht="15.75" customHeight="1" x14ac:dyDescent="0.25"/>
    <row r="1664" ht="15.75" customHeight="1" x14ac:dyDescent="0.25"/>
    <row r="1665" ht="15.75" customHeight="1" x14ac:dyDescent="0.25"/>
    <row r="1666" ht="15.75" customHeight="1" x14ac:dyDescent="0.25"/>
    <row r="1667" ht="15.75" customHeight="1" x14ac:dyDescent="0.25"/>
    <row r="1668" ht="15.75" customHeight="1" x14ac:dyDescent="0.25"/>
    <row r="1669" ht="15.75" customHeight="1" x14ac:dyDescent="0.25"/>
    <row r="1670" ht="15.75" customHeight="1" x14ac:dyDescent="0.25"/>
    <row r="1671" ht="15.75" customHeight="1" x14ac:dyDescent="0.25"/>
    <row r="1672" ht="15.75" customHeight="1" x14ac:dyDescent="0.25"/>
    <row r="1673" ht="15.75" customHeight="1" x14ac:dyDescent="0.25"/>
    <row r="1674" ht="15.75" customHeight="1" x14ac:dyDescent="0.25"/>
    <row r="1675" ht="15.75" customHeight="1" x14ac:dyDescent="0.25"/>
    <row r="1676" ht="15.75" customHeight="1" x14ac:dyDescent="0.25"/>
    <row r="1677" ht="15.75" customHeight="1" x14ac:dyDescent="0.25"/>
    <row r="1678" ht="15.75" customHeight="1" x14ac:dyDescent="0.25"/>
    <row r="1679" ht="15.75" customHeight="1" x14ac:dyDescent="0.25"/>
    <row r="1680" ht="15.75" customHeight="1" x14ac:dyDescent="0.25"/>
    <row r="1681" ht="15.75" customHeight="1" x14ac:dyDescent="0.25"/>
    <row r="1682" ht="15.75" customHeight="1" x14ac:dyDescent="0.25"/>
    <row r="1683" ht="15.75" customHeight="1" x14ac:dyDescent="0.25"/>
    <row r="1684" ht="15.75" customHeight="1" x14ac:dyDescent="0.25"/>
    <row r="1685" ht="15.75" customHeight="1" x14ac:dyDescent="0.25"/>
    <row r="1686" ht="15.75" customHeight="1" x14ac:dyDescent="0.25"/>
    <row r="1687" ht="15.75" customHeight="1" x14ac:dyDescent="0.25"/>
    <row r="1688" ht="15.75" customHeight="1" x14ac:dyDescent="0.25"/>
    <row r="1689" ht="15.75" customHeight="1" x14ac:dyDescent="0.25"/>
    <row r="1690" ht="15.75" customHeight="1" x14ac:dyDescent="0.25"/>
    <row r="1691" ht="15.75" customHeight="1" x14ac:dyDescent="0.25"/>
    <row r="1692" ht="15.75" customHeight="1" x14ac:dyDescent="0.25"/>
    <row r="1693" ht="15.75" customHeight="1" x14ac:dyDescent="0.25"/>
    <row r="1694" ht="15.75" customHeight="1" x14ac:dyDescent="0.25"/>
    <row r="1695" ht="15.75" customHeight="1" x14ac:dyDescent="0.25"/>
    <row r="1696" ht="15.75" customHeight="1" x14ac:dyDescent="0.25"/>
    <row r="1697" ht="15.75" customHeight="1" x14ac:dyDescent="0.25"/>
    <row r="1698" ht="15.75" customHeight="1" x14ac:dyDescent="0.25"/>
    <row r="1699" ht="15.75" customHeight="1" x14ac:dyDescent="0.25"/>
    <row r="1700" ht="15.75" customHeight="1" x14ac:dyDescent="0.25"/>
    <row r="1701" ht="15.75" customHeight="1" x14ac:dyDescent="0.25"/>
    <row r="1702" ht="15.75" customHeight="1" x14ac:dyDescent="0.25"/>
    <row r="1703" ht="15.75" customHeight="1" x14ac:dyDescent="0.25"/>
    <row r="1704" ht="15.75" customHeight="1" x14ac:dyDescent="0.25"/>
    <row r="1705" ht="15.75" customHeight="1" x14ac:dyDescent="0.25"/>
    <row r="1706" ht="15.75" customHeight="1" x14ac:dyDescent="0.25"/>
    <row r="1707" ht="15.75" customHeight="1" x14ac:dyDescent="0.25"/>
    <row r="1708" ht="15.75" customHeight="1" x14ac:dyDescent="0.25"/>
    <row r="1709" ht="15.75" customHeight="1" x14ac:dyDescent="0.25"/>
    <row r="1710" ht="15.75" customHeight="1" x14ac:dyDescent="0.25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Q999"/>
  <sheetViews>
    <sheetView showGridLines="0" topLeftCell="F442" workbookViewId="0"/>
  </sheetViews>
  <sheetFormatPr defaultColWidth="14.42578125" defaultRowHeight="15" customHeight="1" x14ac:dyDescent="0.25"/>
  <cols>
    <col min="1" max="1" width="18.85546875" customWidth="1"/>
    <col min="2" max="2" width="13.85546875" customWidth="1"/>
    <col min="3" max="3" width="25.140625" customWidth="1"/>
    <col min="4" max="4" width="9.7109375" customWidth="1"/>
    <col min="5" max="5" width="16" customWidth="1"/>
    <col min="6" max="6" width="18.85546875" customWidth="1"/>
    <col min="7" max="7" width="21" customWidth="1"/>
    <col min="8" max="8" width="8.7109375" customWidth="1"/>
    <col min="9" max="9" width="18.5703125" customWidth="1"/>
    <col min="10" max="10" width="11.28515625" customWidth="1"/>
    <col min="11" max="11" width="18.5703125" customWidth="1"/>
    <col min="12" max="14" width="8.7109375" customWidth="1"/>
    <col min="15" max="15" width="10.140625" customWidth="1"/>
    <col min="16" max="16" width="8.7109375" customWidth="1"/>
    <col min="17" max="17" width="11.5703125" customWidth="1"/>
    <col min="18" max="25" width="8.7109375" customWidth="1"/>
  </cols>
  <sheetData>
    <row r="1" spans="1:17" ht="18.75" x14ac:dyDescent="0.25">
      <c r="A1" s="1" t="s">
        <v>0</v>
      </c>
      <c r="B1" s="1" t="s">
        <v>297</v>
      </c>
      <c r="C1" s="1" t="s">
        <v>298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26"/>
      <c r="L1" s="126"/>
      <c r="M1" s="127"/>
      <c r="N1" s="127"/>
      <c r="O1" s="127"/>
      <c r="P1" s="127"/>
      <c r="Q1" s="128"/>
    </row>
    <row r="2" spans="1:17" x14ac:dyDescent="0.25">
      <c r="A2" s="4">
        <v>25778</v>
      </c>
      <c r="B2" s="4" t="s">
        <v>405</v>
      </c>
      <c r="C2" s="4" t="s">
        <v>358</v>
      </c>
      <c r="D2" s="4" t="s">
        <v>12</v>
      </c>
      <c r="E2" s="5">
        <v>32861</v>
      </c>
      <c r="F2" s="4" t="s">
        <v>78</v>
      </c>
      <c r="G2" s="4" t="s">
        <v>74</v>
      </c>
      <c r="H2" s="4" t="s">
        <v>79</v>
      </c>
      <c r="I2" s="6">
        <v>2194.1799999999998</v>
      </c>
      <c r="J2" s="7">
        <v>219418</v>
      </c>
      <c r="K2" s="126"/>
      <c r="L2" s="126"/>
      <c r="M2" s="129"/>
      <c r="N2" s="129"/>
      <c r="O2" s="129"/>
      <c r="P2" s="129"/>
      <c r="Q2" s="130"/>
    </row>
    <row r="3" spans="1:17" x14ac:dyDescent="0.25">
      <c r="A3" s="4">
        <v>32475</v>
      </c>
      <c r="B3" s="4" t="s">
        <v>457</v>
      </c>
      <c r="C3" s="4" t="s">
        <v>458</v>
      </c>
      <c r="D3" s="4" t="s">
        <v>12</v>
      </c>
      <c r="E3" s="5">
        <v>29500</v>
      </c>
      <c r="F3" s="4" t="s">
        <v>99</v>
      </c>
      <c r="G3" s="4" t="s">
        <v>74</v>
      </c>
      <c r="H3" s="4" t="s">
        <v>79</v>
      </c>
      <c r="I3" s="6">
        <v>1430.4</v>
      </c>
      <c r="J3" s="7">
        <v>143040</v>
      </c>
      <c r="K3" s="126"/>
      <c r="L3" s="126"/>
      <c r="M3" s="129"/>
      <c r="N3" s="129"/>
      <c r="O3" s="129"/>
      <c r="P3" s="129"/>
      <c r="Q3" s="130"/>
    </row>
    <row r="4" spans="1:17" x14ac:dyDescent="0.25">
      <c r="A4" s="4">
        <v>21374</v>
      </c>
      <c r="B4" s="4" t="s">
        <v>491</v>
      </c>
      <c r="C4" s="4" t="s">
        <v>492</v>
      </c>
      <c r="D4" s="4" t="s">
        <v>12</v>
      </c>
      <c r="E4" s="5">
        <v>30274</v>
      </c>
      <c r="F4" s="4" t="s">
        <v>108</v>
      </c>
      <c r="G4" s="4" t="s">
        <v>74</v>
      </c>
      <c r="H4" s="4" t="s">
        <v>79</v>
      </c>
      <c r="I4" s="6">
        <v>1223.5999999999999</v>
      </c>
      <c r="J4" s="7">
        <v>122360</v>
      </c>
      <c r="K4" s="131"/>
      <c r="L4" s="131"/>
      <c r="M4" s="9"/>
      <c r="N4" s="9"/>
      <c r="O4" s="9"/>
      <c r="P4" s="9"/>
      <c r="Q4" s="132"/>
    </row>
    <row r="5" spans="1:17" x14ac:dyDescent="0.25">
      <c r="A5" s="4">
        <v>33701</v>
      </c>
      <c r="B5" s="4" t="s">
        <v>467</v>
      </c>
      <c r="C5" s="4" t="s">
        <v>468</v>
      </c>
      <c r="D5" s="4" t="s">
        <v>12</v>
      </c>
      <c r="E5" s="5">
        <v>30803</v>
      </c>
      <c r="F5" s="4" t="s">
        <v>101</v>
      </c>
      <c r="G5" s="4" t="s">
        <v>39</v>
      </c>
      <c r="H5" s="4" t="s">
        <v>79</v>
      </c>
      <c r="I5" s="6">
        <v>1385.56</v>
      </c>
      <c r="J5" s="7">
        <v>138556</v>
      </c>
      <c r="K5" s="131"/>
      <c r="L5" s="131"/>
      <c r="M5" s="9"/>
      <c r="N5" s="9"/>
      <c r="O5" s="9"/>
      <c r="P5" s="9"/>
      <c r="Q5" s="132"/>
    </row>
    <row r="6" spans="1:17" x14ac:dyDescent="0.25">
      <c r="A6" s="4">
        <v>21159</v>
      </c>
      <c r="B6" s="4" t="s">
        <v>581</v>
      </c>
      <c r="C6" s="4" t="s">
        <v>586</v>
      </c>
      <c r="D6" s="4" t="s">
        <v>12</v>
      </c>
      <c r="E6" s="5">
        <v>30231</v>
      </c>
      <c r="F6" s="4" t="s">
        <v>78</v>
      </c>
      <c r="G6" s="4" t="s">
        <v>74</v>
      </c>
      <c r="H6" s="4" t="s">
        <v>79</v>
      </c>
      <c r="I6" s="6">
        <v>714.6</v>
      </c>
      <c r="J6" s="7">
        <v>71460</v>
      </c>
      <c r="K6" s="131"/>
      <c r="L6" s="131"/>
      <c r="M6" s="9"/>
      <c r="N6" s="9"/>
      <c r="O6" s="9"/>
      <c r="P6" s="9"/>
      <c r="Q6" s="132"/>
    </row>
    <row r="7" spans="1:17" x14ac:dyDescent="0.25">
      <c r="A7" s="4">
        <v>21190</v>
      </c>
      <c r="B7" s="4" t="s">
        <v>612</v>
      </c>
      <c r="C7" s="4" t="s">
        <v>538</v>
      </c>
      <c r="D7" s="4" t="s">
        <v>12</v>
      </c>
      <c r="E7" s="5">
        <v>30257</v>
      </c>
      <c r="F7" s="4" t="s">
        <v>131</v>
      </c>
      <c r="G7" s="4" t="s">
        <v>74</v>
      </c>
      <c r="H7" s="4" t="s">
        <v>79</v>
      </c>
      <c r="I7" s="6">
        <v>616</v>
      </c>
      <c r="J7" s="7">
        <v>61600</v>
      </c>
      <c r="K7" s="131"/>
      <c r="L7" s="131"/>
      <c r="M7" s="9"/>
      <c r="N7" s="9"/>
      <c r="O7" s="9"/>
      <c r="P7" s="9"/>
      <c r="Q7" s="132"/>
    </row>
    <row r="8" spans="1:17" x14ac:dyDescent="0.25">
      <c r="A8" s="4">
        <v>122961</v>
      </c>
      <c r="B8" s="4" t="s">
        <v>605</v>
      </c>
      <c r="C8" s="4" t="s">
        <v>625</v>
      </c>
      <c r="D8" s="4" t="s">
        <v>24</v>
      </c>
      <c r="E8" s="5">
        <v>18917</v>
      </c>
      <c r="F8" s="4" t="s">
        <v>108</v>
      </c>
      <c r="G8" s="4" t="s">
        <v>74</v>
      </c>
      <c r="H8" s="4" t="s">
        <v>79</v>
      </c>
      <c r="I8" s="6">
        <v>580</v>
      </c>
      <c r="J8" s="7">
        <v>58000</v>
      </c>
      <c r="K8" s="131"/>
      <c r="L8" s="131"/>
      <c r="M8" s="9"/>
      <c r="N8" s="9"/>
      <c r="O8" s="9"/>
      <c r="P8" s="9"/>
      <c r="Q8" s="132"/>
    </row>
    <row r="9" spans="1:17" x14ac:dyDescent="0.25">
      <c r="A9" s="4">
        <v>23590</v>
      </c>
      <c r="B9" s="4" t="s">
        <v>641</v>
      </c>
      <c r="C9" s="4" t="s">
        <v>675</v>
      </c>
      <c r="D9" s="4" t="s">
        <v>12</v>
      </c>
      <c r="E9" s="5">
        <v>30982</v>
      </c>
      <c r="F9" s="4" t="s">
        <v>146</v>
      </c>
      <c r="G9" s="4" t="s">
        <v>74</v>
      </c>
      <c r="H9" s="4" t="s">
        <v>79</v>
      </c>
      <c r="I9" s="6">
        <v>456.33</v>
      </c>
      <c r="J9" s="7">
        <v>45633</v>
      </c>
      <c r="K9" s="131"/>
      <c r="L9" s="131"/>
      <c r="M9" s="9"/>
      <c r="N9" s="9"/>
      <c r="O9" s="9"/>
      <c r="P9" s="9"/>
      <c r="Q9" s="132"/>
    </row>
    <row r="10" spans="1:17" x14ac:dyDescent="0.25">
      <c r="A10" s="4">
        <v>122029</v>
      </c>
      <c r="B10" s="4" t="s">
        <v>656</v>
      </c>
      <c r="C10" s="4" t="s">
        <v>657</v>
      </c>
      <c r="D10" s="4" t="s">
        <v>24</v>
      </c>
      <c r="E10" s="5">
        <v>33400</v>
      </c>
      <c r="F10" s="4" t="s">
        <v>99</v>
      </c>
      <c r="G10" s="4" t="s">
        <v>74</v>
      </c>
      <c r="H10" s="4" t="s">
        <v>79</v>
      </c>
      <c r="I10" s="6">
        <v>500.85</v>
      </c>
      <c r="J10" s="7">
        <v>50085</v>
      </c>
      <c r="K10" s="131"/>
      <c r="L10" s="131"/>
      <c r="M10" s="9"/>
      <c r="N10" s="9"/>
      <c r="O10" s="9"/>
      <c r="P10" s="9"/>
      <c r="Q10" s="132"/>
    </row>
    <row r="11" spans="1:17" x14ac:dyDescent="0.25">
      <c r="A11" s="4">
        <v>20920</v>
      </c>
      <c r="B11" s="4" t="s">
        <v>660</v>
      </c>
      <c r="C11" s="4" t="s">
        <v>661</v>
      </c>
      <c r="D11" s="4" t="s">
        <v>24</v>
      </c>
      <c r="E11" s="5">
        <v>23538</v>
      </c>
      <c r="F11" s="4" t="s">
        <v>140</v>
      </c>
      <c r="G11" s="4" t="s">
        <v>74</v>
      </c>
      <c r="H11" s="4" t="s">
        <v>79</v>
      </c>
      <c r="I11" s="6">
        <v>493.29</v>
      </c>
      <c r="J11" s="7">
        <v>49329</v>
      </c>
      <c r="K11" s="131"/>
      <c r="L11" s="131"/>
      <c r="M11" s="9"/>
      <c r="N11" s="9"/>
      <c r="O11" s="9"/>
      <c r="P11" s="9"/>
      <c r="Q11" s="132"/>
    </row>
    <row r="12" spans="1:17" x14ac:dyDescent="0.25">
      <c r="A12" s="4">
        <v>128890</v>
      </c>
      <c r="B12" s="4" t="s">
        <v>654</v>
      </c>
      <c r="C12" s="4" t="s">
        <v>655</v>
      </c>
      <c r="D12" s="4" t="s">
        <v>12</v>
      </c>
      <c r="E12" s="5">
        <v>25569</v>
      </c>
      <c r="F12" s="4" t="s">
        <v>139</v>
      </c>
      <c r="G12" s="4" t="s">
        <v>74</v>
      </c>
      <c r="H12" s="4" t="s">
        <v>79</v>
      </c>
      <c r="I12" s="6">
        <v>509.87</v>
      </c>
      <c r="J12" s="7">
        <v>50987</v>
      </c>
      <c r="K12" s="131"/>
      <c r="L12" s="131"/>
      <c r="M12" s="9"/>
      <c r="N12" s="9"/>
      <c r="O12" s="9"/>
      <c r="P12" s="9"/>
      <c r="Q12" s="132"/>
    </row>
    <row r="13" spans="1:17" x14ac:dyDescent="0.25">
      <c r="A13" s="4">
        <v>23508</v>
      </c>
      <c r="B13" s="4" t="s">
        <v>700</v>
      </c>
      <c r="C13" s="4" t="s">
        <v>701</v>
      </c>
      <c r="D13" s="4" t="s">
        <v>24</v>
      </c>
      <c r="E13" s="5">
        <v>30814</v>
      </c>
      <c r="F13" s="4" t="s">
        <v>152</v>
      </c>
      <c r="G13" s="4" t="s">
        <v>74</v>
      </c>
      <c r="H13" s="4" t="s">
        <v>79</v>
      </c>
      <c r="I13" s="6">
        <v>365.21</v>
      </c>
      <c r="J13" s="7">
        <v>36521</v>
      </c>
      <c r="K13" s="131"/>
      <c r="L13" s="131"/>
      <c r="M13" s="9"/>
      <c r="N13" s="9"/>
      <c r="O13" s="9"/>
      <c r="P13" s="9"/>
      <c r="Q13" s="132"/>
    </row>
    <row r="14" spans="1:17" x14ac:dyDescent="0.25">
      <c r="A14" s="4">
        <v>44204</v>
      </c>
      <c r="B14" s="4" t="s">
        <v>714</v>
      </c>
      <c r="C14" s="4" t="s">
        <v>715</v>
      </c>
      <c r="D14" s="4" t="s">
        <v>12</v>
      </c>
      <c r="E14" s="5">
        <v>19827</v>
      </c>
      <c r="F14" s="4" t="s">
        <v>108</v>
      </c>
      <c r="G14" s="4" t="s">
        <v>74</v>
      </c>
      <c r="H14" s="4" t="s">
        <v>79</v>
      </c>
      <c r="I14" s="6">
        <v>342</v>
      </c>
      <c r="J14" s="7">
        <v>34200</v>
      </c>
      <c r="K14" s="131"/>
      <c r="L14" s="131"/>
      <c r="M14" s="9"/>
      <c r="N14" s="9"/>
      <c r="O14" s="9"/>
      <c r="P14" s="9"/>
      <c r="Q14" s="132"/>
    </row>
    <row r="15" spans="1:17" x14ac:dyDescent="0.25">
      <c r="A15" s="4">
        <v>124153</v>
      </c>
      <c r="B15" s="4" t="s">
        <v>763</v>
      </c>
      <c r="C15" s="4" t="s">
        <v>764</v>
      </c>
      <c r="D15" s="4" t="s">
        <v>24</v>
      </c>
      <c r="E15" s="5">
        <v>27369</v>
      </c>
      <c r="F15" s="4" t="s">
        <v>139</v>
      </c>
      <c r="G15" s="4" t="s">
        <v>74</v>
      </c>
      <c r="H15" s="4" t="s">
        <v>79</v>
      </c>
      <c r="I15" s="6">
        <v>287.85000000000002</v>
      </c>
      <c r="J15" s="7">
        <v>28785</v>
      </c>
      <c r="K15" s="131"/>
      <c r="L15" s="131"/>
      <c r="M15" s="9"/>
      <c r="N15" s="9"/>
      <c r="O15" s="9"/>
      <c r="P15" s="9"/>
      <c r="Q15" s="132"/>
    </row>
    <row r="16" spans="1:17" x14ac:dyDescent="0.25">
      <c r="A16" s="4">
        <v>22515</v>
      </c>
      <c r="B16" s="4" t="s">
        <v>861</v>
      </c>
      <c r="C16" s="4" t="s">
        <v>862</v>
      </c>
      <c r="D16" s="4" t="s">
        <v>12</v>
      </c>
      <c r="E16" s="5">
        <v>30882</v>
      </c>
      <c r="F16" s="4" t="s">
        <v>169</v>
      </c>
      <c r="G16" s="4" t="s">
        <v>74</v>
      </c>
      <c r="H16" s="4" t="s">
        <v>79</v>
      </c>
      <c r="I16" s="6">
        <v>174.37</v>
      </c>
      <c r="J16" s="7">
        <v>17437</v>
      </c>
      <c r="K16" s="131"/>
      <c r="L16" s="131"/>
      <c r="M16" s="9"/>
      <c r="N16" s="9"/>
      <c r="O16" s="9"/>
      <c r="P16" s="9"/>
      <c r="Q16" s="132"/>
    </row>
    <row r="17" spans="1:17" x14ac:dyDescent="0.25">
      <c r="A17" s="4">
        <v>21756</v>
      </c>
      <c r="B17" s="4" t="s">
        <v>842</v>
      </c>
      <c r="C17" s="4" t="s">
        <v>843</v>
      </c>
      <c r="D17" s="4" t="s">
        <v>12</v>
      </c>
      <c r="E17" s="5">
        <v>21739</v>
      </c>
      <c r="F17" s="4" t="s">
        <v>167</v>
      </c>
      <c r="G17" s="4" t="s">
        <v>74</v>
      </c>
      <c r="H17" s="4" t="s">
        <v>79</v>
      </c>
      <c r="I17" s="6">
        <v>198</v>
      </c>
      <c r="J17" s="7">
        <v>19800</v>
      </c>
      <c r="K17" s="131"/>
      <c r="L17" s="131"/>
      <c r="M17" s="9"/>
      <c r="N17" s="9"/>
      <c r="O17" s="9"/>
      <c r="P17" s="9"/>
      <c r="Q17" s="132"/>
    </row>
    <row r="18" spans="1:17" x14ac:dyDescent="0.25">
      <c r="A18" s="4">
        <v>94307</v>
      </c>
      <c r="B18" s="4" t="s">
        <v>933</v>
      </c>
      <c r="C18" s="4" t="s">
        <v>934</v>
      </c>
      <c r="D18" s="4" t="s">
        <v>12</v>
      </c>
      <c r="E18" s="5">
        <v>24171</v>
      </c>
      <c r="F18" s="4" t="s">
        <v>177</v>
      </c>
      <c r="G18" s="4" t="s">
        <v>74</v>
      </c>
      <c r="H18" s="4" t="s">
        <v>79</v>
      </c>
      <c r="I18" s="6">
        <v>99</v>
      </c>
      <c r="J18" s="7">
        <v>9900</v>
      </c>
      <c r="K18" s="131"/>
      <c r="L18" s="131"/>
      <c r="M18" s="9"/>
      <c r="N18" s="9"/>
      <c r="O18" s="9"/>
      <c r="P18" s="9"/>
      <c r="Q18" s="132"/>
    </row>
    <row r="19" spans="1:17" x14ac:dyDescent="0.25">
      <c r="A19" s="4">
        <v>130192</v>
      </c>
      <c r="B19" s="4" t="s">
        <v>965</v>
      </c>
      <c r="C19" s="4" t="s">
        <v>780</v>
      </c>
      <c r="D19" s="4" t="s">
        <v>12</v>
      </c>
      <c r="E19" s="5">
        <v>24236</v>
      </c>
      <c r="F19" s="4" t="s">
        <v>152</v>
      </c>
      <c r="G19" s="4" t="s">
        <v>74</v>
      </c>
      <c r="H19" s="4" t="s">
        <v>79</v>
      </c>
      <c r="I19" s="6">
        <v>54</v>
      </c>
      <c r="J19" s="7">
        <v>5400</v>
      </c>
      <c r="K19" s="131"/>
      <c r="L19" s="131"/>
      <c r="M19" s="9"/>
      <c r="N19" s="9"/>
      <c r="O19" s="9"/>
      <c r="P19" s="9"/>
      <c r="Q19" s="132"/>
    </row>
    <row r="20" spans="1:17" ht="15.75" customHeight="1" x14ac:dyDescent="0.25">
      <c r="A20" s="4">
        <v>27392</v>
      </c>
      <c r="B20" s="4" t="s">
        <v>965</v>
      </c>
      <c r="C20" s="4" t="s">
        <v>358</v>
      </c>
      <c r="D20" s="4" t="s">
        <v>12</v>
      </c>
      <c r="E20" s="5">
        <v>30945</v>
      </c>
      <c r="F20" s="4" t="s">
        <v>183</v>
      </c>
      <c r="G20" s="4" t="s">
        <v>39</v>
      </c>
      <c r="H20" s="4" t="s">
        <v>79</v>
      </c>
      <c r="I20" s="6">
        <v>64.349999999999994</v>
      </c>
      <c r="J20" s="7">
        <v>6435</v>
      </c>
      <c r="K20" s="131"/>
      <c r="L20" s="131"/>
      <c r="M20" s="9"/>
      <c r="N20" s="9"/>
      <c r="O20" s="9"/>
      <c r="P20" s="9"/>
      <c r="Q20" s="132"/>
    </row>
    <row r="21" spans="1:17" ht="15.75" customHeight="1" x14ac:dyDescent="0.25">
      <c r="A21" s="4">
        <v>21547</v>
      </c>
      <c r="B21" s="4" t="s">
        <v>986</v>
      </c>
      <c r="C21" s="4" t="s">
        <v>339</v>
      </c>
      <c r="D21" s="4" t="s">
        <v>12</v>
      </c>
      <c r="E21" s="5">
        <v>30177</v>
      </c>
      <c r="F21" s="4" t="s">
        <v>108</v>
      </c>
      <c r="G21" s="4" t="s">
        <v>74</v>
      </c>
      <c r="H21" s="4" t="s">
        <v>79</v>
      </c>
      <c r="I21" s="6">
        <v>31.85</v>
      </c>
      <c r="J21" s="7">
        <v>3185</v>
      </c>
      <c r="K21" s="131"/>
      <c r="L21" s="131"/>
      <c r="M21" s="9"/>
      <c r="N21" s="9"/>
      <c r="O21" s="9"/>
      <c r="P21" s="9"/>
      <c r="Q21" s="132"/>
    </row>
    <row r="22" spans="1:17" ht="15.75" customHeight="1" x14ac:dyDescent="0.25">
      <c r="A22" s="4">
        <v>132808</v>
      </c>
      <c r="B22" s="4" t="s">
        <v>303</v>
      </c>
      <c r="C22" s="4" t="s">
        <v>304</v>
      </c>
      <c r="D22" s="4" t="s">
        <v>12</v>
      </c>
      <c r="E22" s="5">
        <v>31200</v>
      </c>
      <c r="F22" s="4" t="s">
        <v>16</v>
      </c>
      <c r="G22" s="4" t="s">
        <v>17</v>
      </c>
      <c r="H22" s="4" t="s">
        <v>18</v>
      </c>
      <c r="I22" s="6">
        <v>24441.64</v>
      </c>
      <c r="J22" s="7">
        <v>2444164</v>
      </c>
      <c r="K22" s="131"/>
      <c r="L22" s="131"/>
      <c r="M22" s="9"/>
      <c r="N22" s="9"/>
      <c r="O22" s="9"/>
      <c r="P22" s="9"/>
      <c r="Q22" s="132"/>
    </row>
    <row r="23" spans="1:17" ht="15.75" customHeight="1" x14ac:dyDescent="0.25">
      <c r="A23" s="4">
        <v>22328</v>
      </c>
      <c r="B23" s="4" t="s">
        <v>328</v>
      </c>
      <c r="C23" s="4" t="s">
        <v>330</v>
      </c>
      <c r="D23" s="4" t="s">
        <v>12</v>
      </c>
      <c r="E23" s="5">
        <v>28856</v>
      </c>
      <c r="F23" s="4" t="s">
        <v>36</v>
      </c>
      <c r="G23" s="4" t="s">
        <v>37</v>
      </c>
      <c r="H23" s="4" t="s">
        <v>18</v>
      </c>
      <c r="I23" s="6">
        <v>7228</v>
      </c>
      <c r="J23" s="7">
        <v>722800</v>
      </c>
      <c r="K23" s="131"/>
      <c r="L23" s="131"/>
      <c r="M23" s="9"/>
      <c r="N23" s="9"/>
      <c r="O23" s="9"/>
      <c r="P23" s="9"/>
      <c r="Q23" s="132"/>
    </row>
    <row r="24" spans="1:17" ht="15.75" customHeight="1" x14ac:dyDescent="0.25">
      <c r="A24" s="4">
        <v>132808</v>
      </c>
      <c r="B24" s="4" t="s">
        <v>334</v>
      </c>
      <c r="C24" s="4" t="s">
        <v>335</v>
      </c>
      <c r="D24" s="4" t="s">
        <v>24</v>
      </c>
      <c r="E24" s="5">
        <v>28312</v>
      </c>
      <c r="F24" s="4" t="s">
        <v>42</v>
      </c>
      <c r="G24" s="4" t="s">
        <v>17</v>
      </c>
      <c r="H24" s="4" t="s">
        <v>18</v>
      </c>
      <c r="I24" s="6">
        <v>6100</v>
      </c>
      <c r="J24" s="7">
        <v>610000</v>
      </c>
      <c r="K24" s="131"/>
      <c r="L24" s="131"/>
      <c r="M24" s="9"/>
      <c r="N24" s="9"/>
      <c r="O24" s="9"/>
      <c r="P24" s="9"/>
      <c r="Q24" s="132"/>
    </row>
    <row r="25" spans="1:17" ht="15.75" customHeight="1" x14ac:dyDescent="0.25">
      <c r="A25" s="4">
        <v>26219</v>
      </c>
      <c r="B25" s="4" t="s">
        <v>356</v>
      </c>
      <c r="C25" s="4" t="s">
        <v>357</v>
      </c>
      <c r="D25" s="4" t="s">
        <v>24</v>
      </c>
      <c r="E25" s="5">
        <v>25310</v>
      </c>
      <c r="F25" s="4" t="s">
        <v>53</v>
      </c>
      <c r="G25" s="4" t="s">
        <v>37</v>
      </c>
      <c r="H25" s="4" t="s">
        <v>18</v>
      </c>
      <c r="I25" s="6">
        <v>4465.4399999999996</v>
      </c>
      <c r="J25" s="7">
        <v>446544</v>
      </c>
      <c r="K25" s="131"/>
      <c r="L25" s="131"/>
      <c r="M25" s="9"/>
      <c r="N25" s="9"/>
      <c r="O25" s="9"/>
      <c r="P25" s="9"/>
      <c r="Q25" s="132"/>
    </row>
    <row r="26" spans="1:17" ht="15.75" customHeight="1" x14ac:dyDescent="0.25">
      <c r="A26" s="4">
        <v>119941</v>
      </c>
      <c r="B26" s="4" t="s">
        <v>351</v>
      </c>
      <c r="C26" s="4" t="s">
        <v>354</v>
      </c>
      <c r="D26" s="4" t="s">
        <v>12</v>
      </c>
      <c r="E26" s="5">
        <v>21294</v>
      </c>
      <c r="F26" s="4" t="s">
        <v>54</v>
      </c>
      <c r="G26" s="4" t="s">
        <v>55</v>
      </c>
      <c r="H26" s="4" t="s">
        <v>18</v>
      </c>
      <c r="I26" s="6">
        <v>3987.19</v>
      </c>
      <c r="J26" s="7">
        <v>398719</v>
      </c>
      <c r="K26" s="131"/>
      <c r="L26" s="131"/>
      <c r="M26" s="9"/>
      <c r="N26" s="9"/>
      <c r="O26" s="9"/>
      <c r="P26" s="9"/>
      <c r="Q26" s="132"/>
    </row>
    <row r="27" spans="1:17" ht="15.75" customHeight="1" x14ac:dyDescent="0.25">
      <c r="A27" s="4">
        <v>38293</v>
      </c>
      <c r="B27" s="4" t="s">
        <v>359</v>
      </c>
      <c r="C27" s="4" t="s">
        <v>369</v>
      </c>
      <c r="D27" s="4" t="s">
        <v>12</v>
      </c>
      <c r="E27" s="5">
        <v>20961</v>
      </c>
      <c r="F27" s="4" t="s">
        <v>54</v>
      </c>
      <c r="G27" s="4" t="s">
        <v>55</v>
      </c>
      <c r="H27" s="4" t="s">
        <v>18</v>
      </c>
      <c r="I27" s="6">
        <v>3532.1</v>
      </c>
      <c r="J27" s="7">
        <v>353210</v>
      </c>
      <c r="K27" s="131"/>
      <c r="L27" s="131"/>
      <c r="M27" s="9"/>
      <c r="N27" s="9"/>
      <c r="O27" s="9"/>
      <c r="P27" s="9"/>
      <c r="Q27" s="132"/>
    </row>
    <row r="28" spans="1:17" ht="15.75" customHeight="1" x14ac:dyDescent="0.25">
      <c r="A28" s="4">
        <v>23067</v>
      </c>
      <c r="B28" s="4" t="s">
        <v>316</v>
      </c>
      <c r="C28" s="4" t="s">
        <v>374</v>
      </c>
      <c r="D28" s="4" t="s">
        <v>12</v>
      </c>
      <c r="E28" s="5">
        <v>32539</v>
      </c>
      <c r="F28" s="4" t="s">
        <v>36</v>
      </c>
      <c r="G28" s="4" t="s">
        <v>37</v>
      </c>
      <c r="H28" s="4" t="s">
        <v>18</v>
      </c>
      <c r="I28" s="6">
        <v>3180</v>
      </c>
      <c r="J28" s="7">
        <v>318000</v>
      </c>
      <c r="K28" s="133"/>
      <c r="L28" s="133"/>
      <c r="M28" s="134"/>
      <c r="N28" s="134"/>
      <c r="O28" s="134"/>
      <c r="P28" s="134"/>
      <c r="Q28" s="135"/>
    </row>
    <row r="29" spans="1:17" ht="15.75" customHeight="1" x14ac:dyDescent="0.25">
      <c r="A29" s="4">
        <v>22104</v>
      </c>
      <c r="B29" s="4" t="s">
        <v>316</v>
      </c>
      <c r="C29" s="4" t="s">
        <v>370</v>
      </c>
      <c r="D29" s="4" t="s">
        <v>12</v>
      </c>
      <c r="E29" s="5">
        <v>23776</v>
      </c>
      <c r="F29" s="4" t="s">
        <v>64</v>
      </c>
      <c r="G29" s="4" t="s">
        <v>37</v>
      </c>
      <c r="H29" s="4" t="s">
        <v>18</v>
      </c>
      <c r="I29" s="6">
        <v>3436.75</v>
      </c>
      <c r="J29" s="7">
        <v>343675</v>
      </c>
    </row>
    <row r="30" spans="1:17" ht="15.75" customHeight="1" x14ac:dyDescent="0.25">
      <c r="A30" s="4">
        <v>124124</v>
      </c>
      <c r="B30" s="4" t="s">
        <v>316</v>
      </c>
      <c r="C30" s="4" t="s">
        <v>375</v>
      </c>
      <c r="D30" s="4" t="s">
        <v>12</v>
      </c>
      <c r="E30" s="5">
        <v>32139</v>
      </c>
      <c r="F30" s="4" t="s">
        <v>54</v>
      </c>
      <c r="G30" s="4" t="s">
        <v>55</v>
      </c>
      <c r="H30" s="4" t="s">
        <v>18</v>
      </c>
      <c r="I30" s="6">
        <v>3141.6</v>
      </c>
      <c r="J30" s="7">
        <v>314160</v>
      </c>
      <c r="K30" s="126"/>
      <c r="L30" s="126"/>
      <c r="M30" s="127"/>
      <c r="N30" s="127"/>
      <c r="O30" s="127"/>
      <c r="P30" s="127"/>
      <c r="Q30" s="128"/>
    </row>
    <row r="31" spans="1:17" ht="15.75" customHeight="1" x14ac:dyDescent="0.25">
      <c r="A31" s="4">
        <v>124772</v>
      </c>
      <c r="B31" s="4" t="s">
        <v>316</v>
      </c>
      <c r="C31" s="4" t="s">
        <v>385</v>
      </c>
      <c r="D31" s="4" t="s">
        <v>12</v>
      </c>
      <c r="E31" s="5">
        <v>28741</v>
      </c>
      <c r="F31" s="4" t="s">
        <v>70</v>
      </c>
      <c r="G31" s="4" t="s">
        <v>55</v>
      </c>
      <c r="H31" s="4" t="s">
        <v>18</v>
      </c>
      <c r="I31" s="6">
        <v>2704</v>
      </c>
      <c r="J31" s="7">
        <v>270400</v>
      </c>
      <c r="K31" s="126"/>
      <c r="L31" s="126"/>
      <c r="M31" s="129"/>
      <c r="N31" s="129"/>
      <c r="O31" s="129"/>
      <c r="P31" s="129"/>
      <c r="Q31" s="130"/>
    </row>
    <row r="32" spans="1:17" ht="15.75" customHeight="1" x14ac:dyDescent="0.25">
      <c r="A32" s="4">
        <v>132656</v>
      </c>
      <c r="B32" s="4" t="s">
        <v>386</v>
      </c>
      <c r="C32" s="4" t="s">
        <v>387</v>
      </c>
      <c r="D32" s="4" t="s">
        <v>12</v>
      </c>
      <c r="E32" s="5">
        <v>21916</v>
      </c>
      <c r="F32" s="4" t="s">
        <v>42</v>
      </c>
      <c r="G32" s="4" t="s">
        <v>17</v>
      </c>
      <c r="H32" s="4" t="s">
        <v>18</v>
      </c>
      <c r="I32" s="6">
        <v>2704</v>
      </c>
      <c r="J32" s="7">
        <v>270400</v>
      </c>
      <c r="K32" s="126"/>
      <c r="L32" s="126"/>
      <c r="M32" s="129"/>
      <c r="N32" s="129"/>
      <c r="O32" s="129"/>
      <c r="P32" s="129"/>
      <c r="Q32" s="130"/>
    </row>
    <row r="33" spans="1:17" ht="15.75" customHeight="1" x14ac:dyDescent="0.25">
      <c r="A33" s="4">
        <v>20770</v>
      </c>
      <c r="B33" s="4" t="s">
        <v>371</v>
      </c>
      <c r="C33" s="4" t="s">
        <v>372</v>
      </c>
      <c r="D33" s="4" t="s">
        <v>12</v>
      </c>
      <c r="E33" s="5">
        <v>25568</v>
      </c>
      <c r="F33" s="4" t="s">
        <v>54</v>
      </c>
      <c r="G33" s="4" t="s">
        <v>55</v>
      </c>
      <c r="H33" s="4" t="s">
        <v>18</v>
      </c>
      <c r="I33" s="6">
        <v>3417.67</v>
      </c>
      <c r="J33" s="7">
        <v>341767</v>
      </c>
      <c r="K33" s="131"/>
      <c r="L33" s="131"/>
      <c r="M33" s="9"/>
      <c r="N33" s="9"/>
      <c r="O33" s="9"/>
      <c r="P33" s="9"/>
      <c r="Q33" s="132"/>
    </row>
    <row r="34" spans="1:17" ht="15.75" customHeight="1" x14ac:dyDescent="0.25">
      <c r="A34" s="4">
        <v>26467</v>
      </c>
      <c r="B34" s="4" t="s">
        <v>378</v>
      </c>
      <c r="C34" s="4" t="s">
        <v>388</v>
      </c>
      <c r="D34" s="4" t="s">
        <v>12</v>
      </c>
      <c r="E34" s="5">
        <v>30736</v>
      </c>
      <c r="F34" s="4" t="s">
        <v>71</v>
      </c>
      <c r="G34" s="4" t="s">
        <v>72</v>
      </c>
      <c r="H34" s="4" t="s">
        <v>18</v>
      </c>
      <c r="I34" s="6">
        <v>2560.6</v>
      </c>
      <c r="J34" s="7">
        <v>256060</v>
      </c>
      <c r="K34" s="133"/>
      <c r="L34" s="133"/>
      <c r="M34" s="134"/>
      <c r="N34" s="134"/>
      <c r="O34" s="134"/>
      <c r="P34" s="134"/>
      <c r="Q34" s="135"/>
    </row>
    <row r="35" spans="1:17" ht="15.75" customHeight="1" x14ac:dyDescent="0.25">
      <c r="A35" s="4">
        <v>35721</v>
      </c>
      <c r="B35" s="4" t="s">
        <v>399</v>
      </c>
      <c r="C35" s="4" t="s">
        <v>358</v>
      </c>
      <c r="D35" s="4" t="s">
        <v>12</v>
      </c>
      <c r="E35" s="5">
        <v>26058</v>
      </c>
      <c r="F35" s="4" t="s">
        <v>76</v>
      </c>
      <c r="G35" s="4" t="s">
        <v>55</v>
      </c>
      <c r="H35" s="4" t="s">
        <v>18</v>
      </c>
      <c r="I35" s="6">
        <v>2307.5</v>
      </c>
      <c r="J35" s="7">
        <v>230750</v>
      </c>
    </row>
    <row r="36" spans="1:17" ht="15.75" customHeight="1" x14ac:dyDescent="0.25">
      <c r="A36" s="4">
        <v>140452</v>
      </c>
      <c r="B36" s="4" t="s">
        <v>405</v>
      </c>
      <c r="C36" s="4" t="s">
        <v>366</v>
      </c>
      <c r="D36" s="4" t="s">
        <v>12</v>
      </c>
      <c r="E36" s="5">
        <v>28949</v>
      </c>
      <c r="F36" s="4" t="s">
        <v>54</v>
      </c>
      <c r="G36" s="4" t="s">
        <v>55</v>
      </c>
      <c r="H36" s="4" t="s">
        <v>18</v>
      </c>
      <c r="I36" s="6">
        <v>2122.56</v>
      </c>
      <c r="J36" s="7">
        <v>212256</v>
      </c>
    </row>
    <row r="37" spans="1:17" ht="15.75" customHeight="1" x14ac:dyDescent="0.25">
      <c r="A37" s="4">
        <v>22993</v>
      </c>
      <c r="B37" s="4" t="s">
        <v>421</v>
      </c>
      <c r="C37" s="4" t="s">
        <v>422</v>
      </c>
      <c r="D37" s="4" t="s">
        <v>12</v>
      </c>
      <c r="E37" s="5">
        <v>16695</v>
      </c>
      <c r="F37" s="4" t="s">
        <v>54</v>
      </c>
      <c r="G37" s="4" t="s">
        <v>55</v>
      </c>
      <c r="H37" s="4" t="s">
        <v>18</v>
      </c>
      <c r="I37" s="6">
        <v>1775.68</v>
      </c>
      <c r="J37" s="7">
        <v>177568</v>
      </c>
    </row>
    <row r="38" spans="1:17" ht="15.75" customHeight="1" x14ac:dyDescent="0.25">
      <c r="A38" s="4">
        <v>21202</v>
      </c>
      <c r="B38" s="4" t="s">
        <v>490</v>
      </c>
      <c r="C38" s="4" t="s">
        <v>406</v>
      </c>
      <c r="D38" s="4" t="s">
        <v>24</v>
      </c>
      <c r="E38" s="5">
        <v>31845</v>
      </c>
      <c r="F38" s="4" t="s">
        <v>107</v>
      </c>
      <c r="G38" s="4" t="s">
        <v>55</v>
      </c>
      <c r="H38" s="4" t="s">
        <v>18</v>
      </c>
      <c r="I38" s="6">
        <v>1239.7</v>
      </c>
      <c r="J38" s="7">
        <v>123970</v>
      </c>
    </row>
    <row r="39" spans="1:17" ht="15.75" customHeight="1" x14ac:dyDescent="0.25">
      <c r="A39" s="4">
        <v>27533</v>
      </c>
      <c r="B39" s="4" t="s">
        <v>483</v>
      </c>
      <c r="C39" s="4" t="s">
        <v>360</v>
      </c>
      <c r="D39" s="4" t="s">
        <v>12</v>
      </c>
      <c r="E39" s="5">
        <v>29792</v>
      </c>
      <c r="F39" s="4" t="s">
        <v>104</v>
      </c>
      <c r="G39" s="4" t="s">
        <v>55</v>
      </c>
      <c r="H39" s="4" t="s">
        <v>18</v>
      </c>
      <c r="I39" s="6">
        <v>1251.3900000000001</v>
      </c>
      <c r="J39" s="7">
        <v>125139</v>
      </c>
    </row>
    <row r="40" spans="1:17" ht="15.75" customHeight="1" x14ac:dyDescent="0.25">
      <c r="A40" s="4">
        <v>126990</v>
      </c>
      <c r="B40" s="4" t="s">
        <v>494</v>
      </c>
      <c r="C40" s="4" t="s">
        <v>495</v>
      </c>
      <c r="D40" s="4" t="s">
        <v>12</v>
      </c>
      <c r="E40" s="5">
        <v>30956</v>
      </c>
      <c r="F40" s="4" t="s">
        <v>36</v>
      </c>
      <c r="G40" s="4" t="s">
        <v>37</v>
      </c>
      <c r="H40" s="4" t="s">
        <v>18</v>
      </c>
      <c r="I40" s="6">
        <v>1218</v>
      </c>
      <c r="J40" s="7">
        <v>121800</v>
      </c>
    </row>
    <row r="41" spans="1:17" ht="15.75" customHeight="1" x14ac:dyDescent="0.25">
      <c r="A41" s="4">
        <v>23197</v>
      </c>
      <c r="B41" s="4" t="s">
        <v>488</v>
      </c>
      <c r="C41" s="4" t="s">
        <v>489</v>
      </c>
      <c r="D41" s="4" t="s">
        <v>12</v>
      </c>
      <c r="E41" s="5">
        <v>32143</v>
      </c>
      <c r="F41" s="4" t="s">
        <v>106</v>
      </c>
      <c r="G41" s="4" t="s">
        <v>55</v>
      </c>
      <c r="H41" s="4" t="s">
        <v>18</v>
      </c>
      <c r="I41" s="6">
        <v>1240</v>
      </c>
      <c r="J41" s="7">
        <v>124000</v>
      </c>
    </row>
    <row r="42" spans="1:17" ht="15.75" customHeight="1" x14ac:dyDescent="0.25">
      <c r="A42" s="4">
        <v>137759</v>
      </c>
      <c r="B42" s="4" t="s">
        <v>521</v>
      </c>
      <c r="C42" s="4" t="s">
        <v>522</v>
      </c>
      <c r="D42" s="4" t="s">
        <v>12</v>
      </c>
      <c r="E42" s="5">
        <v>28857</v>
      </c>
      <c r="F42" s="4" t="s">
        <v>114</v>
      </c>
      <c r="G42" s="4" t="s">
        <v>17</v>
      </c>
      <c r="H42" s="4" t="s">
        <v>18</v>
      </c>
      <c r="I42" s="6">
        <v>1062.18</v>
      </c>
      <c r="J42" s="7">
        <v>106218</v>
      </c>
    </row>
    <row r="43" spans="1:17" ht="15.75" customHeight="1" x14ac:dyDescent="0.25">
      <c r="A43" s="4">
        <v>22394</v>
      </c>
      <c r="B43" s="4" t="s">
        <v>499</v>
      </c>
      <c r="C43" s="4" t="s">
        <v>500</v>
      </c>
      <c r="D43" s="4" t="s">
        <v>12</v>
      </c>
      <c r="E43" s="5">
        <v>24474</v>
      </c>
      <c r="F43" s="4" t="s">
        <v>110</v>
      </c>
      <c r="G43" s="4" t="s">
        <v>111</v>
      </c>
      <c r="H43" s="4" t="s">
        <v>18</v>
      </c>
      <c r="I43" s="6">
        <v>1197</v>
      </c>
      <c r="J43" s="7">
        <v>119700</v>
      </c>
    </row>
    <row r="44" spans="1:17" ht="15.75" customHeight="1" x14ac:dyDescent="0.25">
      <c r="A44" s="4">
        <v>20646</v>
      </c>
      <c r="B44" s="4" t="s">
        <v>551</v>
      </c>
      <c r="C44" s="4" t="s">
        <v>552</v>
      </c>
      <c r="D44" s="4" t="s">
        <v>12</v>
      </c>
      <c r="E44" s="5">
        <v>23136</v>
      </c>
      <c r="F44" s="4" t="s">
        <v>54</v>
      </c>
      <c r="G44" s="4" t="s">
        <v>55</v>
      </c>
      <c r="H44" s="4" t="s">
        <v>18</v>
      </c>
      <c r="I44" s="6">
        <v>894</v>
      </c>
      <c r="J44" s="7">
        <v>89400</v>
      </c>
    </row>
    <row r="45" spans="1:17" ht="15.75" customHeight="1" x14ac:dyDescent="0.25">
      <c r="A45" s="4">
        <v>21960</v>
      </c>
      <c r="B45" s="4" t="s">
        <v>529</v>
      </c>
      <c r="C45" s="4" t="s">
        <v>530</v>
      </c>
      <c r="D45" s="4" t="s">
        <v>24</v>
      </c>
      <c r="E45" s="5">
        <v>32348</v>
      </c>
      <c r="F45" s="4" t="s">
        <v>115</v>
      </c>
      <c r="G45" s="4" t="s">
        <v>116</v>
      </c>
      <c r="H45" s="4" t="s">
        <v>18</v>
      </c>
      <c r="I45" s="6">
        <v>1015.3</v>
      </c>
      <c r="J45" s="7">
        <v>101530</v>
      </c>
    </row>
    <row r="46" spans="1:17" ht="15.75" customHeight="1" x14ac:dyDescent="0.25">
      <c r="A46" s="4">
        <v>20928</v>
      </c>
      <c r="B46" s="4" t="s">
        <v>548</v>
      </c>
      <c r="C46" s="4" t="s">
        <v>549</v>
      </c>
      <c r="D46" s="4" t="s">
        <v>24</v>
      </c>
      <c r="E46" s="5">
        <v>27537</v>
      </c>
      <c r="F46" s="4" t="s">
        <v>70</v>
      </c>
      <c r="G46" s="4" t="s">
        <v>55</v>
      </c>
      <c r="H46" s="4" t="s">
        <v>18</v>
      </c>
      <c r="I46" s="6">
        <v>914.39</v>
      </c>
      <c r="J46" s="7">
        <v>91439</v>
      </c>
    </row>
    <row r="47" spans="1:17" ht="15.75" customHeight="1" x14ac:dyDescent="0.25">
      <c r="A47" s="4">
        <v>47952</v>
      </c>
      <c r="B47" s="4" t="s">
        <v>546</v>
      </c>
      <c r="C47" s="4" t="s">
        <v>547</v>
      </c>
      <c r="D47" s="4" t="s">
        <v>12</v>
      </c>
      <c r="E47" s="5">
        <v>35079</v>
      </c>
      <c r="F47" s="4" t="s">
        <v>54</v>
      </c>
      <c r="G47" s="4" t="s">
        <v>55</v>
      </c>
      <c r="H47" s="4" t="s">
        <v>18</v>
      </c>
      <c r="I47" s="6">
        <v>923.18</v>
      </c>
      <c r="J47" s="7">
        <v>92318</v>
      </c>
    </row>
    <row r="48" spans="1:17" ht="15.75" customHeight="1" x14ac:dyDescent="0.25">
      <c r="A48" s="4">
        <v>20908</v>
      </c>
      <c r="B48" s="4" t="s">
        <v>556</v>
      </c>
      <c r="C48" s="4" t="s">
        <v>583</v>
      </c>
      <c r="D48" s="4" t="s">
        <v>24</v>
      </c>
      <c r="E48" s="5">
        <v>23768</v>
      </c>
      <c r="F48" s="4" t="s">
        <v>114</v>
      </c>
      <c r="G48" s="4" t="s">
        <v>17</v>
      </c>
      <c r="H48" s="4" t="s">
        <v>18</v>
      </c>
      <c r="I48" s="6">
        <v>741.24</v>
      </c>
      <c r="J48" s="7">
        <v>74124</v>
      </c>
    </row>
    <row r="49" spans="1:10" ht="15.75" customHeight="1" x14ac:dyDescent="0.25">
      <c r="A49" s="4">
        <v>123387</v>
      </c>
      <c r="B49" s="4" t="s">
        <v>556</v>
      </c>
      <c r="C49" s="4" t="s">
        <v>339</v>
      </c>
      <c r="D49" s="4" t="s">
        <v>24</v>
      </c>
      <c r="E49" s="5">
        <v>24377</v>
      </c>
      <c r="F49" s="4" t="s">
        <v>54</v>
      </c>
      <c r="G49" s="4" t="s">
        <v>55</v>
      </c>
      <c r="H49" s="4" t="s">
        <v>18</v>
      </c>
      <c r="I49" s="6">
        <v>672.04</v>
      </c>
      <c r="J49" s="7">
        <v>67204</v>
      </c>
    </row>
    <row r="50" spans="1:10" ht="15.75" customHeight="1" x14ac:dyDescent="0.25">
      <c r="A50" s="4">
        <v>123434</v>
      </c>
      <c r="B50" s="4" t="s">
        <v>574</v>
      </c>
      <c r="C50" s="4" t="s">
        <v>575</v>
      </c>
      <c r="D50" s="4" t="s">
        <v>12</v>
      </c>
      <c r="E50" s="5">
        <v>26239</v>
      </c>
      <c r="F50" s="4" t="s">
        <v>70</v>
      </c>
      <c r="G50" s="4" t="s">
        <v>55</v>
      </c>
      <c r="H50" s="4" t="s">
        <v>18</v>
      </c>
      <c r="I50" s="6">
        <v>765.05</v>
      </c>
      <c r="J50" s="7">
        <v>76505</v>
      </c>
    </row>
    <row r="51" spans="1:10" ht="15.75" customHeight="1" x14ac:dyDescent="0.25">
      <c r="A51" s="4">
        <v>20618</v>
      </c>
      <c r="B51" s="4" t="s">
        <v>579</v>
      </c>
      <c r="C51" s="4" t="s">
        <v>600</v>
      </c>
      <c r="D51" s="4" t="s">
        <v>24</v>
      </c>
      <c r="E51" s="5">
        <v>19725</v>
      </c>
      <c r="F51" s="4" t="s">
        <v>127</v>
      </c>
      <c r="G51" s="4" t="s">
        <v>37</v>
      </c>
      <c r="H51" s="4" t="s">
        <v>18</v>
      </c>
      <c r="I51" s="6">
        <v>661.2</v>
      </c>
      <c r="J51" s="7">
        <v>66120</v>
      </c>
    </row>
    <row r="52" spans="1:10" ht="15.75" customHeight="1" x14ac:dyDescent="0.25">
      <c r="A52" s="4">
        <v>26437</v>
      </c>
      <c r="B52" s="4" t="s">
        <v>605</v>
      </c>
      <c r="C52" s="4" t="s">
        <v>585</v>
      </c>
      <c r="D52" s="4" t="s">
        <v>24</v>
      </c>
      <c r="E52" s="5">
        <v>27593</v>
      </c>
      <c r="F52" s="4" t="s">
        <v>128</v>
      </c>
      <c r="G52" s="4" t="s">
        <v>129</v>
      </c>
      <c r="H52" s="4" t="s">
        <v>18</v>
      </c>
      <c r="I52" s="6">
        <v>640</v>
      </c>
      <c r="J52" s="7">
        <v>64000</v>
      </c>
    </row>
    <row r="53" spans="1:10" ht="15.75" customHeight="1" x14ac:dyDescent="0.25">
      <c r="A53" s="4">
        <v>21767</v>
      </c>
      <c r="B53" s="4" t="s">
        <v>633</v>
      </c>
      <c r="C53" s="4" t="s">
        <v>634</v>
      </c>
      <c r="D53" s="4" t="s">
        <v>12</v>
      </c>
      <c r="E53" s="5">
        <v>33664</v>
      </c>
      <c r="F53" s="4" t="s">
        <v>134</v>
      </c>
      <c r="G53" s="4" t="s">
        <v>135</v>
      </c>
      <c r="H53" s="4" t="s">
        <v>18</v>
      </c>
      <c r="I53" s="6">
        <v>568.86</v>
      </c>
      <c r="J53" s="7">
        <v>56886</v>
      </c>
    </row>
    <row r="54" spans="1:10" ht="15.75" customHeight="1" x14ac:dyDescent="0.25">
      <c r="A54" s="4">
        <v>24918</v>
      </c>
      <c r="B54" s="4" t="s">
        <v>638</v>
      </c>
      <c r="C54" s="4" t="s">
        <v>416</v>
      </c>
      <c r="D54" s="4" t="s">
        <v>12</v>
      </c>
      <c r="E54" s="5">
        <v>31048</v>
      </c>
      <c r="F54" s="4" t="s">
        <v>53</v>
      </c>
      <c r="G54" s="4" t="s">
        <v>37</v>
      </c>
      <c r="H54" s="4" t="s">
        <v>18</v>
      </c>
      <c r="I54" s="6">
        <v>497.14</v>
      </c>
      <c r="J54" s="7">
        <v>49714</v>
      </c>
    </row>
    <row r="55" spans="1:10" ht="15.75" customHeight="1" x14ac:dyDescent="0.25">
      <c r="A55" s="4">
        <v>20784</v>
      </c>
      <c r="B55" s="4" t="s">
        <v>638</v>
      </c>
      <c r="C55" s="4" t="s">
        <v>559</v>
      </c>
      <c r="D55" s="4" t="s">
        <v>12</v>
      </c>
      <c r="E55" s="5">
        <v>30683</v>
      </c>
      <c r="F55" s="4" t="s">
        <v>54</v>
      </c>
      <c r="G55" s="4" t="s">
        <v>55</v>
      </c>
      <c r="H55" s="4" t="s">
        <v>18</v>
      </c>
      <c r="I55" s="6">
        <v>551.4</v>
      </c>
      <c r="J55" s="7">
        <v>55140</v>
      </c>
    </row>
    <row r="56" spans="1:10" ht="15.75" customHeight="1" x14ac:dyDescent="0.25">
      <c r="A56" s="4">
        <v>136793</v>
      </c>
      <c r="B56" s="4" t="s">
        <v>650</v>
      </c>
      <c r="C56" s="4" t="s">
        <v>651</v>
      </c>
      <c r="D56" s="4" t="s">
        <v>24</v>
      </c>
      <c r="E56" s="5">
        <v>18964</v>
      </c>
      <c r="F56" s="4" t="s">
        <v>138</v>
      </c>
      <c r="G56" s="4" t="s">
        <v>55</v>
      </c>
      <c r="H56" s="4" t="s">
        <v>18</v>
      </c>
      <c r="I56" s="6">
        <v>516.41999999999996</v>
      </c>
      <c r="J56" s="7">
        <v>51642</v>
      </c>
    </row>
    <row r="57" spans="1:10" ht="15.75" customHeight="1" x14ac:dyDescent="0.25">
      <c r="A57" s="4">
        <v>26583</v>
      </c>
      <c r="B57" s="4" t="s">
        <v>647</v>
      </c>
      <c r="C57" s="4" t="s">
        <v>648</v>
      </c>
      <c r="D57" s="4" t="s">
        <v>24</v>
      </c>
      <c r="E57" s="5">
        <v>23569</v>
      </c>
      <c r="F57" s="4" t="s">
        <v>138</v>
      </c>
      <c r="G57" s="4" t="s">
        <v>55</v>
      </c>
      <c r="H57" s="4" t="s">
        <v>18</v>
      </c>
      <c r="I57" s="6">
        <v>525.44000000000005</v>
      </c>
      <c r="J57" s="7">
        <v>52544</v>
      </c>
    </row>
    <row r="58" spans="1:10" ht="15.75" customHeight="1" x14ac:dyDescent="0.25">
      <c r="A58" s="4">
        <v>23650</v>
      </c>
      <c r="B58" s="4" t="s">
        <v>676</v>
      </c>
      <c r="C58" s="4" t="s">
        <v>677</v>
      </c>
      <c r="D58" s="4" t="s">
        <v>12</v>
      </c>
      <c r="E58" s="5">
        <v>26306</v>
      </c>
      <c r="F58" s="4" t="s">
        <v>54</v>
      </c>
      <c r="G58" s="4" t="s">
        <v>55</v>
      </c>
      <c r="H58" s="4" t="s">
        <v>18</v>
      </c>
      <c r="I58" s="6">
        <v>446.32</v>
      </c>
      <c r="J58" s="7">
        <v>44632</v>
      </c>
    </row>
    <row r="59" spans="1:10" ht="15.75" customHeight="1" x14ac:dyDescent="0.25">
      <c r="A59" s="4">
        <v>138474</v>
      </c>
      <c r="B59" s="4" t="s">
        <v>683</v>
      </c>
      <c r="C59" s="4" t="s">
        <v>690</v>
      </c>
      <c r="D59" s="4" t="s">
        <v>24</v>
      </c>
      <c r="E59" s="5">
        <v>23941</v>
      </c>
      <c r="F59" s="4" t="s">
        <v>104</v>
      </c>
      <c r="G59" s="4" t="s">
        <v>55</v>
      </c>
      <c r="H59" s="4" t="s">
        <v>18</v>
      </c>
      <c r="I59" s="6">
        <v>405.6</v>
      </c>
      <c r="J59" s="7">
        <v>40560</v>
      </c>
    </row>
    <row r="60" spans="1:10" ht="15.75" customHeight="1" x14ac:dyDescent="0.25">
      <c r="A60" s="4">
        <v>94376</v>
      </c>
      <c r="B60" s="4" t="s">
        <v>710</v>
      </c>
      <c r="C60" s="4" t="s">
        <v>711</v>
      </c>
      <c r="D60" s="4" t="s">
        <v>12</v>
      </c>
      <c r="E60" s="5">
        <v>32813</v>
      </c>
      <c r="F60" s="4" t="s">
        <v>36</v>
      </c>
      <c r="G60" s="4" t="s">
        <v>37</v>
      </c>
      <c r="H60" s="4" t="s">
        <v>18</v>
      </c>
      <c r="I60" s="6">
        <v>350</v>
      </c>
      <c r="J60" s="7">
        <v>35000</v>
      </c>
    </row>
    <row r="61" spans="1:10" ht="15.75" customHeight="1" x14ac:dyDescent="0.25">
      <c r="A61" s="4">
        <v>131043</v>
      </c>
      <c r="B61" s="4" t="s">
        <v>681</v>
      </c>
      <c r="C61" s="4" t="s">
        <v>682</v>
      </c>
      <c r="D61" s="4" t="s">
        <v>12</v>
      </c>
      <c r="E61" s="5">
        <v>27741</v>
      </c>
      <c r="F61" s="4" t="s">
        <v>54</v>
      </c>
      <c r="G61" s="4" t="s">
        <v>55</v>
      </c>
      <c r="H61" s="4" t="s">
        <v>18</v>
      </c>
      <c r="I61" s="6">
        <v>430.92</v>
      </c>
      <c r="J61" s="7">
        <v>43092</v>
      </c>
    </row>
    <row r="62" spans="1:10" ht="15.75" customHeight="1" x14ac:dyDescent="0.25">
      <c r="A62" s="4">
        <v>21415</v>
      </c>
      <c r="B62" s="4" t="s">
        <v>702</v>
      </c>
      <c r="C62" s="4" t="s">
        <v>703</v>
      </c>
      <c r="D62" s="4" t="s">
        <v>12</v>
      </c>
      <c r="E62" s="5">
        <v>29965</v>
      </c>
      <c r="F62" s="4" t="s">
        <v>128</v>
      </c>
      <c r="G62" s="4" t="s">
        <v>129</v>
      </c>
      <c r="H62" s="4" t="s">
        <v>18</v>
      </c>
      <c r="I62" s="6">
        <v>363.44</v>
      </c>
      <c r="J62" s="7">
        <v>36344</v>
      </c>
    </row>
    <row r="63" spans="1:10" ht="15.75" customHeight="1" x14ac:dyDescent="0.25">
      <c r="A63" s="4">
        <v>20752</v>
      </c>
      <c r="B63" s="4" t="s">
        <v>696</v>
      </c>
      <c r="C63" s="4" t="s">
        <v>563</v>
      </c>
      <c r="D63" s="4" t="s">
        <v>24</v>
      </c>
      <c r="E63" s="5">
        <v>17540</v>
      </c>
      <c r="F63" s="4" t="s">
        <v>54</v>
      </c>
      <c r="G63" s="4" t="s">
        <v>55</v>
      </c>
      <c r="H63" s="4" t="s">
        <v>18</v>
      </c>
      <c r="I63" s="6">
        <v>378.2</v>
      </c>
      <c r="J63" s="7">
        <v>37820</v>
      </c>
    </row>
    <row r="64" spans="1:10" ht="15.75" customHeight="1" x14ac:dyDescent="0.25">
      <c r="A64" s="4">
        <v>137477</v>
      </c>
      <c r="B64" s="4" t="s">
        <v>735</v>
      </c>
      <c r="C64" s="4" t="s">
        <v>736</v>
      </c>
      <c r="D64" s="4" t="s">
        <v>12</v>
      </c>
      <c r="E64" s="5">
        <v>25446</v>
      </c>
      <c r="F64" s="4" t="s">
        <v>154</v>
      </c>
      <c r="G64" s="4" t="s">
        <v>37</v>
      </c>
      <c r="H64" s="4" t="s">
        <v>18</v>
      </c>
      <c r="I64" s="6">
        <v>312</v>
      </c>
      <c r="J64" s="7">
        <v>31200</v>
      </c>
    </row>
    <row r="65" spans="1:10" ht="15.75" customHeight="1" x14ac:dyDescent="0.25">
      <c r="A65" s="4">
        <v>21389</v>
      </c>
      <c r="B65" s="4" t="s">
        <v>733</v>
      </c>
      <c r="C65" s="4" t="s">
        <v>734</v>
      </c>
      <c r="D65" s="4" t="s">
        <v>24</v>
      </c>
      <c r="E65" s="5">
        <v>32200</v>
      </c>
      <c r="F65" s="4" t="s">
        <v>115</v>
      </c>
      <c r="G65" s="4" t="s">
        <v>116</v>
      </c>
      <c r="H65" s="4" t="s">
        <v>18</v>
      </c>
      <c r="I65" s="6">
        <v>317.47000000000003</v>
      </c>
      <c r="J65" s="7">
        <v>31747</v>
      </c>
    </row>
    <row r="66" spans="1:10" ht="15.75" customHeight="1" x14ac:dyDescent="0.25">
      <c r="A66" s="4">
        <v>21954</v>
      </c>
      <c r="B66" s="4" t="s">
        <v>745</v>
      </c>
      <c r="C66" s="4" t="s">
        <v>746</v>
      </c>
      <c r="D66" s="4" t="s">
        <v>12</v>
      </c>
      <c r="E66" s="5">
        <v>24056</v>
      </c>
      <c r="F66" s="4" t="s">
        <v>138</v>
      </c>
      <c r="G66" s="4" t="s">
        <v>55</v>
      </c>
      <c r="H66" s="4" t="s">
        <v>18</v>
      </c>
      <c r="I66" s="6">
        <v>308</v>
      </c>
      <c r="J66" s="7">
        <v>30800</v>
      </c>
    </row>
    <row r="67" spans="1:10" ht="15.75" customHeight="1" x14ac:dyDescent="0.25">
      <c r="A67" s="4">
        <v>20762</v>
      </c>
      <c r="B67" s="4" t="s">
        <v>769</v>
      </c>
      <c r="C67" s="4" t="s">
        <v>770</v>
      </c>
      <c r="D67" s="4" t="s">
        <v>12</v>
      </c>
      <c r="E67" s="5">
        <v>32390</v>
      </c>
      <c r="F67" s="4" t="s">
        <v>127</v>
      </c>
      <c r="G67" s="4" t="s">
        <v>37</v>
      </c>
      <c r="H67" s="4" t="s">
        <v>18</v>
      </c>
      <c r="I67" s="6">
        <v>274.86</v>
      </c>
      <c r="J67" s="7">
        <v>27486</v>
      </c>
    </row>
    <row r="68" spans="1:10" ht="15.75" customHeight="1" x14ac:dyDescent="0.25">
      <c r="A68" s="4">
        <v>20697</v>
      </c>
      <c r="B68" s="4" t="s">
        <v>791</v>
      </c>
      <c r="C68" s="4" t="s">
        <v>792</v>
      </c>
      <c r="D68" s="4" t="s">
        <v>24</v>
      </c>
      <c r="E68" s="5">
        <v>29842</v>
      </c>
      <c r="F68" s="4" t="s">
        <v>16</v>
      </c>
      <c r="G68" s="4" t="s">
        <v>17</v>
      </c>
      <c r="H68" s="4" t="s">
        <v>18</v>
      </c>
      <c r="I68" s="6">
        <v>250</v>
      </c>
      <c r="J68" s="7">
        <v>25000</v>
      </c>
    </row>
    <row r="69" spans="1:10" ht="15.75" customHeight="1" x14ac:dyDescent="0.25">
      <c r="A69" s="4">
        <v>21608</v>
      </c>
      <c r="B69" s="4" t="s">
        <v>774</v>
      </c>
      <c r="C69" s="4" t="s">
        <v>775</v>
      </c>
      <c r="D69" s="4" t="s">
        <v>24</v>
      </c>
      <c r="E69" s="5">
        <v>30682</v>
      </c>
      <c r="F69" s="4" t="s">
        <v>53</v>
      </c>
      <c r="G69" s="4" t="s">
        <v>37</v>
      </c>
      <c r="H69" s="4" t="s">
        <v>18</v>
      </c>
      <c r="I69" s="6">
        <v>270</v>
      </c>
      <c r="J69" s="7">
        <v>27000</v>
      </c>
    </row>
    <row r="70" spans="1:10" ht="15.75" customHeight="1" x14ac:dyDescent="0.25">
      <c r="A70" s="4">
        <v>140018</v>
      </c>
      <c r="B70" s="4" t="s">
        <v>776</v>
      </c>
      <c r="C70" s="4" t="s">
        <v>794</v>
      </c>
      <c r="D70" s="4" t="s">
        <v>24</v>
      </c>
      <c r="E70" s="5">
        <v>24473</v>
      </c>
      <c r="F70" s="4" t="s">
        <v>162</v>
      </c>
      <c r="G70" s="4" t="s">
        <v>17</v>
      </c>
      <c r="H70" s="4" t="s">
        <v>18</v>
      </c>
      <c r="I70" s="6">
        <v>248.04</v>
      </c>
      <c r="J70" s="7">
        <v>24804</v>
      </c>
    </row>
    <row r="71" spans="1:10" ht="15.75" customHeight="1" x14ac:dyDescent="0.25">
      <c r="A71" s="4">
        <v>20921</v>
      </c>
      <c r="B71" s="4" t="s">
        <v>781</v>
      </c>
      <c r="C71" s="4" t="s">
        <v>366</v>
      </c>
      <c r="D71" s="4" t="s">
        <v>12</v>
      </c>
      <c r="E71" s="5">
        <v>27420</v>
      </c>
      <c r="F71" s="4" t="s">
        <v>54</v>
      </c>
      <c r="G71" s="4" t="s">
        <v>55</v>
      </c>
      <c r="H71" s="4" t="s">
        <v>18</v>
      </c>
      <c r="I71" s="6">
        <v>258.72000000000003</v>
      </c>
      <c r="J71" s="7">
        <v>25872</v>
      </c>
    </row>
    <row r="72" spans="1:10" ht="15.75" customHeight="1" x14ac:dyDescent="0.25">
      <c r="A72" s="4">
        <v>21135</v>
      </c>
      <c r="B72" s="4" t="s">
        <v>782</v>
      </c>
      <c r="C72" s="4" t="s">
        <v>809</v>
      </c>
      <c r="D72" s="4" t="s">
        <v>12</v>
      </c>
      <c r="E72" s="5">
        <v>24472</v>
      </c>
      <c r="F72" s="4" t="s">
        <v>76</v>
      </c>
      <c r="G72" s="4" t="s">
        <v>55</v>
      </c>
      <c r="H72" s="4" t="s">
        <v>18</v>
      </c>
      <c r="I72" s="6">
        <v>223.44</v>
      </c>
      <c r="J72" s="7">
        <v>22344</v>
      </c>
    </row>
    <row r="73" spans="1:10" ht="15.75" customHeight="1" x14ac:dyDescent="0.25">
      <c r="A73" s="4">
        <v>126215</v>
      </c>
      <c r="B73" s="4" t="s">
        <v>821</v>
      </c>
      <c r="C73" s="4" t="s">
        <v>636</v>
      </c>
      <c r="D73" s="4" t="s">
        <v>12</v>
      </c>
      <c r="E73" s="5">
        <v>30022</v>
      </c>
      <c r="F73" s="4" t="s">
        <v>128</v>
      </c>
      <c r="G73" s="4" t="s">
        <v>129</v>
      </c>
      <c r="H73" s="4" t="s">
        <v>18</v>
      </c>
      <c r="I73" s="6">
        <v>199.5</v>
      </c>
      <c r="J73" s="7">
        <v>19950</v>
      </c>
    </row>
    <row r="74" spans="1:10" ht="15.75" customHeight="1" x14ac:dyDescent="0.25">
      <c r="A74" s="4">
        <v>21080</v>
      </c>
      <c r="B74" s="4" t="s">
        <v>842</v>
      </c>
      <c r="C74" s="4" t="s">
        <v>497</v>
      </c>
      <c r="D74" s="4" t="s">
        <v>12</v>
      </c>
      <c r="E74" s="5">
        <v>27452</v>
      </c>
      <c r="F74" s="4" t="s">
        <v>154</v>
      </c>
      <c r="G74" s="4" t="s">
        <v>37</v>
      </c>
      <c r="H74" s="4" t="s">
        <v>18</v>
      </c>
      <c r="I74" s="6">
        <v>153</v>
      </c>
      <c r="J74" s="7">
        <v>15300</v>
      </c>
    </row>
    <row r="75" spans="1:10" ht="15.75" customHeight="1" x14ac:dyDescent="0.25">
      <c r="A75" s="4">
        <v>22905</v>
      </c>
      <c r="B75" s="4" t="s">
        <v>883</v>
      </c>
      <c r="C75" s="4" t="s">
        <v>884</v>
      </c>
      <c r="D75" s="4" t="s">
        <v>12</v>
      </c>
      <c r="E75" s="5">
        <v>32695</v>
      </c>
      <c r="F75" s="4" t="s">
        <v>70</v>
      </c>
      <c r="G75" s="4" t="s">
        <v>55</v>
      </c>
      <c r="H75" s="4" t="s">
        <v>18</v>
      </c>
      <c r="I75" s="6">
        <v>147.41999999999999</v>
      </c>
      <c r="J75" s="7">
        <v>14742</v>
      </c>
    </row>
    <row r="76" spans="1:10" ht="15.75" customHeight="1" x14ac:dyDescent="0.25">
      <c r="A76" s="4">
        <v>24012</v>
      </c>
      <c r="B76" s="4" t="s">
        <v>889</v>
      </c>
      <c r="C76" s="4" t="s">
        <v>890</v>
      </c>
      <c r="D76" s="4" t="s">
        <v>12</v>
      </c>
      <c r="E76" s="5">
        <v>33596</v>
      </c>
      <c r="F76" s="4" t="s">
        <v>54</v>
      </c>
      <c r="G76" s="4" t="s">
        <v>55</v>
      </c>
      <c r="H76" s="4" t="s">
        <v>18</v>
      </c>
      <c r="I76" s="6">
        <v>140.4</v>
      </c>
      <c r="J76" s="7">
        <v>14040</v>
      </c>
    </row>
    <row r="77" spans="1:10" ht="15.75" customHeight="1" x14ac:dyDescent="0.25">
      <c r="A77" s="4">
        <v>140105</v>
      </c>
      <c r="B77" s="4" t="s">
        <v>898</v>
      </c>
      <c r="C77" s="4" t="s">
        <v>339</v>
      </c>
      <c r="D77" s="4" t="s">
        <v>12</v>
      </c>
      <c r="E77" s="5">
        <v>30150</v>
      </c>
      <c r="F77" s="4" t="s">
        <v>171</v>
      </c>
      <c r="G77" s="4" t="s">
        <v>55</v>
      </c>
      <c r="H77" s="4" t="s">
        <v>18</v>
      </c>
      <c r="I77" s="6">
        <v>118</v>
      </c>
      <c r="J77" s="7">
        <v>11800</v>
      </c>
    </row>
    <row r="78" spans="1:10" ht="15.75" customHeight="1" x14ac:dyDescent="0.25">
      <c r="A78" s="4">
        <v>121138</v>
      </c>
      <c r="B78" s="4" t="s">
        <v>898</v>
      </c>
      <c r="C78" s="4" t="s">
        <v>923</v>
      </c>
      <c r="D78" s="4" t="s">
        <v>12</v>
      </c>
      <c r="E78" s="5">
        <v>31878</v>
      </c>
      <c r="F78" s="4" t="s">
        <v>71</v>
      </c>
      <c r="G78" s="4" t="s">
        <v>72</v>
      </c>
      <c r="H78" s="4" t="s">
        <v>18</v>
      </c>
      <c r="I78" s="6">
        <v>107.46</v>
      </c>
      <c r="J78" s="7">
        <v>10746</v>
      </c>
    </row>
    <row r="79" spans="1:10" ht="15.75" customHeight="1" x14ac:dyDescent="0.25">
      <c r="A79" s="4">
        <v>121576</v>
      </c>
      <c r="B79" s="4" t="s">
        <v>898</v>
      </c>
      <c r="C79" s="4" t="s">
        <v>903</v>
      </c>
      <c r="D79" s="4" t="s">
        <v>12</v>
      </c>
      <c r="E79" s="5">
        <v>31083</v>
      </c>
      <c r="F79" s="4" t="s">
        <v>114</v>
      </c>
      <c r="G79" s="4" t="s">
        <v>17</v>
      </c>
      <c r="H79" s="4" t="s">
        <v>18</v>
      </c>
      <c r="I79" s="6">
        <v>121.39</v>
      </c>
      <c r="J79" s="7">
        <v>12139</v>
      </c>
    </row>
    <row r="80" spans="1:10" ht="15.75" customHeight="1" x14ac:dyDescent="0.25">
      <c r="A80" s="4">
        <v>131558</v>
      </c>
      <c r="B80" s="4" t="s">
        <v>908</v>
      </c>
      <c r="C80" s="4" t="s">
        <v>680</v>
      </c>
      <c r="D80" s="4" t="s">
        <v>12</v>
      </c>
      <c r="E80" s="5">
        <v>29974</v>
      </c>
      <c r="F80" s="4" t="s">
        <v>76</v>
      </c>
      <c r="G80" s="4" t="s">
        <v>55</v>
      </c>
      <c r="H80" s="4" t="s">
        <v>18</v>
      </c>
      <c r="I80" s="6">
        <v>99.6</v>
      </c>
      <c r="J80" s="7">
        <v>9960</v>
      </c>
    </row>
    <row r="81" spans="1:10" ht="15.75" customHeight="1" x14ac:dyDescent="0.25">
      <c r="A81" s="4">
        <v>42271</v>
      </c>
      <c r="B81" s="4" t="s">
        <v>943</v>
      </c>
      <c r="C81" s="4" t="s">
        <v>944</v>
      </c>
      <c r="D81" s="4" t="s">
        <v>12</v>
      </c>
      <c r="E81" s="5">
        <v>32901</v>
      </c>
      <c r="F81" s="4" t="s">
        <v>76</v>
      </c>
      <c r="G81" s="4" t="s">
        <v>55</v>
      </c>
      <c r="H81" s="4" t="s">
        <v>18</v>
      </c>
      <c r="I81" s="6">
        <v>86.42</v>
      </c>
      <c r="J81" s="7">
        <v>8642</v>
      </c>
    </row>
    <row r="82" spans="1:10" ht="15.75" customHeight="1" x14ac:dyDescent="0.25">
      <c r="A82" s="4">
        <v>33416</v>
      </c>
      <c r="B82" s="4" t="s">
        <v>955</v>
      </c>
      <c r="C82" s="4" t="s">
        <v>956</v>
      </c>
      <c r="D82" s="4" t="s">
        <v>12</v>
      </c>
      <c r="E82" s="5">
        <v>27589</v>
      </c>
      <c r="F82" s="4" t="s">
        <v>181</v>
      </c>
      <c r="G82" s="4" t="s">
        <v>182</v>
      </c>
      <c r="H82" s="4" t="s">
        <v>18</v>
      </c>
      <c r="I82" s="6">
        <v>74.5</v>
      </c>
      <c r="J82" s="7">
        <v>7450</v>
      </c>
    </row>
    <row r="83" spans="1:10" ht="15.75" customHeight="1" x14ac:dyDescent="0.25">
      <c r="A83" s="4">
        <v>20789</v>
      </c>
      <c r="B83" s="4" t="s">
        <v>931</v>
      </c>
      <c r="C83" s="4" t="s">
        <v>932</v>
      </c>
      <c r="D83" s="4" t="s">
        <v>12</v>
      </c>
      <c r="E83" s="5">
        <v>27374</v>
      </c>
      <c r="F83" s="4" t="s">
        <v>162</v>
      </c>
      <c r="G83" s="4" t="s">
        <v>17</v>
      </c>
      <c r="H83" s="4" t="s">
        <v>18</v>
      </c>
      <c r="I83" s="6">
        <v>99.83</v>
      </c>
      <c r="J83" s="7">
        <v>9983</v>
      </c>
    </row>
    <row r="84" spans="1:10" ht="15.75" customHeight="1" x14ac:dyDescent="0.25">
      <c r="A84" s="4">
        <v>22053</v>
      </c>
      <c r="B84" s="4" t="s">
        <v>945</v>
      </c>
      <c r="C84" s="4" t="s">
        <v>946</v>
      </c>
      <c r="D84" s="4" t="s">
        <v>12</v>
      </c>
      <c r="E84" s="5">
        <v>19782</v>
      </c>
      <c r="F84" s="4" t="s">
        <v>107</v>
      </c>
      <c r="G84" s="4" t="s">
        <v>55</v>
      </c>
      <c r="H84" s="4" t="s">
        <v>18</v>
      </c>
      <c r="I84" s="6">
        <v>84.93</v>
      </c>
      <c r="J84" s="7">
        <v>8493</v>
      </c>
    </row>
    <row r="85" spans="1:10" ht="15.75" customHeight="1" x14ac:dyDescent="0.25">
      <c r="A85" s="4">
        <v>23633</v>
      </c>
      <c r="B85" s="4" t="s">
        <v>949</v>
      </c>
      <c r="C85" s="4" t="s">
        <v>847</v>
      </c>
      <c r="D85" s="4" t="s">
        <v>12</v>
      </c>
      <c r="E85" s="5">
        <v>30956</v>
      </c>
      <c r="F85" s="4" t="s">
        <v>127</v>
      </c>
      <c r="G85" s="4" t="s">
        <v>37</v>
      </c>
      <c r="H85" s="4" t="s">
        <v>18</v>
      </c>
      <c r="I85" s="6">
        <v>72.239999999999995</v>
      </c>
      <c r="J85" s="7">
        <v>7224</v>
      </c>
    </row>
    <row r="86" spans="1:10" ht="15.75" customHeight="1" x14ac:dyDescent="0.25">
      <c r="A86" s="4">
        <v>132997</v>
      </c>
      <c r="B86" s="4" t="s">
        <v>965</v>
      </c>
      <c r="C86" s="4" t="s">
        <v>977</v>
      </c>
      <c r="D86" s="4" t="s">
        <v>12</v>
      </c>
      <c r="E86" s="5">
        <v>28495</v>
      </c>
      <c r="F86" s="4" t="s">
        <v>185</v>
      </c>
      <c r="G86" s="4" t="s">
        <v>39</v>
      </c>
      <c r="H86" s="4" t="s">
        <v>18</v>
      </c>
      <c r="I86" s="6">
        <v>51</v>
      </c>
      <c r="J86" s="7">
        <v>5100</v>
      </c>
    </row>
    <row r="87" spans="1:10" ht="15.75" customHeight="1" x14ac:dyDescent="0.25">
      <c r="A87" s="4">
        <v>123608</v>
      </c>
      <c r="B87" s="4" t="s">
        <v>991</v>
      </c>
      <c r="C87" s="4" t="s">
        <v>992</v>
      </c>
      <c r="D87" s="4" t="s">
        <v>12</v>
      </c>
      <c r="E87" s="5">
        <v>32638</v>
      </c>
      <c r="F87" s="4" t="s">
        <v>127</v>
      </c>
      <c r="G87" s="4" t="s">
        <v>37</v>
      </c>
      <c r="H87" s="4" t="s">
        <v>18</v>
      </c>
      <c r="I87" s="6">
        <v>23.56</v>
      </c>
      <c r="J87" s="7">
        <v>2356</v>
      </c>
    </row>
    <row r="88" spans="1:10" ht="15.75" customHeight="1" x14ac:dyDescent="0.25">
      <c r="A88" s="4">
        <v>20598</v>
      </c>
      <c r="B88" s="4" t="s">
        <v>331</v>
      </c>
      <c r="C88" s="4" t="s">
        <v>332</v>
      </c>
      <c r="D88" s="4" t="s">
        <v>12</v>
      </c>
      <c r="E88" s="5">
        <v>25830</v>
      </c>
      <c r="F88" s="4" t="s">
        <v>38</v>
      </c>
      <c r="G88" s="4" t="s">
        <v>39</v>
      </c>
      <c r="H88" s="4" t="s">
        <v>40</v>
      </c>
      <c r="I88" s="6">
        <v>7205.18</v>
      </c>
      <c r="J88" s="7">
        <v>720518</v>
      </c>
    </row>
    <row r="89" spans="1:10" ht="15.75" customHeight="1" x14ac:dyDescent="0.25">
      <c r="A89" s="4">
        <v>20487</v>
      </c>
      <c r="B89" s="4" t="s">
        <v>378</v>
      </c>
      <c r="C89" s="4" t="s">
        <v>384</v>
      </c>
      <c r="D89" s="4" t="s">
        <v>12</v>
      </c>
      <c r="E89" s="5">
        <v>26659</v>
      </c>
      <c r="F89" s="4" t="s">
        <v>69</v>
      </c>
      <c r="G89" s="4" t="s">
        <v>39</v>
      </c>
      <c r="H89" s="4" t="s">
        <v>40</v>
      </c>
      <c r="I89" s="6">
        <v>2778.3</v>
      </c>
      <c r="J89" s="7">
        <v>277830</v>
      </c>
    </row>
    <row r="90" spans="1:10" ht="15.75" customHeight="1" x14ac:dyDescent="0.25">
      <c r="A90" s="4">
        <v>125733</v>
      </c>
      <c r="B90" s="4" t="s">
        <v>391</v>
      </c>
      <c r="C90" s="4" t="s">
        <v>406</v>
      </c>
      <c r="D90" s="4" t="s">
        <v>12</v>
      </c>
      <c r="E90" s="5">
        <v>32716</v>
      </c>
      <c r="F90" s="4" t="s">
        <v>69</v>
      </c>
      <c r="G90" s="4" t="s">
        <v>39</v>
      </c>
      <c r="H90" s="4" t="s">
        <v>40</v>
      </c>
      <c r="I90" s="6">
        <v>2172.5</v>
      </c>
      <c r="J90" s="7">
        <v>217250</v>
      </c>
    </row>
    <row r="91" spans="1:10" ht="15.75" customHeight="1" x14ac:dyDescent="0.25">
      <c r="A91" s="4">
        <v>20526</v>
      </c>
      <c r="B91" s="4" t="s">
        <v>405</v>
      </c>
      <c r="C91" s="4" t="s">
        <v>339</v>
      </c>
      <c r="D91" s="4" t="s">
        <v>12</v>
      </c>
      <c r="E91" s="5">
        <v>28730</v>
      </c>
      <c r="F91" s="4" t="s">
        <v>83</v>
      </c>
      <c r="G91" s="4" t="s">
        <v>84</v>
      </c>
      <c r="H91" s="4" t="s">
        <v>40</v>
      </c>
      <c r="I91" s="6">
        <v>1965.93</v>
      </c>
      <c r="J91" s="7">
        <v>196593</v>
      </c>
    </row>
    <row r="92" spans="1:10" ht="15.75" customHeight="1" x14ac:dyDescent="0.25">
      <c r="A92" s="4">
        <v>20603</v>
      </c>
      <c r="B92" s="4" t="s">
        <v>405</v>
      </c>
      <c r="C92" s="4" t="s">
        <v>339</v>
      </c>
      <c r="D92" s="4" t="s">
        <v>12</v>
      </c>
      <c r="E92" s="5">
        <v>27616</v>
      </c>
      <c r="F92" s="4" t="s">
        <v>81</v>
      </c>
      <c r="G92" s="4" t="s">
        <v>39</v>
      </c>
      <c r="H92" s="4" t="s">
        <v>40</v>
      </c>
      <c r="I92" s="6">
        <v>2040</v>
      </c>
      <c r="J92" s="7">
        <v>204000</v>
      </c>
    </row>
    <row r="93" spans="1:10" ht="15.75" customHeight="1" x14ac:dyDescent="0.25">
      <c r="A93" s="4">
        <v>123665</v>
      </c>
      <c r="B93" s="4" t="s">
        <v>424</v>
      </c>
      <c r="C93" s="4" t="s">
        <v>425</v>
      </c>
      <c r="D93" s="4" t="s">
        <v>12</v>
      </c>
      <c r="E93" s="5">
        <v>31413</v>
      </c>
      <c r="F93" s="4" t="s">
        <v>89</v>
      </c>
      <c r="G93" s="4" t="s">
        <v>39</v>
      </c>
      <c r="H93" s="4" t="s">
        <v>40</v>
      </c>
      <c r="I93" s="6">
        <v>1739.36</v>
      </c>
      <c r="J93" s="7">
        <v>173936</v>
      </c>
    </row>
    <row r="94" spans="1:10" ht="15.75" customHeight="1" x14ac:dyDescent="0.25">
      <c r="A94" s="4">
        <v>93908</v>
      </c>
      <c r="B94" s="4" t="s">
        <v>413</v>
      </c>
      <c r="C94" s="4" t="s">
        <v>414</v>
      </c>
      <c r="D94" s="4" t="s">
        <v>12</v>
      </c>
      <c r="E94" s="5">
        <v>25272</v>
      </c>
      <c r="F94" s="4" t="s">
        <v>85</v>
      </c>
      <c r="G94" s="4" t="s">
        <v>86</v>
      </c>
      <c r="H94" s="4" t="s">
        <v>40</v>
      </c>
      <c r="I94" s="6">
        <v>1942.33</v>
      </c>
      <c r="J94" s="7">
        <v>194233</v>
      </c>
    </row>
    <row r="95" spans="1:10" ht="15.75" customHeight="1" x14ac:dyDescent="0.25">
      <c r="A95" s="4">
        <v>22349</v>
      </c>
      <c r="B95" s="4" t="s">
        <v>463</v>
      </c>
      <c r="C95" s="4" t="s">
        <v>472</v>
      </c>
      <c r="D95" s="4" t="s">
        <v>12</v>
      </c>
      <c r="E95" s="5">
        <v>28350</v>
      </c>
      <c r="F95" s="4" t="s">
        <v>102</v>
      </c>
      <c r="G95" s="4" t="s">
        <v>84</v>
      </c>
      <c r="H95" s="4" t="s">
        <v>40</v>
      </c>
      <c r="I95" s="6">
        <v>1338.64</v>
      </c>
      <c r="J95" s="7">
        <v>133864</v>
      </c>
    </row>
    <row r="96" spans="1:10" ht="15.75" customHeight="1" x14ac:dyDescent="0.25">
      <c r="A96" s="4">
        <v>133051</v>
      </c>
      <c r="B96" s="4" t="s">
        <v>475</v>
      </c>
      <c r="C96" s="4" t="s">
        <v>476</v>
      </c>
      <c r="D96" s="4" t="s">
        <v>12</v>
      </c>
      <c r="E96" s="5">
        <v>26358</v>
      </c>
      <c r="F96" s="4" t="s">
        <v>103</v>
      </c>
      <c r="G96" s="4" t="s">
        <v>39</v>
      </c>
      <c r="H96" s="4" t="s">
        <v>40</v>
      </c>
      <c r="I96" s="6">
        <v>1320</v>
      </c>
      <c r="J96" s="7">
        <v>132000</v>
      </c>
    </row>
    <row r="97" spans="1:10" ht="15.75" customHeight="1" x14ac:dyDescent="0.25">
      <c r="A97" s="4">
        <v>133475</v>
      </c>
      <c r="B97" s="4" t="s">
        <v>512</v>
      </c>
      <c r="C97" s="4" t="s">
        <v>513</v>
      </c>
      <c r="D97" s="4" t="s">
        <v>12</v>
      </c>
      <c r="E97" s="5">
        <v>22923</v>
      </c>
      <c r="F97" s="4" t="s">
        <v>112</v>
      </c>
      <c r="G97" s="4" t="s">
        <v>86</v>
      </c>
      <c r="H97" s="4" t="s">
        <v>40</v>
      </c>
      <c r="I97" s="6">
        <v>1100</v>
      </c>
      <c r="J97" s="7">
        <v>110000</v>
      </c>
    </row>
    <row r="98" spans="1:10" ht="15.75" customHeight="1" x14ac:dyDescent="0.25">
      <c r="A98" s="4">
        <v>25925</v>
      </c>
      <c r="B98" s="4" t="s">
        <v>531</v>
      </c>
      <c r="C98" s="4" t="s">
        <v>532</v>
      </c>
      <c r="D98" s="4" t="s">
        <v>12</v>
      </c>
      <c r="E98" s="5">
        <v>32064</v>
      </c>
      <c r="F98" s="4" t="s">
        <v>117</v>
      </c>
      <c r="G98" s="4" t="s">
        <v>39</v>
      </c>
      <c r="H98" s="4" t="s">
        <v>40</v>
      </c>
      <c r="I98" s="6">
        <v>1014.66</v>
      </c>
      <c r="J98" s="7">
        <v>101466</v>
      </c>
    </row>
    <row r="99" spans="1:10" ht="15.75" customHeight="1" x14ac:dyDescent="0.25">
      <c r="A99" s="4">
        <v>128012</v>
      </c>
      <c r="B99" s="4" t="s">
        <v>516</v>
      </c>
      <c r="C99" s="4" t="s">
        <v>517</v>
      </c>
      <c r="D99" s="4" t="s">
        <v>12</v>
      </c>
      <c r="E99" s="5">
        <v>32936</v>
      </c>
      <c r="F99" s="4" t="s">
        <v>89</v>
      </c>
      <c r="G99" s="4" t="s">
        <v>39</v>
      </c>
      <c r="H99" s="4" t="s">
        <v>40</v>
      </c>
      <c r="I99" s="6">
        <v>1084.8</v>
      </c>
      <c r="J99" s="7">
        <v>108480</v>
      </c>
    </row>
    <row r="100" spans="1:10" ht="15.75" customHeight="1" x14ac:dyDescent="0.25">
      <c r="A100" s="4">
        <v>27415</v>
      </c>
      <c r="B100" s="4" t="s">
        <v>539</v>
      </c>
      <c r="C100" s="4" t="s">
        <v>335</v>
      </c>
      <c r="D100" s="4" t="s">
        <v>12</v>
      </c>
      <c r="E100" s="5">
        <v>31811</v>
      </c>
      <c r="F100" s="4" t="s">
        <v>122</v>
      </c>
      <c r="G100" s="4" t="s">
        <v>123</v>
      </c>
      <c r="H100" s="4" t="s">
        <v>40</v>
      </c>
      <c r="I100" s="6">
        <v>755</v>
      </c>
      <c r="J100" s="7">
        <v>75500</v>
      </c>
    </row>
    <row r="101" spans="1:10" ht="15.75" customHeight="1" x14ac:dyDescent="0.25">
      <c r="A101" s="4">
        <v>20512</v>
      </c>
      <c r="B101" s="4" t="s">
        <v>556</v>
      </c>
      <c r="C101" s="4" t="s">
        <v>573</v>
      </c>
      <c r="D101" s="4" t="s">
        <v>24</v>
      </c>
      <c r="E101" s="5">
        <v>32527</v>
      </c>
      <c r="F101" s="4" t="s">
        <v>81</v>
      </c>
      <c r="G101" s="4" t="s">
        <v>39</v>
      </c>
      <c r="H101" s="4" t="s">
        <v>40</v>
      </c>
      <c r="I101" s="6">
        <v>770</v>
      </c>
      <c r="J101" s="7">
        <v>77000</v>
      </c>
    </row>
    <row r="102" spans="1:10" ht="15.75" customHeight="1" x14ac:dyDescent="0.25">
      <c r="A102" s="4">
        <v>124350</v>
      </c>
      <c r="B102" s="4" t="s">
        <v>617</v>
      </c>
      <c r="C102" s="4" t="s">
        <v>618</v>
      </c>
      <c r="D102" s="4" t="s">
        <v>12</v>
      </c>
      <c r="E102" s="5">
        <v>31809</v>
      </c>
      <c r="F102" s="4" t="s">
        <v>132</v>
      </c>
      <c r="G102" s="4" t="s">
        <v>84</v>
      </c>
      <c r="H102" s="4" t="s">
        <v>40</v>
      </c>
      <c r="I102" s="6">
        <v>603.66999999999996</v>
      </c>
      <c r="J102" s="7">
        <v>60367</v>
      </c>
    </row>
    <row r="103" spans="1:10" ht="15.75" customHeight="1" x14ac:dyDescent="0.25">
      <c r="A103" s="4">
        <v>125612</v>
      </c>
      <c r="B103" s="4" t="s">
        <v>619</v>
      </c>
      <c r="C103" s="4" t="s">
        <v>620</v>
      </c>
      <c r="D103" s="4" t="s">
        <v>12</v>
      </c>
      <c r="E103" s="5">
        <v>22709</v>
      </c>
      <c r="F103" s="4" t="s">
        <v>103</v>
      </c>
      <c r="G103" s="4" t="s">
        <v>39</v>
      </c>
      <c r="H103" s="4" t="s">
        <v>40</v>
      </c>
      <c r="I103" s="6">
        <v>594</v>
      </c>
      <c r="J103" s="7">
        <v>59400</v>
      </c>
    </row>
    <row r="104" spans="1:10" ht="15.75" customHeight="1" x14ac:dyDescent="0.25">
      <c r="A104" s="4">
        <v>22758</v>
      </c>
      <c r="B104" s="4" t="s">
        <v>641</v>
      </c>
      <c r="C104" s="4" t="s">
        <v>642</v>
      </c>
      <c r="D104" s="4" t="s">
        <v>12</v>
      </c>
      <c r="E104" s="5">
        <v>32880</v>
      </c>
      <c r="F104" s="4" t="s">
        <v>137</v>
      </c>
      <c r="G104" s="4" t="s">
        <v>39</v>
      </c>
      <c r="H104" s="4" t="s">
        <v>40</v>
      </c>
      <c r="I104" s="6">
        <v>531</v>
      </c>
      <c r="J104" s="7">
        <v>53100</v>
      </c>
    </row>
    <row r="105" spans="1:10" ht="15.75" customHeight="1" x14ac:dyDescent="0.25">
      <c r="A105" s="4">
        <v>27051</v>
      </c>
      <c r="B105" s="4" t="s">
        <v>676</v>
      </c>
      <c r="C105" s="4" t="s">
        <v>480</v>
      </c>
      <c r="D105" s="4" t="s">
        <v>12</v>
      </c>
      <c r="E105" s="5">
        <v>26393</v>
      </c>
      <c r="F105" s="4" t="s">
        <v>149</v>
      </c>
      <c r="G105" s="4" t="s">
        <v>150</v>
      </c>
      <c r="H105" s="4" t="s">
        <v>40</v>
      </c>
      <c r="I105" s="6">
        <v>430.38</v>
      </c>
      <c r="J105" s="7">
        <v>43038</v>
      </c>
    </row>
    <row r="106" spans="1:10" ht="15.75" customHeight="1" x14ac:dyDescent="0.25">
      <c r="A106" s="4">
        <v>139711</v>
      </c>
      <c r="B106" s="4" t="s">
        <v>670</v>
      </c>
      <c r="C106" s="4" t="s">
        <v>671</v>
      </c>
      <c r="D106" s="4" t="s">
        <v>12</v>
      </c>
      <c r="E106" s="5">
        <v>24594</v>
      </c>
      <c r="F106" s="4" t="s">
        <v>144</v>
      </c>
      <c r="G106" s="4" t="s">
        <v>39</v>
      </c>
      <c r="H106" s="4" t="s">
        <v>40</v>
      </c>
      <c r="I106" s="6">
        <v>467.2</v>
      </c>
      <c r="J106" s="7">
        <v>46720</v>
      </c>
    </row>
    <row r="107" spans="1:10" ht="15.75" customHeight="1" x14ac:dyDescent="0.25">
      <c r="A107" s="4">
        <v>25977</v>
      </c>
      <c r="B107" s="4" t="s">
        <v>673</v>
      </c>
      <c r="C107" s="4" t="s">
        <v>674</v>
      </c>
      <c r="D107" s="4" t="s">
        <v>24</v>
      </c>
      <c r="E107" s="5">
        <v>18540</v>
      </c>
      <c r="F107" s="4" t="s">
        <v>145</v>
      </c>
      <c r="G107" s="4" t="s">
        <v>39</v>
      </c>
      <c r="H107" s="4" t="s">
        <v>40</v>
      </c>
      <c r="I107" s="6">
        <v>461.63</v>
      </c>
      <c r="J107" s="7">
        <v>46163</v>
      </c>
    </row>
    <row r="108" spans="1:10" ht="15.75" customHeight="1" x14ac:dyDescent="0.25">
      <c r="A108" s="4">
        <v>21281</v>
      </c>
      <c r="B108" s="4" t="s">
        <v>719</v>
      </c>
      <c r="C108" s="4" t="s">
        <v>720</v>
      </c>
      <c r="D108" s="4" t="s">
        <v>24</v>
      </c>
      <c r="E108" s="5">
        <v>29901</v>
      </c>
      <c r="F108" s="4" t="s">
        <v>38</v>
      </c>
      <c r="G108" s="4" t="s">
        <v>39</v>
      </c>
      <c r="H108" s="4" t="s">
        <v>40</v>
      </c>
      <c r="I108" s="6">
        <v>334.89</v>
      </c>
      <c r="J108" s="7">
        <v>33489</v>
      </c>
    </row>
    <row r="109" spans="1:10" ht="15.75" customHeight="1" x14ac:dyDescent="0.25">
      <c r="A109" s="4">
        <v>127539</v>
      </c>
      <c r="B109" s="4" t="s">
        <v>740</v>
      </c>
      <c r="C109" s="4" t="s">
        <v>741</v>
      </c>
      <c r="D109" s="4" t="s">
        <v>24</v>
      </c>
      <c r="E109" s="5">
        <v>31990</v>
      </c>
      <c r="F109" s="4" t="s">
        <v>155</v>
      </c>
      <c r="G109" s="4" t="s">
        <v>84</v>
      </c>
      <c r="H109" s="4" t="s">
        <v>40</v>
      </c>
      <c r="I109" s="6">
        <v>311.10000000000002</v>
      </c>
      <c r="J109" s="7">
        <v>31110</v>
      </c>
    </row>
    <row r="110" spans="1:10" ht="15.75" customHeight="1" x14ac:dyDescent="0.25">
      <c r="A110" s="4">
        <v>125932</v>
      </c>
      <c r="B110" s="4" t="s">
        <v>744</v>
      </c>
      <c r="C110" s="4" t="s">
        <v>355</v>
      </c>
      <c r="D110" s="4" t="s">
        <v>12</v>
      </c>
      <c r="E110" s="5">
        <v>26597</v>
      </c>
      <c r="F110" s="4" t="s">
        <v>156</v>
      </c>
      <c r="G110" s="4" t="s">
        <v>157</v>
      </c>
      <c r="H110" s="4" t="s">
        <v>40</v>
      </c>
      <c r="I110" s="6">
        <v>310</v>
      </c>
      <c r="J110" s="7">
        <v>31000</v>
      </c>
    </row>
    <row r="111" spans="1:10" ht="15.75" customHeight="1" x14ac:dyDescent="0.25">
      <c r="A111" s="4">
        <v>26231</v>
      </c>
      <c r="B111" s="4" t="s">
        <v>749</v>
      </c>
      <c r="C111" s="4" t="s">
        <v>513</v>
      </c>
      <c r="D111" s="4" t="s">
        <v>12</v>
      </c>
      <c r="E111" s="5">
        <v>26290</v>
      </c>
      <c r="F111" s="4" t="s">
        <v>81</v>
      </c>
      <c r="G111" s="4" t="s">
        <v>39</v>
      </c>
      <c r="H111" s="4" t="s">
        <v>40</v>
      </c>
      <c r="I111" s="6">
        <v>304.39</v>
      </c>
      <c r="J111" s="7">
        <v>30439</v>
      </c>
    </row>
    <row r="112" spans="1:10" ht="15.75" customHeight="1" x14ac:dyDescent="0.25">
      <c r="A112" s="4">
        <v>94112</v>
      </c>
      <c r="B112" s="4" t="s">
        <v>750</v>
      </c>
      <c r="C112" s="4" t="s">
        <v>751</v>
      </c>
      <c r="D112" s="4" t="s">
        <v>24</v>
      </c>
      <c r="E112" s="5">
        <v>30201</v>
      </c>
      <c r="F112" s="4" t="s">
        <v>158</v>
      </c>
      <c r="G112" s="4" t="s">
        <v>39</v>
      </c>
      <c r="H112" s="4" t="s">
        <v>40</v>
      </c>
      <c r="I112" s="6">
        <v>304.39</v>
      </c>
      <c r="J112" s="7">
        <v>30439</v>
      </c>
    </row>
    <row r="113" spans="1:10" ht="15.75" customHeight="1" x14ac:dyDescent="0.25">
      <c r="A113" s="4">
        <v>127967</v>
      </c>
      <c r="B113" s="4" t="s">
        <v>767</v>
      </c>
      <c r="C113" s="4" t="s">
        <v>320</v>
      </c>
      <c r="D113" s="4" t="s">
        <v>12</v>
      </c>
      <c r="E113" s="5">
        <v>25580</v>
      </c>
      <c r="F113" s="4" t="s">
        <v>117</v>
      </c>
      <c r="G113" s="4" t="s">
        <v>39</v>
      </c>
      <c r="H113" s="4" t="s">
        <v>40</v>
      </c>
      <c r="I113" s="6">
        <v>272.64</v>
      </c>
      <c r="J113" s="7">
        <v>27264</v>
      </c>
    </row>
    <row r="114" spans="1:10" ht="15.75" customHeight="1" x14ac:dyDescent="0.25">
      <c r="A114" s="4">
        <v>126025</v>
      </c>
      <c r="B114" s="4" t="s">
        <v>782</v>
      </c>
      <c r="C114" s="4" t="s">
        <v>805</v>
      </c>
      <c r="D114" s="4" t="s">
        <v>12</v>
      </c>
      <c r="E114" s="5">
        <v>30015</v>
      </c>
      <c r="F114" s="4" t="s">
        <v>163</v>
      </c>
      <c r="G114" s="4" t="s">
        <v>39</v>
      </c>
      <c r="H114" s="4" t="s">
        <v>40</v>
      </c>
      <c r="I114" s="6">
        <v>236</v>
      </c>
      <c r="J114" s="7">
        <v>23600</v>
      </c>
    </row>
    <row r="115" spans="1:10" ht="15.75" customHeight="1" x14ac:dyDescent="0.25">
      <c r="A115" s="4">
        <v>124244</v>
      </c>
      <c r="B115" s="4" t="s">
        <v>782</v>
      </c>
      <c r="C115" s="4" t="s">
        <v>839</v>
      </c>
      <c r="D115" s="4" t="s">
        <v>12</v>
      </c>
      <c r="E115" s="5">
        <v>28678</v>
      </c>
      <c r="F115" s="4" t="s">
        <v>81</v>
      </c>
      <c r="G115" s="4" t="s">
        <v>39</v>
      </c>
      <c r="H115" s="4" t="s">
        <v>40</v>
      </c>
      <c r="I115" s="6">
        <v>198.39</v>
      </c>
      <c r="J115" s="7">
        <v>19839</v>
      </c>
    </row>
    <row r="116" spans="1:10" ht="15.75" customHeight="1" x14ac:dyDescent="0.25">
      <c r="A116" s="4">
        <v>141686</v>
      </c>
      <c r="B116" s="4" t="s">
        <v>820</v>
      </c>
      <c r="C116" s="4" t="s">
        <v>470</v>
      </c>
      <c r="D116" s="4" t="s">
        <v>24</v>
      </c>
      <c r="E116" s="5">
        <v>24230</v>
      </c>
      <c r="F116" s="4" t="s">
        <v>156</v>
      </c>
      <c r="G116" s="4" t="s">
        <v>157</v>
      </c>
      <c r="H116" s="4" t="s">
        <v>40</v>
      </c>
      <c r="I116" s="6">
        <v>211.68</v>
      </c>
      <c r="J116" s="7">
        <v>21168</v>
      </c>
    </row>
    <row r="117" spans="1:10" ht="15.75" customHeight="1" x14ac:dyDescent="0.25">
      <c r="A117" s="4">
        <v>22217</v>
      </c>
      <c r="B117" s="4" t="s">
        <v>831</v>
      </c>
      <c r="C117" s="4" t="s">
        <v>538</v>
      </c>
      <c r="D117" s="4" t="s">
        <v>12</v>
      </c>
      <c r="E117" s="5">
        <v>29058</v>
      </c>
      <c r="F117" s="4" t="s">
        <v>166</v>
      </c>
      <c r="G117" s="4" t="s">
        <v>84</v>
      </c>
      <c r="H117" s="4" t="s">
        <v>40</v>
      </c>
      <c r="I117" s="6">
        <v>204.75</v>
      </c>
      <c r="J117" s="7">
        <v>20475</v>
      </c>
    </row>
    <row r="118" spans="1:10" ht="15.75" customHeight="1" x14ac:dyDescent="0.25">
      <c r="A118" s="4">
        <v>25921</v>
      </c>
      <c r="B118" s="4" t="s">
        <v>844</v>
      </c>
      <c r="C118" s="4" t="s">
        <v>845</v>
      </c>
      <c r="D118" s="4" t="s">
        <v>12</v>
      </c>
      <c r="E118" s="5">
        <v>31022</v>
      </c>
      <c r="F118" s="4" t="s">
        <v>155</v>
      </c>
      <c r="G118" s="4" t="s">
        <v>84</v>
      </c>
      <c r="H118" s="4" t="s">
        <v>40</v>
      </c>
      <c r="I118" s="6">
        <v>197.6</v>
      </c>
      <c r="J118" s="7">
        <v>19760</v>
      </c>
    </row>
    <row r="119" spans="1:10" ht="15.75" customHeight="1" x14ac:dyDescent="0.25">
      <c r="A119" s="4">
        <v>20427</v>
      </c>
      <c r="B119" s="4" t="s">
        <v>859</v>
      </c>
      <c r="C119" s="4" t="s">
        <v>860</v>
      </c>
      <c r="D119" s="4" t="s">
        <v>12</v>
      </c>
      <c r="E119" s="5">
        <v>31292</v>
      </c>
      <c r="F119" s="4" t="s">
        <v>81</v>
      </c>
      <c r="G119" s="4" t="s">
        <v>39</v>
      </c>
      <c r="H119" s="4" t="s">
        <v>40</v>
      </c>
      <c r="I119" s="6">
        <v>177</v>
      </c>
      <c r="J119" s="7">
        <v>17700</v>
      </c>
    </row>
    <row r="120" spans="1:10" ht="15.75" customHeight="1" x14ac:dyDescent="0.25">
      <c r="A120" s="4">
        <v>130041</v>
      </c>
      <c r="B120" s="4" t="s">
        <v>842</v>
      </c>
      <c r="C120" s="4" t="s">
        <v>339</v>
      </c>
      <c r="D120" s="4" t="s">
        <v>12</v>
      </c>
      <c r="E120" s="5">
        <v>26480</v>
      </c>
      <c r="F120" s="4" t="s">
        <v>81</v>
      </c>
      <c r="G120" s="4" t="s">
        <v>39</v>
      </c>
      <c r="H120" s="4" t="s">
        <v>40</v>
      </c>
      <c r="I120" s="6">
        <v>195</v>
      </c>
      <c r="J120" s="7">
        <v>19500</v>
      </c>
    </row>
    <row r="121" spans="1:10" ht="15.75" customHeight="1" x14ac:dyDescent="0.25">
      <c r="A121" s="4">
        <v>20477</v>
      </c>
      <c r="B121" s="4" t="s">
        <v>869</v>
      </c>
      <c r="C121" s="4" t="s">
        <v>870</v>
      </c>
      <c r="D121" s="4" t="s">
        <v>24</v>
      </c>
      <c r="E121" s="5">
        <v>28562</v>
      </c>
      <c r="F121" s="4" t="s">
        <v>81</v>
      </c>
      <c r="G121" s="4" t="s">
        <v>39</v>
      </c>
      <c r="H121" s="4" t="s">
        <v>40</v>
      </c>
      <c r="I121" s="6">
        <v>171.1</v>
      </c>
      <c r="J121" s="7">
        <v>17110</v>
      </c>
    </row>
    <row r="122" spans="1:10" ht="15.75" customHeight="1" x14ac:dyDescent="0.25">
      <c r="A122" s="4">
        <v>126732</v>
      </c>
      <c r="B122" s="4" t="s">
        <v>875</v>
      </c>
      <c r="C122" s="4" t="s">
        <v>891</v>
      </c>
      <c r="D122" s="4" t="s">
        <v>12</v>
      </c>
      <c r="E122" s="5">
        <v>21596</v>
      </c>
      <c r="F122" s="4" t="s">
        <v>102</v>
      </c>
      <c r="G122" s="4" t="s">
        <v>84</v>
      </c>
      <c r="H122" s="4" t="s">
        <v>40</v>
      </c>
      <c r="I122" s="6">
        <v>135</v>
      </c>
      <c r="J122" s="7">
        <v>13500</v>
      </c>
    </row>
    <row r="123" spans="1:10" ht="15.75" customHeight="1" x14ac:dyDescent="0.25">
      <c r="A123" s="4">
        <v>25461</v>
      </c>
      <c r="B123" s="4" t="s">
        <v>892</v>
      </c>
      <c r="C123" s="4" t="s">
        <v>893</v>
      </c>
      <c r="D123" s="4" t="s">
        <v>12</v>
      </c>
      <c r="E123" s="5">
        <v>27830</v>
      </c>
      <c r="F123" s="4" t="s">
        <v>69</v>
      </c>
      <c r="G123" s="4" t="s">
        <v>39</v>
      </c>
      <c r="H123" s="4" t="s">
        <v>40</v>
      </c>
      <c r="I123" s="6">
        <v>135.78</v>
      </c>
      <c r="J123" s="7">
        <v>13578</v>
      </c>
    </row>
    <row r="124" spans="1:10" ht="15.75" customHeight="1" x14ac:dyDescent="0.25">
      <c r="A124" s="4">
        <v>26897</v>
      </c>
      <c r="B124" s="4" t="s">
        <v>902</v>
      </c>
      <c r="C124" s="4" t="s">
        <v>928</v>
      </c>
      <c r="D124" s="4" t="s">
        <v>12</v>
      </c>
      <c r="E124" s="5">
        <v>23883</v>
      </c>
      <c r="F124" s="4" t="s">
        <v>81</v>
      </c>
      <c r="G124" s="4" t="s">
        <v>39</v>
      </c>
      <c r="H124" s="4" t="s">
        <v>40</v>
      </c>
      <c r="I124" s="6">
        <v>102</v>
      </c>
      <c r="J124" s="7">
        <v>10200</v>
      </c>
    </row>
    <row r="125" spans="1:10" ht="15.75" customHeight="1" x14ac:dyDescent="0.25">
      <c r="A125" s="4">
        <v>126056</v>
      </c>
      <c r="B125" s="4" t="s">
        <v>902</v>
      </c>
      <c r="C125" s="4" t="s">
        <v>416</v>
      </c>
      <c r="D125" s="4" t="s">
        <v>12</v>
      </c>
      <c r="E125" s="5">
        <v>31943</v>
      </c>
      <c r="F125" s="4" t="s">
        <v>38</v>
      </c>
      <c r="G125" s="4" t="s">
        <v>39</v>
      </c>
      <c r="H125" s="4" t="s">
        <v>40</v>
      </c>
      <c r="I125" s="6">
        <v>108</v>
      </c>
      <c r="J125" s="7">
        <v>10800</v>
      </c>
    </row>
    <row r="126" spans="1:10" ht="15.75" customHeight="1" x14ac:dyDescent="0.25">
      <c r="A126" s="4">
        <v>123382</v>
      </c>
      <c r="B126" s="4" t="s">
        <v>898</v>
      </c>
      <c r="C126" s="4" t="s">
        <v>910</v>
      </c>
      <c r="D126" s="4" t="s">
        <v>12</v>
      </c>
      <c r="E126" s="5">
        <v>31970</v>
      </c>
      <c r="F126" s="4" t="s">
        <v>172</v>
      </c>
      <c r="G126" s="4" t="s">
        <v>173</v>
      </c>
      <c r="H126" s="4" t="s">
        <v>40</v>
      </c>
      <c r="I126" s="6">
        <v>116</v>
      </c>
      <c r="J126" s="7">
        <v>11600</v>
      </c>
    </row>
    <row r="127" spans="1:10" ht="15.75" customHeight="1" x14ac:dyDescent="0.25">
      <c r="A127" s="4">
        <v>121357</v>
      </c>
      <c r="B127" s="4" t="s">
        <v>898</v>
      </c>
      <c r="C127" s="4" t="s">
        <v>914</v>
      </c>
      <c r="D127" s="4" t="s">
        <v>12</v>
      </c>
      <c r="E127" s="5">
        <v>21638</v>
      </c>
      <c r="F127" s="4" t="s">
        <v>149</v>
      </c>
      <c r="G127" s="4" t="s">
        <v>150</v>
      </c>
      <c r="H127" s="4" t="s">
        <v>40</v>
      </c>
      <c r="I127" s="6">
        <v>111.44</v>
      </c>
      <c r="J127" s="7">
        <v>11144</v>
      </c>
    </row>
    <row r="128" spans="1:10" ht="15.75" customHeight="1" x14ac:dyDescent="0.25">
      <c r="A128" s="4">
        <v>20646</v>
      </c>
      <c r="B128" s="4" t="s">
        <v>941</v>
      </c>
      <c r="C128" s="4" t="s">
        <v>942</v>
      </c>
      <c r="D128" s="4" t="s">
        <v>12</v>
      </c>
      <c r="E128" s="5">
        <v>24124</v>
      </c>
      <c r="F128" s="4" t="s">
        <v>38</v>
      </c>
      <c r="G128" s="4" t="s">
        <v>39</v>
      </c>
      <c r="H128" s="4" t="s">
        <v>40</v>
      </c>
      <c r="I128" s="6">
        <v>89.67</v>
      </c>
      <c r="J128" s="7">
        <v>8967</v>
      </c>
    </row>
    <row r="129" spans="1:10" ht="15.75" customHeight="1" x14ac:dyDescent="0.25">
      <c r="A129" s="4">
        <v>128961</v>
      </c>
      <c r="B129" s="4" t="s">
        <v>940</v>
      </c>
      <c r="C129" s="4" t="s">
        <v>756</v>
      </c>
      <c r="D129" s="4" t="s">
        <v>24</v>
      </c>
      <c r="E129" s="5">
        <v>18350</v>
      </c>
      <c r="F129" s="4" t="s">
        <v>145</v>
      </c>
      <c r="G129" s="4" t="s">
        <v>39</v>
      </c>
      <c r="H129" s="4" t="s">
        <v>40</v>
      </c>
      <c r="I129" s="6">
        <v>91</v>
      </c>
      <c r="J129" s="7">
        <v>9100</v>
      </c>
    </row>
    <row r="130" spans="1:10" ht="15.75" customHeight="1" x14ac:dyDescent="0.25">
      <c r="A130" s="4">
        <v>27003</v>
      </c>
      <c r="B130" s="4" t="s">
        <v>949</v>
      </c>
      <c r="C130" s="4" t="s">
        <v>950</v>
      </c>
      <c r="D130" s="4" t="s">
        <v>12</v>
      </c>
      <c r="E130" s="5">
        <v>31520</v>
      </c>
      <c r="F130" s="4" t="s">
        <v>180</v>
      </c>
      <c r="G130" s="4" t="s">
        <v>39</v>
      </c>
      <c r="H130" s="4" t="s">
        <v>40</v>
      </c>
      <c r="I130" s="6">
        <v>83.85</v>
      </c>
      <c r="J130" s="7">
        <v>8385</v>
      </c>
    </row>
    <row r="131" spans="1:10" ht="15.75" customHeight="1" x14ac:dyDescent="0.25">
      <c r="A131" s="4">
        <v>141694</v>
      </c>
      <c r="B131" s="4" t="s">
        <v>959</v>
      </c>
      <c r="C131" s="4" t="s">
        <v>960</v>
      </c>
      <c r="D131" s="4" t="s">
        <v>12</v>
      </c>
      <c r="E131" s="5">
        <v>27166</v>
      </c>
      <c r="F131" s="4" t="s">
        <v>81</v>
      </c>
      <c r="G131" s="4" t="s">
        <v>39</v>
      </c>
      <c r="H131" s="4" t="s">
        <v>40</v>
      </c>
      <c r="I131" s="6">
        <v>68.819999999999993</v>
      </c>
      <c r="J131" s="7">
        <v>6882</v>
      </c>
    </row>
    <row r="132" spans="1:10" ht="15.75" customHeight="1" x14ac:dyDescent="0.25">
      <c r="A132" s="4">
        <v>31817</v>
      </c>
      <c r="B132" s="4" t="s">
        <v>965</v>
      </c>
      <c r="C132" s="4" t="s">
        <v>970</v>
      </c>
      <c r="D132" s="4" t="s">
        <v>12</v>
      </c>
      <c r="E132" s="5">
        <v>31176</v>
      </c>
      <c r="F132" s="4" t="s">
        <v>156</v>
      </c>
      <c r="G132" s="4" t="s">
        <v>157</v>
      </c>
      <c r="H132" s="4" t="s">
        <v>40</v>
      </c>
      <c r="I132" s="6">
        <v>59.52</v>
      </c>
      <c r="J132" s="7">
        <v>5952</v>
      </c>
    </row>
    <row r="133" spans="1:10" ht="15.75" customHeight="1" x14ac:dyDescent="0.25">
      <c r="A133" s="4">
        <v>22039</v>
      </c>
      <c r="B133" s="4" t="s">
        <v>301</v>
      </c>
      <c r="C133" s="4" t="s">
        <v>302</v>
      </c>
      <c r="D133" s="4" t="s">
        <v>12</v>
      </c>
      <c r="E133" s="5">
        <v>29664</v>
      </c>
      <c r="F133" s="4" t="s">
        <v>13</v>
      </c>
      <c r="G133" s="4" t="s">
        <v>14</v>
      </c>
      <c r="H133" s="4" t="s">
        <v>15</v>
      </c>
      <c r="I133" s="6">
        <v>46686.25</v>
      </c>
      <c r="J133" s="7">
        <v>4668625</v>
      </c>
    </row>
    <row r="134" spans="1:10" ht="15.75" customHeight="1" x14ac:dyDescent="0.25">
      <c r="A134" s="4">
        <v>39820</v>
      </c>
      <c r="B134" s="4" t="s">
        <v>303</v>
      </c>
      <c r="C134" s="4" t="s">
        <v>306</v>
      </c>
      <c r="D134" s="4" t="s">
        <v>12</v>
      </c>
      <c r="E134" s="5">
        <v>25324</v>
      </c>
      <c r="F134" s="4" t="s">
        <v>19</v>
      </c>
      <c r="G134" s="4" t="s">
        <v>20</v>
      </c>
      <c r="H134" s="4" t="s">
        <v>15</v>
      </c>
      <c r="I134" s="6">
        <v>19059.599999999999</v>
      </c>
      <c r="J134" s="7">
        <v>1905960</v>
      </c>
    </row>
    <row r="135" spans="1:10" ht="15.75" customHeight="1" x14ac:dyDescent="0.25">
      <c r="A135" s="4">
        <v>22140</v>
      </c>
      <c r="B135" s="4" t="s">
        <v>314</v>
      </c>
      <c r="C135" s="4" t="s">
        <v>315</v>
      </c>
      <c r="D135" s="4" t="s">
        <v>12</v>
      </c>
      <c r="E135" s="5">
        <v>27397</v>
      </c>
      <c r="F135" s="4" t="s">
        <v>29</v>
      </c>
      <c r="G135" s="4" t="s">
        <v>14</v>
      </c>
      <c r="H135" s="4" t="s">
        <v>15</v>
      </c>
      <c r="I135" s="6">
        <v>12219.66</v>
      </c>
      <c r="J135" s="7">
        <v>1221966</v>
      </c>
    </row>
    <row r="136" spans="1:10" ht="15.75" customHeight="1" x14ac:dyDescent="0.25">
      <c r="A136" s="4">
        <v>125925</v>
      </c>
      <c r="B136" s="4" t="s">
        <v>314</v>
      </c>
      <c r="C136" s="4" t="s">
        <v>318</v>
      </c>
      <c r="D136" s="4" t="s">
        <v>12</v>
      </c>
      <c r="E136" s="5">
        <v>34247</v>
      </c>
      <c r="F136" s="4" t="s">
        <v>31</v>
      </c>
      <c r="G136" s="4" t="s">
        <v>20</v>
      </c>
      <c r="H136" s="4" t="s">
        <v>15</v>
      </c>
      <c r="I136" s="6">
        <v>11232</v>
      </c>
      <c r="J136" s="7">
        <v>1123200</v>
      </c>
    </row>
    <row r="137" spans="1:10" ht="15.75" customHeight="1" x14ac:dyDescent="0.25">
      <c r="A137" s="4">
        <v>24385</v>
      </c>
      <c r="B137" s="4" t="s">
        <v>328</v>
      </c>
      <c r="C137" s="4" t="s">
        <v>600</v>
      </c>
      <c r="D137" s="4" t="s">
        <v>12</v>
      </c>
      <c r="E137" s="5">
        <v>27853</v>
      </c>
      <c r="F137" s="4" t="s">
        <v>30</v>
      </c>
      <c r="G137" s="4" t="s">
        <v>20</v>
      </c>
      <c r="H137" s="4" t="s">
        <v>15</v>
      </c>
      <c r="I137" s="6">
        <v>11296.53</v>
      </c>
      <c r="J137" s="7">
        <v>1129653</v>
      </c>
    </row>
    <row r="138" spans="1:10" ht="15.75" customHeight="1" x14ac:dyDescent="0.25">
      <c r="A138" s="4">
        <v>21152</v>
      </c>
      <c r="B138" s="4" t="s">
        <v>328</v>
      </c>
      <c r="C138" s="4" t="s">
        <v>1000</v>
      </c>
      <c r="D138" s="4" t="s">
        <v>12</v>
      </c>
      <c r="E138" s="5">
        <v>29546</v>
      </c>
      <c r="F138" s="4" t="s">
        <v>32</v>
      </c>
      <c r="G138" s="4" t="s">
        <v>20</v>
      </c>
      <c r="H138" s="4" t="s">
        <v>15</v>
      </c>
      <c r="I138" s="6">
        <v>8765.09</v>
      </c>
      <c r="J138" s="7">
        <v>876509</v>
      </c>
    </row>
    <row r="139" spans="1:10" ht="15.75" customHeight="1" x14ac:dyDescent="0.25">
      <c r="A139" s="4">
        <v>25063</v>
      </c>
      <c r="B139" s="4" t="s">
        <v>328</v>
      </c>
      <c r="C139" s="4" t="s">
        <v>360</v>
      </c>
      <c r="D139" s="4" t="s">
        <v>12</v>
      </c>
      <c r="E139" s="5">
        <v>25349</v>
      </c>
      <c r="F139" s="4" t="s">
        <v>33</v>
      </c>
      <c r="G139" s="4" t="s">
        <v>20</v>
      </c>
      <c r="H139" s="4" t="s">
        <v>15</v>
      </c>
      <c r="I139" s="6">
        <v>8251.1</v>
      </c>
      <c r="J139" s="7">
        <v>825110</v>
      </c>
    </row>
    <row r="140" spans="1:10" ht="15.75" customHeight="1" x14ac:dyDescent="0.25">
      <c r="A140" s="4">
        <v>126880</v>
      </c>
      <c r="B140" s="4" t="s">
        <v>328</v>
      </c>
      <c r="C140" s="4" t="s">
        <v>329</v>
      </c>
      <c r="D140" s="4" t="s">
        <v>12</v>
      </c>
      <c r="E140" s="5">
        <v>28523</v>
      </c>
      <c r="F140" s="4" t="s">
        <v>34</v>
      </c>
      <c r="G140" s="4" t="s">
        <v>35</v>
      </c>
      <c r="H140" s="4" t="s">
        <v>15</v>
      </c>
      <c r="I140" s="6">
        <v>8099.65</v>
      </c>
      <c r="J140" s="7">
        <v>809965</v>
      </c>
    </row>
    <row r="141" spans="1:10" ht="15.75" customHeight="1" x14ac:dyDescent="0.25">
      <c r="A141" s="4">
        <v>22501</v>
      </c>
      <c r="B141" s="4" t="s">
        <v>328</v>
      </c>
      <c r="C141" s="4" t="s">
        <v>333</v>
      </c>
      <c r="D141" s="4" t="s">
        <v>12</v>
      </c>
      <c r="E141" s="5">
        <v>30431</v>
      </c>
      <c r="F141" s="4" t="s">
        <v>41</v>
      </c>
      <c r="G141" s="4" t="s">
        <v>20</v>
      </c>
      <c r="H141" s="4" t="s">
        <v>15</v>
      </c>
      <c r="I141" s="6">
        <v>6267.25</v>
      </c>
      <c r="J141" s="7">
        <v>626725</v>
      </c>
    </row>
    <row r="142" spans="1:10" ht="15.75" customHeight="1" x14ac:dyDescent="0.25">
      <c r="A142" s="4">
        <v>25809</v>
      </c>
      <c r="B142" s="4" t="s">
        <v>331</v>
      </c>
      <c r="C142" s="4" t="s">
        <v>338</v>
      </c>
      <c r="D142" s="4" t="s">
        <v>12</v>
      </c>
      <c r="E142" s="5">
        <v>29683</v>
      </c>
      <c r="F142" s="4" t="s">
        <v>44</v>
      </c>
      <c r="G142" s="4" t="s">
        <v>35</v>
      </c>
      <c r="H142" s="4" t="s">
        <v>15</v>
      </c>
      <c r="I142" s="6">
        <v>5918.94</v>
      </c>
      <c r="J142" s="7">
        <v>591894</v>
      </c>
    </row>
    <row r="143" spans="1:10" ht="15.75" customHeight="1" x14ac:dyDescent="0.25">
      <c r="A143" s="4">
        <v>140424</v>
      </c>
      <c r="B143" s="4" t="s">
        <v>331</v>
      </c>
      <c r="C143" s="4" t="s">
        <v>344</v>
      </c>
      <c r="D143" s="4" t="s">
        <v>12</v>
      </c>
      <c r="E143" s="5">
        <v>22288</v>
      </c>
      <c r="F143" s="4" t="s">
        <v>46</v>
      </c>
      <c r="G143" s="4" t="s">
        <v>35</v>
      </c>
      <c r="H143" s="4" t="s">
        <v>15</v>
      </c>
      <c r="I143" s="6">
        <v>5407.48</v>
      </c>
      <c r="J143" s="7">
        <v>540748</v>
      </c>
    </row>
    <row r="144" spans="1:10" ht="15.75" customHeight="1" x14ac:dyDescent="0.25">
      <c r="A144" s="4">
        <v>139670</v>
      </c>
      <c r="B144" s="4" t="s">
        <v>345</v>
      </c>
      <c r="C144" s="4" t="s">
        <v>346</v>
      </c>
      <c r="D144" s="4" t="s">
        <v>12</v>
      </c>
      <c r="E144" s="5">
        <v>24120</v>
      </c>
      <c r="F144" s="4" t="s">
        <v>47</v>
      </c>
      <c r="G144" s="4" t="s">
        <v>14</v>
      </c>
      <c r="H144" s="4" t="s">
        <v>15</v>
      </c>
      <c r="I144" s="6">
        <v>5380.44</v>
      </c>
      <c r="J144" s="7">
        <v>538044</v>
      </c>
    </row>
    <row r="145" spans="1:10" ht="15.75" customHeight="1" x14ac:dyDescent="0.25">
      <c r="A145" s="4">
        <v>20528</v>
      </c>
      <c r="B145" s="4" t="s">
        <v>336</v>
      </c>
      <c r="C145" s="4" t="s">
        <v>337</v>
      </c>
      <c r="D145" s="4" t="s">
        <v>12</v>
      </c>
      <c r="E145" s="5">
        <v>30296</v>
      </c>
      <c r="F145" s="4" t="s">
        <v>43</v>
      </c>
      <c r="G145" s="4" t="s">
        <v>35</v>
      </c>
      <c r="H145" s="4" t="s">
        <v>15</v>
      </c>
      <c r="I145" s="6">
        <v>5953.7</v>
      </c>
      <c r="J145" s="7">
        <v>595370</v>
      </c>
    </row>
    <row r="146" spans="1:10" ht="15.75" customHeight="1" x14ac:dyDescent="0.25">
      <c r="A146" s="4">
        <v>22221</v>
      </c>
      <c r="B146" s="4" t="s">
        <v>334</v>
      </c>
      <c r="C146" s="4" t="s">
        <v>339</v>
      </c>
      <c r="D146" s="4" t="s">
        <v>24</v>
      </c>
      <c r="E146" s="5">
        <v>27763</v>
      </c>
      <c r="F146" s="4" t="s">
        <v>41</v>
      </c>
      <c r="G146" s="4" t="s">
        <v>20</v>
      </c>
      <c r="H146" s="4" t="s">
        <v>15</v>
      </c>
      <c r="I146" s="6">
        <v>5800</v>
      </c>
      <c r="J146" s="7">
        <v>580000</v>
      </c>
    </row>
    <row r="147" spans="1:10" ht="15.75" customHeight="1" x14ac:dyDescent="0.25">
      <c r="A147" s="4">
        <v>20707</v>
      </c>
      <c r="B147" s="4" t="s">
        <v>353</v>
      </c>
      <c r="C147" s="4" t="s">
        <v>354</v>
      </c>
      <c r="D147" s="4" t="s">
        <v>12</v>
      </c>
      <c r="E147" s="5">
        <v>27234</v>
      </c>
      <c r="F147" s="4" t="s">
        <v>50</v>
      </c>
      <c r="G147" s="4" t="s">
        <v>20</v>
      </c>
      <c r="H147" s="4" t="s">
        <v>15</v>
      </c>
      <c r="I147" s="6">
        <v>4940</v>
      </c>
      <c r="J147" s="7">
        <v>494000</v>
      </c>
    </row>
    <row r="148" spans="1:10" ht="15.75" customHeight="1" x14ac:dyDescent="0.25">
      <c r="A148" s="4">
        <v>26206</v>
      </c>
      <c r="B148" s="4" t="s">
        <v>349</v>
      </c>
      <c r="C148" s="4" t="s">
        <v>350</v>
      </c>
      <c r="D148" s="4" t="s">
        <v>12</v>
      </c>
      <c r="E148" s="5">
        <v>30162</v>
      </c>
      <c r="F148" s="4" t="s">
        <v>49</v>
      </c>
      <c r="G148" s="4" t="s">
        <v>20</v>
      </c>
      <c r="H148" s="4" t="s">
        <v>15</v>
      </c>
      <c r="I148" s="6">
        <v>5130</v>
      </c>
      <c r="J148" s="7">
        <v>513000</v>
      </c>
    </row>
    <row r="149" spans="1:10" ht="15.75" customHeight="1" x14ac:dyDescent="0.25">
      <c r="A149" s="4">
        <v>123841</v>
      </c>
      <c r="B149" s="4" t="s">
        <v>340</v>
      </c>
      <c r="C149" s="4" t="s">
        <v>341</v>
      </c>
      <c r="D149" s="4" t="s">
        <v>12</v>
      </c>
      <c r="E149" s="5">
        <v>27183</v>
      </c>
      <c r="F149" s="4" t="s">
        <v>33</v>
      </c>
      <c r="G149" s="4" t="s">
        <v>20</v>
      </c>
      <c r="H149" s="4" t="s">
        <v>15</v>
      </c>
      <c r="I149" s="6">
        <v>5733</v>
      </c>
      <c r="J149" s="7">
        <v>573300</v>
      </c>
    </row>
    <row r="150" spans="1:10" ht="15.75" customHeight="1" x14ac:dyDescent="0.25">
      <c r="A150" s="4">
        <v>21184</v>
      </c>
      <c r="B150" s="4" t="s">
        <v>347</v>
      </c>
      <c r="C150" s="4" t="s">
        <v>348</v>
      </c>
      <c r="D150" s="4" t="s">
        <v>12</v>
      </c>
      <c r="E150" s="5">
        <v>26482</v>
      </c>
      <c r="F150" s="4" t="s">
        <v>48</v>
      </c>
      <c r="G150" s="4" t="s">
        <v>20</v>
      </c>
      <c r="H150" s="4" t="s">
        <v>15</v>
      </c>
      <c r="I150" s="6">
        <v>5275.2</v>
      </c>
      <c r="J150" s="7">
        <v>527520</v>
      </c>
    </row>
    <row r="151" spans="1:10" ht="15.75" customHeight="1" x14ac:dyDescent="0.25">
      <c r="A151" s="4">
        <v>26423</v>
      </c>
      <c r="B151" s="4" t="s">
        <v>351</v>
      </c>
      <c r="C151" s="4" t="s">
        <v>355</v>
      </c>
      <c r="D151" s="4" t="s">
        <v>12</v>
      </c>
      <c r="E151" s="5">
        <v>23480</v>
      </c>
      <c r="F151" s="4" t="s">
        <v>51</v>
      </c>
      <c r="G151" s="4" t="s">
        <v>52</v>
      </c>
      <c r="H151" s="4" t="s">
        <v>15</v>
      </c>
      <c r="I151" s="6">
        <v>4586.3999999999996</v>
      </c>
      <c r="J151" s="7">
        <v>458640</v>
      </c>
    </row>
    <row r="152" spans="1:10" ht="15.75" customHeight="1" x14ac:dyDescent="0.25">
      <c r="A152" s="4">
        <v>20529</v>
      </c>
      <c r="B152" s="4" t="s">
        <v>351</v>
      </c>
      <c r="C152" s="4" t="s">
        <v>358</v>
      </c>
      <c r="D152" s="4" t="s">
        <v>12</v>
      </c>
      <c r="E152" s="5">
        <v>30167</v>
      </c>
      <c r="F152" s="4" t="s">
        <v>57</v>
      </c>
      <c r="G152" s="4" t="s">
        <v>35</v>
      </c>
      <c r="H152" s="4" t="s">
        <v>15</v>
      </c>
      <c r="I152" s="6">
        <v>3808</v>
      </c>
      <c r="J152" s="7">
        <v>380800</v>
      </c>
    </row>
    <row r="153" spans="1:10" ht="15.75" customHeight="1" x14ac:dyDescent="0.25">
      <c r="A153" s="4">
        <v>22221</v>
      </c>
      <c r="B153" s="4" t="s">
        <v>351</v>
      </c>
      <c r="C153" s="4" t="s">
        <v>373</v>
      </c>
      <c r="D153" s="4" t="s">
        <v>12</v>
      </c>
      <c r="E153" s="5">
        <v>21541</v>
      </c>
      <c r="F153" s="4" t="s">
        <v>48</v>
      </c>
      <c r="G153" s="4" t="s">
        <v>20</v>
      </c>
      <c r="H153" s="4" t="s">
        <v>15</v>
      </c>
      <c r="I153" s="6">
        <v>3366</v>
      </c>
      <c r="J153" s="7">
        <v>336600</v>
      </c>
    </row>
    <row r="154" spans="1:10" ht="15.75" customHeight="1" x14ac:dyDescent="0.25">
      <c r="A154" s="4">
        <v>21742</v>
      </c>
      <c r="B154" s="4" t="s">
        <v>361</v>
      </c>
      <c r="C154" s="4" t="s">
        <v>362</v>
      </c>
      <c r="D154" s="4" t="s">
        <v>24</v>
      </c>
      <c r="E154" s="5">
        <v>31954</v>
      </c>
      <c r="F154" s="4" t="s">
        <v>58</v>
      </c>
      <c r="G154" s="4" t="s">
        <v>14</v>
      </c>
      <c r="H154" s="4" t="s">
        <v>15</v>
      </c>
      <c r="I154" s="6">
        <v>3785.66</v>
      </c>
      <c r="J154" s="7">
        <v>378566</v>
      </c>
    </row>
    <row r="155" spans="1:10" ht="15.75" customHeight="1" x14ac:dyDescent="0.25">
      <c r="A155" s="4">
        <v>20968</v>
      </c>
      <c r="B155" s="4" t="s">
        <v>364</v>
      </c>
      <c r="C155" s="4" t="s">
        <v>365</v>
      </c>
      <c r="D155" s="4" t="s">
        <v>12</v>
      </c>
      <c r="E155" s="5">
        <v>28919</v>
      </c>
      <c r="F155" s="4" t="s">
        <v>60</v>
      </c>
      <c r="G155" s="4" t="s">
        <v>20</v>
      </c>
      <c r="H155" s="4" t="s">
        <v>15</v>
      </c>
      <c r="I155" s="6">
        <v>3713.55</v>
      </c>
      <c r="J155" s="7">
        <v>371355</v>
      </c>
    </row>
    <row r="156" spans="1:10" ht="15.75" customHeight="1" x14ac:dyDescent="0.25">
      <c r="A156" s="4">
        <v>20735</v>
      </c>
      <c r="B156" s="4" t="s">
        <v>359</v>
      </c>
      <c r="C156" s="4" t="s">
        <v>368</v>
      </c>
      <c r="D156" s="4" t="s">
        <v>12</v>
      </c>
      <c r="E156" s="5">
        <v>19947</v>
      </c>
      <c r="F156" s="4" t="s">
        <v>57</v>
      </c>
      <c r="G156" s="4" t="s">
        <v>35</v>
      </c>
      <c r="H156" s="4" t="s">
        <v>15</v>
      </c>
      <c r="I156" s="6">
        <v>3554.1</v>
      </c>
      <c r="J156" s="7">
        <v>355410</v>
      </c>
    </row>
    <row r="157" spans="1:10" ht="15.75" customHeight="1" x14ac:dyDescent="0.25">
      <c r="A157" s="4">
        <v>141457</v>
      </c>
      <c r="B157" s="4" t="s">
        <v>359</v>
      </c>
      <c r="C157" s="4" t="s">
        <v>360</v>
      </c>
      <c r="D157" s="4" t="s">
        <v>12</v>
      </c>
      <c r="E157" s="5">
        <v>22447</v>
      </c>
      <c r="F157" s="4" t="s">
        <v>56</v>
      </c>
      <c r="G157" s="4" t="s">
        <v>14</v>
      </c>
      <c r="H157" s="4" t="s">
        <v>15</v>
      </c>
      <c r="I157" s="6">
        <v>3938.56</v>
      </c>
      <c r="J157" s="7">
        <v>393856</v>
      </c>
    </row>
    <row r="158" spans="1:10" ht="15.75" customHeight="1" x14ac:dyDescent="0.25">
      <c r="A158" s="4">
        <v>127312</v>
      </c>
      <c r="B158" s="4" t="s">
        <v>316</v>
      </c>
      <c r="C158" s="4" t="s">
        <v>367</v>
      </c>
      <c r="D158" s="4" t="s">
        <v>12</v>
      </c>
      <c r="E158" s="5">
        <v>23017</v>
      </c>
      <c r="F158" s="4" t="s">
        <v>62</v>
      </c>
      <c r="G158" s="4" t="s">
        <v>14</v>
      </c>
      <c r="H158" s="4" t="s">
        <v>15</v>
      </c>
      <c r="I158" s="6">
        <v>3577.14</v>
      </c>
      <c r="J158" s="7">
        <v>357714</v>
      </c>
    </row>
    <row r="159" spans="1:10" ht="15.75" customHeight="1" x14ac:dyDescent="0.25">
      <c r="A159" s="4">
        <v>126772</v>
      </c>
      <c r="B159" s="4" t="s">
        <v>316</v>
      </c>
      <c r="C159" s="4" t="s">
        <v>360</v>
      </c>
      <c r="D159" s="4" t="s">
        <v>12</v>
      </c>
      <c r="E159" s="5">
        <v>29028</v>
      </c>
      <c r="F159" s="4" t="s">
        <v>63</v>
      </c>
      <c r="G159" s="4" t="s">
        <v>14</v>
      </c>
      <c r="H159" s="4" t="s">
        <v>15</v>
      </c>
      <c r="I159" s="6">
        <v>3449.88</v>
      </c>
      <c r="J159" s="7">
        <v>344988</v>
      </c>
    </row>
    <row r="160" spans="1:10" ht="15.75" customHeight="1" x14ac:dyDescent="0.25">
      <c r="A160" s="4">
        <v>25535</v>
      </c>
      <c r="B160" s="4" t="s">
        <v>377</v>
      </c>
      <c r="C160" s="4" t="s">
        <v>383</v>
      </c>
      <c r="D160" s="4" t="s">
        <v>24</v>
      </c>
      <c r="E160" s="5">
        <v>32961</v>
      </c>
      <c r="F160" s="4" t="s">
        <v>50</v>
      </c>
      <c r="G160" s="4" t="s">
        <v>20</v>
      </c>
      <c r="H160" s="4" t="s">
        <v>15</v>
      </c>
      <c r="I160" s="6">
        <v>2885.34</v>
      </c>
      <c r="J160" s="7">
        <v>288534</v>
      </c>
    </row>
    <row r="161" spans="1:10" ht="15.75" customHeight="1" x14ac:dyDescent="0.25">
      <c r="A161" s="4">
        <v>24442</v>
      </c>
      <c r="B161" s="4" t="s">
        <v>407</v>
      </c>
      <c r="C161" s="4" t="s">
        <v>408</v>
      </c>
      <c r="D161" s="4" t="s">
        <v>24</v>
      </c>
      <c r="E161" s="5">
        <v>21352</v>
      </c>
      <c r="F161" s="4" t="s">
        <v>19</v>
      </c>
      <c r="G161" s="4" t="s">
        <v>20</v>
      </c>
      <c r="H161" s="4" t="s">
        <v>15</v>
      </c>
      <c r="I161" s="6">
        <v>2128</v>
      </c>
      <c r="J161" s="7">
        <v>212800</v>
      </c>
    </row>
    <row r="162" spans="1:10" ht="15.75" customHeight="1" x14ac:dyDescent="0.25">
      <c r="A162" s="4">
        <v>134616</v>
      </c>
      <c r="B162" s="4" t="s">
        <v>393</v>
      </c>
      <c r="C162" s="4" t="s">
        <v>394</v>
      </c>
      <c r="D162" s="4" t="s">
        <v>12</v>
      </c>
      <c r="E162" s="5">
        <v>29451</v>
      </c>
      <c r="F162" s="4" t="s">
        <v>49</v>
      </c>
      <c r="G162" s="4" t="s">
        <v>20</v>
      </c>
      <c r="H162" s="4" t="s">
        <v>15</v>
      </c>
      <c r="I162" s="6">
        <v>2469.7399999999998</v>
      </c>
      <c r="J162" s="7">
        <v>246974</v>
      </c>
    </row>
    <row r="163" spans="1:10" ht="15.75" customHeight="1" x14ac:dyDescent="0.25">
      <c r="A163" s="4">
        <v>127365</v>
      </c>
      <c r="B163" s="4" t="s">
        <v>393</v>
      </c>
      <c r="C163" s="4" t="s">
        <v>309</v>
      </c>
      <c r="D163" s="4" t="s">
        <v>12</v>
      </c>
      <c r="E163" s="5">
        <v>17535</v>
      </c>
      <c r="F163" s="4" t="s">
        <v>49</v>
      </c>
      <c r="G163" s="4" t="s">
        <v>20</v>
      </c>
      <c r="H163" s="4" t="s">
        <v>15</v>
      </c>
      <c r="I163" s="6">
        <v>2487</v>
      </c>
      <c r="J163" s="7">
        <v>248700</v>
      </c>
    </row>
    <row r="164" spans="1:10" ht="15.75" customHeight="1" x14ac:dyDescent="0.25">
      <c r="A164" s="4">
        <v>20795</v>
      </c>
      <c r="B164" s="4" t="s">
        <v>397</v>
      </c>
      <c r="C164" s="4" t="s">
        <v>398</v>
      </c>
      <c r="D164" s="4" t="s">
        <v>12</v>
      </c>
      <c r="E164" s="5">
        <v>28222</v>
      </c>
      <c r="F164" s="4" t="s">
        <v>75</v>
      </c>
      <c r="G164" s="4" t="s">
        <v>20</v>
      </c>
      <c r="H164" s="4" t="s">
        <v>15</v>
      </c>
      <c r="I164" s="6">
        <v>2357.52</v>
      </c>
      <c r="J164" s="7">
        <v>235752</v>
      </c>
    </row>
    <row r="165" spans="1:10" ht="15.75" customHeight="1" x14ac:dyDescent="0.25">
      <c r="A165" s="4">
        <v>26681</v>
      </c>
      <c r="B165" s="4" t="s">
        <v>391</v>
      </c>
      <c r="C165" s="4" t="s">
        <v>302</v>
      </c>
      <c r="D165" s="4" t="s">
        <v>12</v>
      </c>
      <c r="E165" s="5">
        <v>29903</v>
      </c>
      <c r="F165" s="4" t="s">
        <v>75</v>
      </c>
      <c r="G165" s="4" t="s">
        <v>20</v>
      </c>
      <c r="H165" s="4" t="s">
        <v>15</v>
      </c>
      <c r="I165" s="6">
        <v>2400</v>
      </c>
      <c r="J165" s="7">
        <v>240000</v>
      </c>
    </row>
    <row r="166" spans="1:10" ht="15.75" customHeight="1" x14ac:dyDescent="0.25">
      <c r="A166" s="4">
        <v>20569</v>
      </c>
      <c r="B166" s="4" t="s">
        <v>391</v>
      </c>
      <c r="C166" s="4" t="s">
        <v>392</v>
      </c>
      <c r="D166" s="4" t="s">
        <v>12</v>
      </c>
      <c r="E166" s="5">
        <v>31933</v>
      </c>
      <c r="F166" s="4" t="s">
        <v>60</v>
      </c>
      <c r="G166" s="4" t="s">
        <v>20</v>
      </c>
      <c r="H166" s="4" t="s">
        <v>15</v>
      </c>
      <c r="I166" s="6">
        <v>2497.44</v>
      </c>
      <c r="J166" s="7">
        <v>249744</v>
      </c>
    </row>
    <row r="167" spans="1:10" ht="15.75" customHeight="1" x14ac:dyDescent="0.25">
      <c r="A167" s="4">
        <v>21235</v>
      </c>
      <c r="B167" s="4" t="s">
        <v>395</v>
      </c>
      <c r="C167" s="4" t="s">
        <v>396</v>
      </c>
      <c r="D167" s="4" t="s">
        <v>12</v>
      </c>
      <c r="E167" s="5">
        <v>24802</v>
      </c>
      <c r="F167" s="4" t="s">
        <v>13</v>
      </c>
      <c r="G167" s="4" t="s">
        <v>14</v>
      </c>
      <c r="H167" s="4" t="s">
        <v>15</v>
      </c>
      <c r="I167" s="6">
        <v>2392</v>
      </c>
      <c r="J167" s="7">
        <v>239200</v>
      </c>
    </row>
    <row r="168" spans="1:10" ht="15.75" customHeight="1" x14ac:dyDescent="0.25">
      <c r="A168" s="4">
        <v>23034</v>
      </c>
      <c r="B168" s="4" t="s">
        <v>400</v>
      </c>
      <c r="C168" s="4" t="s">
        <v>401</v>
      </c>
      <c r="D168" s="4" t="s">
        <v>12</v>
      </c>
      <c r="E168" s="5">
        <v>29711</v>
      </c>
      <c r="F168" s="4" t="s">
        <v>75</v>
      </c>
      <c r="G168" s="4" t="s">
        <v>20</v>
      </c>
      <c r="H168" s="4" t="s">
        <v>15</v>
      </c>
      <c r="I168" s="6">
        <v>2273.2800000000002</v>
      </c>
      <c r="J168" s="7">
        <v>227328</v>
      </c>
    </row>
    <row r="169" spans="1:10" ht="15.75" customHeight="1" x14ac:dyDescent="0.25">
      <c r="A169" s="4">
        <v>22298</v>
      </c>
      <c r="B169" s="4" t="s">
        <v>405</v>
      </c>
      <c r="C169" s="4" t="s">
        <v>339</v>
      </c>
      <c r="D169" s="4" t="s">
        <v>12</v>
      </c>
      <c r="E169" s="5">
        <v>25673</v>
      </c>
      <c r="F169" s="4" t="s">
        <v>75</v>
      </c>
      <c r="G169" s="4" t="s">
        <v>20</v>
      </c>
      <c r="H169" s="4" t="s">
        <v>15</v>
      </c>
      <c r="I169" s="6">
        <v>2203.7399999999998</v>
      </c>
      <c r="J169" s="7">
        <v>220374</v>
      </c>
    </row>
    <row r="170" spans="1:10" ht="15.75" customHeight="1" x14ac:dyDescent="0.25">
      <c r="A170" s="4">
        <v>21004</v>
      </c>
      <c r="B170" s="4" t="s">
        <v>405</v>
      </c>
      <c r="C170" s="4" t="s">
        <v>410</v>
      </c>
      <c r="D170" s="4" t="s">
        <v>12</v>
      </c>
      <c r="E170" s="5">
        <v>20880</v>
      </c>
      <c r="F170" s="4" t="s">
        <v>50</v>
      </c>
      <c r="G170" s="4" t="s">
        <v>20</v>
      </c>
      <c r="H170" s="4" t="s">
        <v>15</v>
      </c>
      <c r="I170" s="6">
        <v>2053.87</v>
      </c>
      <c r="J170" s="7">
        <v>205387</v>
      </c>
    </row>
    <row r="171" spans="1:10" ht="15.75" customHeight="1" x14ac:dyDescent="0.25">
      <c r="A171" s="4">
        <v>20635</v>
      </c>
      <c r="B171" s="4" t="s">
        <v>405</v>
      </c>
      <c r="C171" s="4" t="s">
        <v>416</v>
      </c>
      <c r="D171" s="4" t="s">
        <v>12</v>
      </c>
      <c r="E171" s="5">
        <v>24960</v>
      </c>
      <c r="F171" s="4" t="s">
        <v>48</v>
      </c>
      <c r="G171" s="4" t="s">
        <v>20</v>
      </c>
      <c r="H171" s="4" t="s">
        <v>15</v>
      </c>
      <c r="I171" s="6">
        <v>1834.56</v>
      </c>
      <c r="J171" s="7">
        <v>183456</v>
      </c>
    </row>
    <row r="172" spans="1:10" ht="15.75" customHeight="1" x14ac:dyDescent="0.25">
      <c r="A172" s="4">
        <v>23705</v>
      </c>
      <c r="B172" s="4" t="s">
        <v>405</v>
      </c>
      <c r="C172" s="4" t="s">
        <v>339</v>
      </c>
      <c r="D172" s="4" t="s">
        <v>12</v>
      </c>
      <c r="E172" s="5">
        <v>26830</v>
      </c>
      <c r="F172" s="4" t="s">
        <v>30</v>
      </c>
      <c r="G172" s="4" t="s">
        <v>20</v>
      </c>
      <c r="H172" s="4" t="s">
        <v>15</v>
      </c>
      <c r="I172" s="6">
        <v>1723.56</v>
      </c>
      <c r="J172" s="7">
        <v>172356</v>
      </c>
    </row>
    <row r="173" spans="1:10" ht="15.75" customHeight="1" x14ac:dyDescent="0.25">
      <c r="A173" s="4">
        <v>130203</v>
      </c>
      <c r="B173" s="4" t="s">
        <v>413</v>
      </c>
      <c r="C173" s="4" t="s">
        <v>446</v>
      </c>
      <c r="D173" s="4" t="s">
        <v>12</v>
      </c>
      <c r="E173" s="5">
        <v>32270</v>
      </c>
      <c r="F173" s="4" t="s">
        <v>48</v>
      </c>
      <c r="G173" s="4" t="s">
        <v>20</v>
      </c>
      <c r="H173" s="4" t="s">
        <v>15</v>
      </c>
      <c r="I173" s="6">
        <v>1492</v>
      </c>
      <c r="J173" s="7">
        <v>149200</v>
      </c>
    </row>
    <row r="174" spans="1:10" ht="15.75" customHeight="1" x14ac:dyDescent="0.25">
      <c r="A174" s="4">
        <v>22206</v>
      </c>
      <c r="B174" s="4" t="s">
        <v>413</v>
      </c>
      <c r="C174" s="4" t="s">
        <v>447</v>
      </c>
      <c r="D174" s="4" t="s">
        <v>12</v>
      </c>
      <c r="E174" s="5">
        <v>20663</v>
      </c>
      <c r="F174" s="4" t="s">
        <v>48</v>
      </c>
      <c r="G174" s="4" t="s">
        <v>20</v>
      </c>
      <c r="H174" s="4" t="s">
        <v>15</v>
      </c>
      <c r="I174" s="6">
        <v>1473.5</v>
      </c>
      <c r="J174" s="7">
        <v>147350</v>
      </c>
    </row>
    <row r="175" spans="1:10" ht="15.75" customHeight="1" x14ac:dyDescent="0.25">
      <c r="A175" s="4">
        <v>21223</v>
      </c>
      <c r="B175" s="4" t="s">
        <v>435</v>
      </c>
      <c r="C175" s="4" t="s">
        <v>436</v>
      </c>
      <c r="D175" s="4" t="s">
        <v>12</v>
      </c>
      <c r="E175" s="5">
        <v>28635</v>
      </c>
      <c r="F175" s="4" t="s">
        <v>93</v>
      </c>
      <c r="G175" s="4" t="s">
        <v>14</v>
      </c>
      <c r="H175" s="4" t="s">
        <v>15</v>
      </c>
      <c r="I175" s="6">
        <v>1652</v>
      </c>
      <c r="J175" s="7">
        <v>165200</v>
      </c>
    </row>
    <row r="176" spans="1:10" ht="15.75" customHeight="1" x14ac:dyDescent="0.25">
      <c r="A176" s="4">
        <v>22561</v>
      </c>
      <c r="B176" s="4" t="s">
        <v>417</v>
      </c>
      <c r="C176" s="4" t="s">
        <v>418</v>
      </c>
      <c r="D176" s="4" t="s">
        <v>24</v>
      </c>
      <c r="E176" s="5">
        <v>29527</v>
      </c>
      <c r="F176" s="4" t="s">
        <v>88</v>
      </c>
      <c r="G176" s="4" t="s">
        <v>52</v>
      </c>
      <c r="H176" s="4" t="s">
        <v>15</v>
      </c>
      <c r="I176" s="6">
        <v>1792</v>
      </c>
      <c r="J176" s="7">
        <v>179200</v>
      </c>
    </row>
    <row r="177" spans="1:10" ht="15.75" customHeight="1" x14ac:dyDescent="0.25">
      <c r="A177" s="4">
        <v>21897</v>
      </c>
      <c r="B177" s="4" t="s">
        <v>439</v>
      </c>
      <c r="C177" s="4" t="s">
        <v>440</v>
      </c>
      <c r="D177" s="4" t="s">
        <v>12</v>
      </c>
      <c r="E177" s="5">
        <v>31158</v>
      </c>
      <c r="F177" s="4" t="s">
        <v>29</v>
      </c>
      <c r="G177" s="4" t="s">
        <v>14</v>
      </c>
      <c r="H177" s="4" t="s">
        <v>15</v>
      </c>
      <c r="I177" s="6">
        <v>1612.4</v>
      </c>
      <c r="J177" s="7">
        <v>161240</v>
      </c>
    </row>
    <row r="178" spans="1:10" ht="15.75" customHeight="1" x14ac:dyDescent="0.25">
      <c r="A178" s="4">
        <v>21979</v>
      </c>
      <c r="B178" s="4" t="s">
        <v>426</v>
      </c>
      <c r="C178" s="4" t="s">
        <v>427</v>
      </c>
      <c r="D178" s="4" t="s">
        <v>12</v>
      </c>
      <c r="E178" s="5">
        <v>29722</v>
      </c>
      <c r="F178" s="4" t="s">
        <v>90</v>
      </c>
      <c r="G178" s="4" t="s">
        <v>14</v>
      </c>
      <c r="H178" s="4" t="s">
        <v>15</v>
      </c>
      <c r="I178" s="6">
        <v>1686.65</v>
      </c>
      <c r="J178" s="7">
        <v>168665</v>
      </c>
    </row>
    <row r="179" spans="1:10" ht="15.75" customHeight="1" x14ac:dyDescent="0.25">
      <c r="A179" s="4">
        <v>21707</v>
      </c>
      <c r="B179" s="4" t="s">
        <v>433</v>
      </c>
      <c r="C179" s="4" t="s">
        <v>434</v>
      </c>
      <c r="D179" s="4" t="s">
        <v>12</v>
      </c>
      <c r="E179" s="5">
        <v>32663</v>
      </c>
      <c r="F179" s="4" t="s">
        <v>92</v>
      </c>
      <c r="G179" s="4" t="s">
        <v>35</v>
      </c>
      <c r="H179" s="4" t="s">
        <v>15</v>
      </c>
      <c r="I179" s="6">
        <v>1655.4</v>
      </c>
      <c r="J179" s="7">
        <v>165540</v>
      </c>
    </row>
    <row r="180" spans="1:10" ht="15.75" customHeight="1" x14ac:dyDescent="0.25">
      <c r="A180" s="4">
        <v>21578</v>
      </c>
      <c r="B180" s="4" t="s">
        <v>419</v>
      </c>
      <c r="C180" s="4" t="s">
        <v>420</v>
      </c>
      <c r="D180" s="4" t="s">
        <v>24</v>
      </c>
      <c r="E180" s="5">
        <v>24887</v>
      </c>
      <c r="F180" s="4" t="s">
        <v>60</v>
      </c>
      <c r="G180" s="4" t="s">
        <v>20</v>
      </c>
      <c r="H180" s="4" t="s">
        <v>15</v>
      </c>
      <c r="I180" s="6">
        <v>1786.89</v>
      </c>
      <c r="J180" s="7">
        <v>178689</v>
      </c>
    </row>
    <row r="181" spans="1:10" ht="15.75" customHeight="1" x14ac:dyDescent="0.25">
      <c r="A181" s="4">
        <v>20578</v>
      </c>
      <c r="B181" s="4" t="s">
        <v>444</v>
      </c>
      <c r="C181" s="4" t="s">
        <v>445</v>
      </c>
      <c r="D181" s="4" t="s">
        <v>12</v>
      </c>
      <c r="E181" s="5">
        <v>26765</v>
      </c>
      <c r="F181" s="4" t="s">
        <v>48</v>
      </c>
      <c r="G181" s="4" t="s">
        <v>20</v>
      </c>
      <c r="H181" s="4" t="s">
        <v>15</v>
      </c>
      <c r="I181" s="6">
        <v>1513.92</v>
      </c>
      <c r="J181" s="7">
        <v>151392</v>
      </c>
    </row>
    <row r="182" spans="1:10" ht="15.75" customHeight="1" x14ac:dyDescent="0.25">
      <c r="A182" s="4">
        <v>21388</v>
      </c>
      <c r="B182" s="4" t="s">
        <v>448</v>
      </c>
      <c r="C182" s="4" t="s">
        <v>449</v>
      </c>
      <c r="D182" s="4" t="s">
        <v>12</v>
      </c>
      <c r="E182" s="5">
        <v>26638</v>
      </c>
      <c r="F182" s="4" t="s">
        <v>62</v>
      </c>
      <c r="G182" s="4" t="s">
        <v>14</v>
      </c>
      <c r="H182" s="4" t="s">
        <v>15</v>
      </c>
      <c r="I182" s="6">
        <v>1456</v>
      </c>
      <c r="J182" s="7">
        <v>145600</v>
      </c>
    </row>
    <row r="183" spans="1:10" ht="15.75" customHeight="1" x14ac:dyDescent="0.25">
      <c r="A183" s="4">
        <v>20800</v>
      </c>
      <c r="B183" s="4" t="s">
        <v>473</v>
      </c>
      <c r="C183" s="4" t="s">
        <v>474</v>
      </c>
      <c r="D183" s="4" t="s">
        <v>12</v>
      </c>
      <c r="E183" s="5">
        <v>24210</v>
      </c>
      <c r="F183" s="4" t="s">
        <v>48</v>
      </c>
      <c r="G183" s="4" t="s">
        <v>20</v>
      </c>
      <c r="H183" s="4" t="s">
        <v>15</v>
      </c>
      <c r="I183" s="6">
        <v>1323.45</v>
      </c>
      <c r="J183" s="7">
        <v>132345</v>
      </c>
    </row>
    <row r="184" spans="1:10" ht="15.75" customHeight="1" x14ac:dyDescent="0.25">
      <c r="A184" s="4">
        <v>20630</v>
      </c>
      <c r="B184" s="4" t="s">
        <v>441</v>
      </c>
      <c r="C184" s="4" t="s">
        <v>362</v>
      </c>
      <c r="D184" s="4" t="s">
        <v>12</v>
      </c>
      <c r="E184" s="5">
        <v>32102</v>
      </c>
      <c r="F184" s="4" t="s">
        <v>96</v>
      </c>
      <c r="G184" s="4" t="s">
        <v>52</v>
      </c>
      <c r="H184" s="4" t="s">
        <v>15</v>
      </c>
      <c r="I184" s="6">
        <v>1595.16</v>
      </c>
      <c r="J184" s="7">
        <v>159516</v>
      </c>
    </row>
    <row r="185" spans="1:10" ht="15.75" customHeight="1" x14ac:dyDescent="0.25">
      <c r="A185" s="4">
        <v>26269</v>
      </c>
      <c r="B185" s="4" t="s">
        <v>428</v>
      </c>
      <c r="C185" s="4" t="s">
        <v>358</v>
      </c>
      <c r="D185" s="4" t="s">
        <v>12</v>
      </c>
      <c r="E185" s="5">
        <v>31949</v>
      </c>
      <c r="F185" s="4" t="s">
        <v>48</v>
      </c>
      <c r="G185" s="4" t="s">
        <v>20</v>
      </c>
      <c r="H185" s="4" t="s">
        <v>15</v>
      </c>
      <c r="I185" s="6">
        <v>1675</v>
      </c>
      <c r="J185" s="7">
        <v>167500</v>
      </c>
    </row>
    <row r="186" spans="1:10" ht="15.75" customHeight="1" x14ac:dyDescent="0.25">
      <c r="A186" s="4">
        <v>21315</v>
      </c>
      <c r="B186" s="4" t="s">
        <v>461</v>
      </c>
      <c r="C186" s="4" t="s">
        <v>462</v>
      </c>
      <c r="D186" s="4" t="s">
        <v>12</v>
      </c>
      <c r="E186" s="5">
        <v>30543</v>
      </c>
      <c r="F186" s="4" t="s">
        <v>60</v>
      </c>
      <c r="G186" s="4" t="s">
        <v>20</v>
      </c>
      <c r="H186" s="4" t="s">
        <v>15</v>
      </c>
      <c r="I186" s="6">
        <v>1400</v>
      </c>
      <c r="J186" s="7">
        <v>140000</v>
      </c>
    </row>
    <row r="187" spans="1:10" ht="15.75" customHeight="1" x14ac:dyDescent="0.25">
      <c r="A187" s="4">
        <v>20913</v>
      </c>
      <c r="B187" s="4" t="s">
        <v>455</v>
      </c>
      <c r="C187" s="4" t="s">
        <v>456</v>
      </c>
      <c r="D187" s="4" t="s">
        <v>12</v>
      </c>
      <c r="E187" s="5">
        <v>32625</v>
      </c>
      <c r="F187" s="4" t="s">
        <v>19</v>
      </c>
      <c r="G187" s="4" t="s">
        <v>20</v>
      </c>
      <c r="H187" s="4" t="s">
        <v>15</v>
      </c>
      <c r="I187" s="6">
        <v>1433.76</v>
      </c>
      <c r="J187" s="7">
        <v>143376</v>
      </c>
    </row>
    <row r="188" spans="1:10" ht="15.75" customHeight="1" x14ac:dyDescent="0.25">
      <c r="A188" s="4">
        <v>20563</v>
      </c>
      <c r="B188" s="4" t="s">
        <v>465</v>
      </c>
      <c r="C188" s="4" t="s">
        <v>466</v>
      </c>
      <c r="D188" s="4" t="s">
        <v>12</v>
      </c>
      <c r="E188" s="5">
        <v>23165</v>
      </c>
      <c r="F188" s="4" t="s">
        <v>60</v>
      </c>
      <c r="G188" s="4" t="s">
        <v>20</v>
      </c>
      <c r="H188" s="4" t="s">
        <v>15</v>
      </c>
      <c r="I188" s="6">
        <v>1388.86</v>
      </c>
      <c r="J188" s="7">
        <v>138886</v>
      </c>
    </row>
    <row r="189" spans="1:10" ht="15.75" customHeight="1" x14ac:dyDescent="0.25">
      <c r="A189" s="4">
        <v>20570</v>
      </c>
      <c r="B189" s="4" t="s">
        <v>463</v>
      </c>
      <c r="C189" s="4" t="s">
        <v>464</v>
      </c>
      <c r="D189" s="4" t="s">
        <v>12</v>
      </c>
      <c r="E189" s="5">
        <v>23657</v>
      </c>
      <c r="F189" s="4" t="s">
        <v>100</v>
      </c>
      <c r="G189" s="4" t="s">
        <v>14</v>
      </c>
      <c r="H189" s="4" t="s">
        <v>15</v>
      </c>
      <c r="I189" s="6">
        <v>1397.4</v>
      </c>
      <c r="J189" s="7">
        <v>139740</v>
      </c>
    </row>
    <row r="190" spans="1:10" ht="15.75" customHeight="1" x14ac:dyDescent="0.25">
      <c r="A190" s="4">
        <v>20528</v>
      </c>
      <c r="B190" s="4" t="s">
        <v>479</v>
      </c>
      <c r="C190" s="4" t="s">
        <v>480</v>
      </c>
      <c r="D190" s="4" t="s">
        <v>12</v>
      </c>
      <c r="E190" s="5">
        <v>30819</v>
      </c>
      <c r="F190" s="4" t="s">
        <v>50</v>
      </c>
      <c r="G190" s="4" t="s">
        <v>20</v>
      </c>
      <c r="H190" s="4" t="s">
        <v>15</v>
      </c>
      <c r="I190" s="6">
        <v>1289.68</v>
      </c>
      <c r="J190" s="7">
        <v>128968</v>
      </c>
    </row>
    <row r="191" spans="1:10" ht="15.75" customHeight="1" x14ac:dyDescent="0.25">
      <c r="A191" s="4">
        <v>20879</v>
      </c>
      <c r="B191" s="4" t="s">
        <v>479</v>
      </c>
      <c r="C191" s="4" t="s">
        <v>355</v>
      </c>
      <c r="D191" s="4" t="s">
        <v>12</v>
      </c>
      <c r="E191" s="5">
        <v>23480</v>
      </c>
      <c r="F191" s="4" t="s">
        <v>48</v>
      </c>
      <c r="G191" s="4" t="s">
        <v>20</v>
      </c>
      <c r="H191" s="4" t="s">
        <v>15</v>
      </c>
      <c r="I191" s="6">
        <v>1258.95</v>
      </c>
      <c r="J191" s="7">
        <v>125895</v>
      </c>
    </row>
    <row r="192" spans="1:10" ht="15.75" customHeight="1" x14ac:dyDescent="0.25">
      <c r="A192" s="4">
        <v>32590</v>
      </c>
      <c r="B192" s="4" t="s">
        <v>501</v>
      </c>
      <c r="C192" s="4" t="s">
        <v>502</v>
      </c>
      <c r="D192" s="4" t="s">
        <v>12</v>
      </c>
      <c r="E192" s="5">
        <v>19941</v>
      </c>
      <c r="F192" s="4" t="s">
        <v>57</v>
      </c>
      <c r="G192" s="4" t="s">
        <v>35</v>
      </c>
      <c r="H192" s="4" t="s">
        <v>15</v>
      </c>
      <c r="I192" s="6">
        <v>1156.68</v>
      </c>
      <c r="J192" s="7">
        <v>115668</v>
      </c>
    </row>
    <row r="193" spans="1:10" ht="15.75" customHeight="1" x14ac:dyDescent="0.25">
      <c r="A193" s="4">
        <v>140822</v>
      </c>
      <c r="B193" s="4" t="s">
        <v>486</v>
      </c>
      <c r="C193" s="4" t="s">
        <v>487</v>
      </c>
      <c r="D193" s="4" t="s">
        <v>24</v>
      </c>
      <c r="E193" s="5">
        <v>25884</v>
      </c>
      <c r="F193" s="4" t="s">
        <v>46</v>
      </c>
      <c r="G193" s="4" t="s">
        <v>35</v>
      </c>
      <c r="H193" s="4" t="s">
        <v>15</v>
      </c>
      <c r="I193" s="6">
        <v>1244.6500000000001</v>
      </c>
      <c r="J193" s="7">
        <v>124465</v>
      </c>
    </row>
    <row r="194" spans="1:10" ht="15.75" customHeight="1" x14ac:dyDescent="0.25">
      <c r="A194" s="4">
        <v>20893</v>
      </c>
      <c r="B194" s="4" t="s">
        <v>469</v>
      </c>
      <c r="C194" s="4" t="s">
        <v>470</v>
      </c>
      <c r="D194" s="4" t="s">
        <v>24</v>
      </c>
      <c r="E194" s="5">
        <v>29662</v>
      </c>
      <c r="F194" s="4" t="s">
        <v>60</v>
      </c>
      <c r="G194" s="4" t="s">
        <v>20</v>
      </c>
      <c r="H194" s="4" t="s">
        <v>15</v>
      </c>
      <c r="I194" s="6">
        <v>1378.6</v>
      </c>
      <c r="J194" s="7">
        <v>137860</v>
      </c>
    </row>
    <row r="195" spans="1:10" ht="15.75" customHeight="1" x14ac:dyDescent="0.25">
      <c r="A195" s="4">
        <v>131866</v>
      </c>
      <c r="B195" s="4" t="s">
        <v>520</v>
      </c>
      <c r="C195" s="4" t="s">
        <v>513</v>
      </c>
      <c r="D195" s="4" t="s">
        <v>12</v>
      </c>
      <c r="E195" s="5">
        <v>23691</v>
      </c>
      <c r="F195" s="4" t="s">
        <v>113</v>
      </c>
      <c r="G195" s="4" t="s">
        <v>35</v>
      </c>
      <c r="H195" s="4" t="s">
        <v>15</v>
      </c>
      <c r="I195" s="6">
        <v>1079.5</v>
      </c>
      <c r="J195" s="7">
        <v>107950</v>
      </c>
    </row>
    <row r="196" spans="1:10" ht="15.75" customHeight="1" x14ac:dyDescent="0.25">
      <c r="A196" s="4">
        <v>134219</v>
      </c>
      <c r="B196" s="4" t="s">
        <v>459</v>
      </c>
      <c r="C196" s="4" t="s">
        <v>472</v>
      </c>
      <c r="D196" s="4" t="s">
        <v>12</v>
      </c>
      <c r="E196" s="5">
        <v>26912</v>
      </c>
      <c r="F196" s="4" t="s">
        <v>41</v>
      </c>
      <c r="G196" s="4" t="s">
        <v>20</v>
      </c>
      <c r="H196" s="4" t="s">
        <v>15</v>
      </c>
      <c r="I196" s="6">
        <v>1333</v>
      </c>
      <c r="J196" s="7">
        <v>133300</v>
      </c>
    </row>
    <row r="197" spans="1:10" ht="15.75" customHeight="1" x14ac:dyDescent="0.25">
      <c r="A197" s="4">
        <v>27407</v>
      </c>
      <c r="B197" s="4" t="s">
        <v>459</v>
      </c>
      <c r="C197" s="4" t="s">
        <v>460</v>
      </c>
      <c r="D197" s="4" t="s">
        <v>12</v>
      </c>
      <c r="E197" s="5">
        <v>25772</v>
      </c>
      <c r="F197" s="4" t="s">
        <v>49</v>
      </c>
      <c r="G197" s="4" t="s">
        <v>20</v>
      </c>
      <c r="H197" s="4" t="s">
        <v>15</v>
      </c>
      <c r="I197" s="6">
        <v>1415.7</v>
      </c>
      <c r="J197" s="7">
        <v>141570</v>
      </c>
    </row>
    <row r="198" spans="1:10" ht="15.75" customHeight="1" x14ac:dyDescent="0.25">
      <c r="A198" s="4">
        <v>22465</v>
      </c>
      <c r="B198" s="4" t="s">
        <v>518</v>
      </c>
      <c r="C198" s="4" t="s">
        <v>519</v>
      </c>
      <c r="D198" s="4" t="s">
        <v>12</v>
      </c>
      <c r="E198" s="5">
        <v>30134</v>
      </c>
      <c r="F198" s="4" t="s">
        <v>48</v>
      </c>
      <c r="G198" s="4" t="s">
        <v>20</v>
      </c>
      <c r="H198" s="4" t="s">
        <v>15</v>
      </c>
      <c r="I198" s="6">
        <v>1083.75</v>
      </c>
      <c r="J198" s="7">
        <v>108375</v>
      </c>
    </row>
    <row r="199" spans="1:10" ht="15.75" customHeight="1" x14ac:dyDescent="0.25">
      <c r="A199" s="4">
        <v>127152</v>
      </c>
      <c r="B199" s="4" t="s">
        <v>505</v>
      </c>
      <c r="C199" s="4" t="s">
        <v>372</v>
      </c>
      <c r="D199" s="4" t="s">
        <v>12</v>
      </c>
      <c r="E199" s="5">
        <v>32600</v>
      </c>
      <c r="F199" s="4" t="s">
        <v>60</v>
      </c>
      <c r="G199" s="4" t="s">
        <v>20</v>
      </c>
      <c r="H199" s="4" t="s">
        <v>15</v>
      </c>
      <c r="I199" s="6">
        <v>1133.46</v>
      </c>
      <c r="J199" s="7">
        <v>113346</v>
      </c>
    </row>
    <row r="200" spans="1:10" ht="15.75" customHeight="1" x14ac:dyDescent="0.25">
      <c r="A200" s="4">
        <v>128577</v>
      </c>
      <c r="B200" s="4" t="s">
        <v>527</v>
      </c>
      <c r="C200" s="4" t="s">
        <v>528</v>
      </c>
      <c r="D200" s="4" t="s">
        <v>24</v>
      </c>
      <c r="E200" s="5">
        <v>31564</v>
      </c>
      <c r="F200" s="4" t="s">
        <v>46</v>
      </c>
      <c r="G200" s="4" t="s">
        <v>35</v>
      </c>
      <c r="H200" s="4" t="s">
        <v>15</v>
      </c>
      <c r="I200" s="6">
        <v>1020</v>
      </c>
      <c r="J200" s="7">
        <v>102000</v>
      </c>
    </row>
    <row r="201" spans="1:10" ht="15.75" customHeight="1" x14ac:dyDescent="0.25">
      <c r="A201" s="4">
        <v>141756</v>
      </c>
      <c r="B201" s="4" t="s">
        <v>496</v>
      </c>
      <c r="C201" s="4" t="s">
        <v>497</v>
      </c>
      <c r="D201" s="4" t="s">
        <v>12</v>
      </c>
      <c r="E201" s="5">
        <v>24772</v>
      </c>
      <c r="F201" s="4" t="s">
        <v>48</v>
      </c>
      <c r="G201" s="4" t="s">
        <v>20</v>
      </c>
      <c r="H201" s="4" t="s">
        <v>15</v>
      </c>
      <c r="I201" s="6">
        <v>1200</v>
      </c>
      <c r="J201" s="7">
        <v>120000</v>
      </c>
    </row>
    <row r="202" spans="1:10" ht="15.75" customHeight="1" x14ac:dyDescent="0.25">
      <c r="A202" s="4">
        <v>50460</v>
      </c>
      <c r="B202" s="4" t="s">
        <v>488</v>
      </c>
      <c r="C202" s="4" t="s">
        <v>498</v>
      </c>
      <c r="D202" s="4" t="s">
        <v>12</v>
      </c>
      <c r="E202" s="5">
        <v>24308</v>
      </c>
      <c r="F202" s="4" t="s">
        <v>41</v>
      </c>
      <c r="G202" s="4" t="s">
        <v>20</v>
      </c>
      <c r="H202" s="4" t="s">
        <v>15</v>
      </c>
      <c r="I202" s="6">
        <v>1197</v>
      </c>
      <c r="J202" s="7">
        <v>119700</v>
      </c>
    </row>
    <row r="203" spans="1:10" ht="15.75" customHeight="1" x14ac:dyDescent="0.25">
      <c r="A203" s="4">
        <v>23022</v>
      </c>
      <c r="B203" s="4" t="s">
        <v>493</v>
      </c>
      <c r="C203" s="4" t="s">
        <v>406</v>
      </c>
      <c r="D203" s="4" t="s">
        <v>12</v>
      </c>
      <c r="E203" s="5">
        <v>29211</v>
      </c>
      <c r="F203" s="4" t="s">
        <v>49</v>
      </c>
      <c r="G203" s="4" t="s">
        <v>20</v>
      </c>
      <c r="H203" s="4" t="s">
        <v>15</v>
      </c>
      <c r="I203" s="6">
        <v>1221.1199999999999</v>
      </c>
      <c r="J203" s="7">
        <v>122112</v>
      </c>
    </row>
    <row r="204" spans="1:10" ht="15.75" customHeight="1" x14ac:dyDescent="0.25">
      <c r="A204" s="4">
        <v>133441</v>
      </c>
      <c r="B204" s="4" t="s">
        <v>523</v>
      </c>
      <c r="C204" s="4" t="s">
        <v>524</v>
      </c>
      <c r="D204" s="4" t="s">
        <v>12</v>
      </c>
      <c r="E204" s="5">
        <v>25575</v>
      </c>
      <c r="F204" s="4" t="s">
        <v>50</v>
      </c>
      <c r="G204" s="4" t="s">
        <v>20</v>
      </c>
      <c r="H204" s="4" t="s">
        <v>15</v>
      </c>
      <c r="I204" s="6">
        <v>1052.8</v>
      </c>
      <c r="J204" s="7">
        <v>105280</v>
      </c>
    </row>
    <row r="205" spans="1:10" ht="15.75" customHeight="1" x14ac:dyDescent="0.25">
      <c r="A205" s="4">
        <v>21920</v>
      </c>
      <c r="B205" s="4" t="s">
        <v>510</v>
      </c>
      <c r="C205" s="4" t="s">
        <v>511</v>
      </c>
      <c r="D205" s="4" t="s">
        <v>24</v>
      </c>
      <c r="E205" s="5">
        <v>29458</v>
      </c>
      <c r="F205" s="4" t="s">
        <v>30</v>
      </c>
      <c r="G205" s="4" t="s">
        <v>20</v>
      </c>
      <c r="H205" s="4" t="s">
        <v>15</v>
      </c>
      <c r="I205" s="6">
        <v>1109.2</v>
      </c>
      <c r="J205" s="7">
        <v>110920</v>
      </c>
    </row>
    <row r="206" spans="1:10" ht="15.75" customHeight="1" x14ac:dyDescent="0.25">
      <c r="A206" s="4">
        <v>128548</v>
      </c>
      <c r="B206" s="4" t="s">
        <v>503</v>
      </c>
      <c r="C206" s="4" t="s">
        <v>504</v>
      </c>
      <c r="D206" s="4" t="s">
        <v>12</v>
      </c>
      <c r="E206" s="5">
        <v>28774</v>
      </c>
      <c r="F206" s="4" t="s">
        <v>49</v>
      </c>
      <c r="G206" s="4" t="s">
        <v>20</v>
      </c>
      <c r="H206" s="4" t="s">
        <v>15</v>
      </c>
      <c r="I206" s="6">
        <v>1151.8</v>
      </c>
      <c r="J206" s="7">
        <v>115180</v>
      </c>
    </row>
    <row r="207" spans="1:10" ht="15.75" customHeight="1" x14ac:dyDescent="0.25">
      <c r="A207" s="4">
        <v>24744</v>
      </c>
      <c r="B207" s="4" t="s">
        <v>514</v>
      </c>
      <c r="C207" s="4" t="s">
        <v>515</v>
      </c>
      <c r="D207" s="4" t="s">
        <v>12</v>
      </c>
      <c r="E207" s="5">
        <v>31981</v>
      </c>
      <c r="F207" s="4" t="s">
        <v>48</v>
      </c>
      <c r="G207" s="4" t="s">
        <v>20</v>
      </c>
      <c r="H207" s="4" t="s">
        <v>15</v>
      </c>
      <c r="I207" s="6">
        <v>1088.01</v>
      </c>
      <c r="J207" s="7">
        <v>108801</v>
      </c>
    </row>
    <row r="208" spans="1:10" ht="15.75" customHeight="1" x14ac:dyDescent="0.25">
      <c r="A208" s="4">
        <v>21211</v>
      </c>
      <c r="B208" s="4" t="s">
        <v>557</v>
      </c>
      <c r="C208" s="4" t="s">
        <v>558</v>
      </c>
      <c r="D208" s="4" t="s">
        <v>24</v>
      </c>
      <c r="E208" s="5">
        <v>23170</v>
      </c>
      <c r="F208" s="4" t="s">
        <v>48</v>
      </c>
      <c r="G208" s="4" t="s">
        <v>20</v>
      </c>
      <c r="H208" s="4" t="s">
        <v>15</v>
      </c>
      <c r="I208" s="6">
        <v>861.5</v>
      </c>
      <c r="J208" s="7">
        <v>86150</v>
      </c>
    </row>
    <row r="209" spans="1:10" ht="15.75" customHeight="1" x14ac:dyDescent="0.25">
      <c r="A209" s="4">
        <v>23736</v>
      </c>
      <c r="B209" s="4" t="s">
        <v>537</v>
      </c>
      <c r="C209" s="4" t="s">
        <v>538</v>
      </c>
      <c r="D209" s="4" t="s">
        <v>12</v>
      </c>
      <c r="E209" s="5">
        <v>24480</v>
      </c>
      <c r="F209" s="4" t="s">
        <v>75</v>
      </c>
      <c r="G209" s="4" t="s">
        <v>20</v>
      </c>
      <c r="H209" s="4" t="s">
        <v>15</v>
      </c>
      <c r="I209" s="6">
        <v>986</v>
      </c>
      <c r="J209" s="7">
        <v>98600</v>
      </c>
    </row>
    <row r="210" spans="1:10" ht="15.75" customHeight="1" x14ac:dyDescent="0.25">
      <c r="A210" s="4">
        <v>22403</v>
      </c>
      <c r="B210" s="4" t="s">
        <v>564</v>
      </c>
      <c r="C210" s="4" t="s">
        <v>366</v>
      </c>
      <c r="D210" s="4" t="s">
        <v>12</v>
      </c>
      <c r="E210" s="5">
        <v>21922</v>
      </c>
      <c r="F210" s="4" t="s">
        <v>32</v>
      </c>
      <c r="G210" s="4" t="s">
        <v>20</v>
      </c>
      <c r="H210" s="4" t="s">
        <v>15</v>
      </c>
      <c r="I210" s="6">
        <v>839</v>
      </c>
      <c r="J210" s="7">
        <v>83900</v>
      </c>
    </row>
    <row r="211" spans="1:10" ht="15.75" customHeight="1" x14ac:dyDescent="0.25">
      <c r="A211" s="4">
        <v>140383</v>
      </c>
      <c r="B211" s="4" t="s">
        <v>569</v>
      </c>
      <c r="C211" s="4" t="s">
        <v>570</v>
      </c>
      <c r="D211" s="4" t="s">
        <v>24</v>
      </c>
      <c r="E211" s="5">
        <v>25782</v>
      </c>
      <c r="F211" s="4" t="s">
        <v>30</v>
      </c>
      <c r="G211" s="4" t="s">
        <v>20</v>
      </c>
      <c r="H211" s="4" t="s">
        <v>15</v>
      </c>
      <c r="I211" s="6">
        <v>813.45</v>
      </c>
      <c r="J211" s="7">
        <v>81345</v>
      </c>
    </row>
    <row r="212" spans="1:10" ht="15.75" customHeight="1" x14ac:dyDescent="0.25">
      <c r="A212" s="4">
        <v>20507</v>
      </c>
      <c r="B212" s="4" t="s">
        <v>535</v>
      </c>
      <c r="C212" s="4" t="s">
        <v>536</v>
      </c>
      <c r="D212" s="4" t="s">
        <v>12</v>
      </c>
      <c r="E212" s="5">
        <v>25110</v>
      </c>
      <c r="F212" s="4" t="s">
        <v>50</v>
      </c>
      <c r="G212" s="4" t="s">
        <v>20</v>
      </c>
      <c r="H212" s="4" t="s">
        <v>15</v>
      </c>
      <c r="I212" s="6">
        <v>994.5</v>
      </c>
      <c r="J212" s="7">
        <v>99450</v>
      </c>
    </row>
    <row r="213" spans="1:10" ht="15.75" customHeight="1" x14ac:dyDescent="0.25">
      <c r="A213" s="4">
        <v>121525</v>
      </c>
      <c r="B213" s="4" t="s">
        <v>539</v>
      </c>
      <c r="C213" s="4" t="s">
        <v>540</v>
      </c>
      <c r="D213" s="4" t="s">
        <v>12</v>
      </c>
      <c r="E213" s="5">
        <v>31213</v>
      </c>
      <c r="F213" s="4" t="s">
        <v>118</v>
      </c>
      <c r="G213" s="4" t="s">
        <v>20</v>
      </c>
      <c r="H213" s="4" t="s">
        <v>15</v>
      </c>
      <c r="I213" s="6">
        <v>971.52</v>
      </c>
      <c r="J213" s="7">
        <v>97152</v>
      </c>
    </row>
    <row r="214" spans="1:10" ht="15.75" customHeight="1" x14ac:dyDescent="0.25">
      <c r="A214" s="4">
        <v>20965</v>
      </c>
      <c r="B214" s="4" t="s">
        <v>562</v>
      </c>
      <c r="C214" s="4" t="s">
        <v>563</v>
      </c>
      <c r="D214" s="4" t="s">
        <v>12</v>
      </c>
      <c r="E214" s="5">
        <v>27786</v>
      </c>
      <c r="F214" s="4" t="s">
        <v>119</v>
      </c>
      <c r="G214" s="4" t="s">
        <v>14</v>
      </c>
      <c r="H214" s="4" t="s">
        <v>15</v>
      </c>
      <c r="I214" s="6">
        <v>840</v>
      </c>
      <c r="J214" s="7">
        <v>84000</v>
      </c>
    </row>
    <row r="215" spans="1:10" ht="15.75" customHeight="1" x14ac:dyDescent="0.25">
      <c r="A215" s="4">
        <v>26481</v>
      </c>
      <c r="B215" s="4" t="s">
        <v>576</v>
      </c>
      <c r="C215" s="4" t="s">
        <v>335</v>
      </c>
      <c r="D215" s="4" t="s">
        <v>12</v>
      </c>
      <c r="E215" s="5">
        <v>27030</v>
      </c>
      <c r="F215" s="4" t="s">
        <v>49</v>
      </c>
      <c r="G215" s="4" t="s">
        <v>20</v>
      </c>
      <c r="H215" s="4" t="s">
        <v>15</v>
      </c>
      <c r="I215" s="6">
        <v>765</v>
      </c>
      <c r="J215" s="7">
        <v>76500</v>
      </c>
    </row>
    <row r="216" spans="1:10" ht="15.75" customHeight="1" x14ac:dyDescent="0.25">
      <c r="A216" s="4">
        <v>21854</v>
      </c>
      <c r="B216" s="4" t="s">
        <v>548</v>
      </c>
      <c r="C216" s="4" t="s">
        <v>550</v>
      </c>
      <c r="D216" s="4" t="s">
        <v>24</v>
      </c>
      <c r="E216" s="5">
        <v>31907</v>
      </c>
      <c r="F216" s="4" t="s">
        <v>60</v>
      </c>
      <c r="G216" s="4" t="s">
        <v>20</v>
      </c>
      <c r="H216" s="4" t="s">
        <v>15</v>
      </c>
      <c r="I216" s="6">
        <v>900</v>
      </c>
      <c r="J216" s="7">
        <v>90000</v>
      </c>
    </row>
    <row r="217" spans="1:10" ht="15.75" customHeight="1" x14ac:dyDescent="0.25">
      <c r="A217" s="4">
        <v>20757</v>
      </c>
      <c r="B217" s="4" t="s">
        <v>560</v>
      </c>
      <c r="C217" s="4" t="s">
        <v>561</v>
      </c>
      <c r="D217" s="4" t="s">
        <v>12</v>
      </c>
      <c r="E217" s="5">
        <v>24764</v>
      </c>
      <c r="F217" s="4" t="s">
        <v>46</v>
      </c>
      <c r="G217" s="4" t="s">
        <v>35</v>
      </c>
      <c r="H217" s="4" t="s">
        <v>15</v>
      </c>
      <c r="I217" s="6">
        <v>840.75</v>
      </c>
      <c r="J217" s="7">
        <v>84075</v>
      </c>
    </row>
    <row r="218" spans="1:10" ht="15.75" customHeight="1" x14ac:dyDescent="0.25">
      <c r="A218" s="4">
        <v>124685</v>
      </c>
      <c r="B218" s="4" t="s">
        <v>541</v>
      </c>
      <c r="C218" s="4" t="s">
        <v>542</v>
      </c>
      <c r="D218" s="4" t="s">
        <v>12</v>
      </c>
      <c r="E218" s="5">
        <v>32082</v>
      </c>
      <c r="F218" s="4" t="s">
        <v>46</v>
      </c>
      <c r="G218" s="4" t="s">
        <v>35</v>
      </c>
      <c r="H218" s="4" t="s">
        <v>15</v>
      </c>
      <c r="I218" s="6">
        <v>955.5</v>
      </c>
      <c r="J218" s="7">
        <v>95550</v>
      </c>
    </row>
    <row r="219" spans="1:10" ht="15.75" customHeight="1" x14ac:dyDescent="0.25">
      <c r="A219" s="4">
        <v>126829</v>
      </c>
      <c r="B219" s="4" t="s">
        <v>565</v>
      </c>
      <c r="C219" s="4" t="s">
        <v>577</v>
      </c>
      <c r="D219" s="4" t="s">
        <v>24</v>
      </c>
      <c r="E219" s="5">
        <v>32066</v>
      </c>
      <c r="F219" s="4" t="s">
        <v>19</v>
      </c>
      <c r="G219" s="4" t="s">
        <v>20</v>
      </c>
      <c r="H219" s="4" t="s">
        <v>15</v>
      </c>
      <c r="I219" s="6">
        <v>762.32</v>
      </c>
      <c r="J219" s="7">
        <v>76232</v>
      </c>
    </row>
    <row r="220" spans="1:10" ht="15.75" customHeight="1" x14ac:dyDescent="0.25">
      <c r="A220" s="4">
        <v>24603</v>
      </c>
      <c r="B220" s="4" t="s">
        <v>556</v>
      </c>
      <c r="C220" s="4" t="s">
        <v>360</v>
      </c>
      <c r="D220" s="4" t="s">
        <v>24</v>
      </c>
      <c r="E220" s="5">
        <v>25052</v>
      </c>
      <c r="F220" s="4" t="s">
        <v>48</v>
      </c>
      <c r="G220" s="4" t="s">
        <v>20</v>
      </c>
      <c r="H220" s="4" t="s">
        <v>15</v>
      </c>
      <c r="I220" s="6">
        <v>868</v>
      </c>
      <c r="J220" s="7">
        <v>86800</v>
      </c>
    </row>
    <row r="221" spans="1:10" ht="15.75" customHeight="1" x14ac:dyDescent="0.25">
      <c r="A221" s="4">
        <v>22757</v>
      </c>
      <c r="B221" s="4" t="s">
        <v>556</v>
      </c>
      <c r="C221" s="4" t="s">
        <v>591</v>
      </c>
      <c r="D221" s="4" t="s">
        <v>24</v>
      </c>
      <c r="E221" s="5">
        <v>28497</v>
      </c>
      <c r="F221" s="4" t="s">
        <v>125</v>
      </c>
      <c r="G221" s="4" t="s">
        <v>35</v>
      </c>
      <c r="H221" s="4" t="s">
        <v>15</v>
      </c>
      <c r="I221" s="6">
        <v>683.28</v>
      </c>
      <c r="J221" s="7">
        <v>68328</v>
      </c>
    </row>
    <row r="222" spans="1:10" ht="15.75" customHeight="1" x14ac:dyDescent="0.25">
      <c r="A222" s="4">
        <v>21274</v>
      </c>
      <c r="B222" s="4" t="s">
        <v>556</v>
      </c>
      <c r="C222" s="4" t="s">
        <v>339</v>
      </c>
      <c r="D222" s="4" t="s">
        <v>24</v>
      </c>
      <c r="E222" s="5">
        <v>26670</v>
      </c>
      <c r="F222" s="4" t="s">
        <v>13</v>
      </c>
      <c r="G222" s="4" t="s">
        <v>14</v>
      </c>
      <c r="H222" s="4" t="s">
        <v>15</v>
      </c>
      <c r="I222" s="6">
        <v>841.75</v>
      </c>
      <c r="J222" s="7">
        <v>84175</v>
      </c>
    </row>
    <row r="223" spans="1:10" ht="15.75" customHeight="1" x14ac:dyDescent="0.25">
      <c r="A223" s="4">
        <v>26523</v>
      </c>
      <c r="B223" s="4" t="s">
        <v>556</v>
      </c>
      <c r="C223" s="4" t="s">
        <v>568</v>
      </c>
      <c r="D223" s="4" t="s">
        <v>12</v>
      </c>
      <c r="E223" s="5">
        <v>26287</v>
      </c>
      <c r="F223" s="4" t="s">
        <v>50</v>
      </c>
      <c r="G223" s="4" t="s">
        <v>20</v>
      </c>
      <c r="H223" s="4" t="s">
        <v>15</v>
      </c>
      <c r="I223" s="6">
        <v>815.22</v>
      </c>
      <c r="J223" s="7">
        <v>81522</v>
      </c>
    </row>
    <row r="224" spans="1:10" ht="15.75" customHeight="1" x14ac:dyDescent="0.25">
      <c r="A224" s="4">
        <v>22335</v>
      </c>
      <c r="B224" s="4" t="s">
        <v>587</v>
      </c>
      <c r="C224" s="4" t="s">
        <v>588</v>
      </c>
      <c r="D224" s="4" t="s">
        <v>12</v>
      </c>
      <c r="E224" s="5">
        <v>29021</v>
      </c>
      <c r="F224" s="4" t="s">
        <v>41</v>
      </c>
      <c r="G224" s="4" t="s">
        <v>20</v>
      </c>
      <c r="H224" s="4" t="s">
        <v>15</v>
      </c>
      <c r="I224" s="6">
        <v>706.8</v>
      </c>
      <c r="J224" s="7">
        <v>70680</v>
      </c>
    </row>
    <row r="225" spans="1:10" ht="15.75" customHeight="1" x14ac:dyDescent="0.25">
      <c r="A225" s="4">
        <v>20765</v>
      </c>
      <c r="B225" s="4" t="s">
        <v>578</v>
      </c>
      <c r="C225" s="4" t="s">
        <v>372</v>
      </c>
      <c r="D225" s="4" t="s">
        <v>12</v>
      </c>
      <c r="E225" s="5">
        <v>31470</v>
      </c>
      <c r="F225" s="4" t="s">
        <v>121</v>
      </c>
      <c r="G225" s="4" t="s">
        <v>14</v>
      </c>
      <c r="H225" s="4" t="s">
        <v>15</v>
      </c>
      <c r="I225" s="6">
        <v>755.79</v>
      </c>
      <c r="J225" s="7">
        <v>75579</v>
      </c>
    </row>
    <row r="226" spans="1:10" ht="15.75" customHeight="1" x14ac:dyDescent="0.25">
      <c r="A226" s="4">
        <v>131568</v>
      </c>
      <c r="B226" s="4" t="s">
        <v>578</v>
      </c>
      <c r="C226" s="4" t="s">
        <v>582</v>
      </c>
      <c r="D226" s="4" t="s">
        <v>12</v>
      </c>
      <c r="E226" s="5">
        <v>26168</v>
      </c>
      <c r="F226" s="4" t="s">
        <v>60</v>
      </c>
      <c r="G226" s="4" t="s">
        <v>20</v>
      </c>
      <c r="H226" s="4" t="s">
        <v>15</v>
      </c>
      <c r="I226" s="6">
        <v>747.72</v>
      </c>
      <c r="J226" s="7">
        <v>74772</v>
      </c>
    </row>
    <row r="227" spans="1:10" ht="15.75" customHeight="1" x14ac:dyDescent="0.25">
      <c r="A227" s="4">
        <v>125074</v>
      </c>
      <c r="B227" s="4" t="s">
        <v>571</v>
      </c>
      <c r="C227" s="4" t="s">
        <v>572</v>
      </c>
      <c r="D227" s="4" t="s">
        <v>12</v>
      </c>
      <c r="E227" s="5">
        <v>30603</v>
      </c>
      <c r="F227" s="4" t="s">
        <v>75</v>
      </c>
      <c r="G227" s="4" t="s">
        <v>20</v>
      </c>
      <c r="H227" s="4" t="s">
        <v>15</v>
      </c>
      <c r="I227" s="6">
        <v>804</v>
      </c>
      <c r="J227" s="7">
        <v>80400</v>
      </c>
    </row>
    <row r="228" spans="1:10" ht="15.75" customHeight="1" x14ac:dyDescent="0.25">
      <c r="A228" s="4">
        <v>26936</v>
      </c>
      <c r="B228" s="4" t="s">
        <v>621</v>
      </c>
      <c r="C228" s="4" t="s">
        <v>622</v>
      </c>
      <c r="D228" s="4" t="s">
        <v>12</v>
      </c>
      <c r="E228" s="5">
        <v>18264</v>
      </c>
      <c r="F228" s="4" t="s">
        <v>92</v>
      </c>
      <c r="G228" s="4" t="s">
        <v>35</v>
      </c>
      <c r="H228" s="4" t="s">
        <v>15</v>
      </c>
      <c r="I228" s="6">
        <v>580.5</v>
      </c>
      <c r="J228" s="7">
        <v>58050</v>
      </c>
    </row>
    <row r="229" spans="1:10" ht="15.75" customHeight="1" x14ac:dyDescent="0.25">
      <c r="A229" s="4">
        <v>22543</v>
      </c>
      <c r="B229" s="4" t="s">
        <v>589</v>
      </c>
      <c r="C229" s="4" t="s">
        <v>590</v>
      </c>
      <c r="D229" s="4" t="s">
        <v>12</v>
      </c>
      <c r="E229" s="5">
        <v>22944</v>
      </c>
      <c r="F229" s="4" t="s">
        <v>124</v>
      </c>
      <c r="G229" s="4" t="s">
        <v>14</v>
      </c>
      <c r="H229" s="4" t="s">
        <v>15</v>
      </c>
      <c r="I229" s="6">
        <v>684.4</v>
      </c>
      <c r="J229" s="7">
        <v>68440</v>
      </c>
    </row>
    <row r="230" spans="1:10" ht="15.75" customHeight="1" x14ac:dyDescent="0.25">
      <c r="A230" s="4">
        <v>20942</v>
      </c>
      <c r="B230" s="4" t="s">
        <v>579</v>
      </c>
      <c r="C230" s="4" t="s">
        <v>580</v>
      </c>
      <c r="D230" s="4" t="s">
        <v>12</v>
      </c>
      <c r="E230" s="5">
        <v>32320</v>
      </c>
      <c r="F230" s="4" t="s">
        <v>29</v>
      </c>
      <c r="G230" s="4" t="s">
        <v>14</v>
      </c>
      <c r="H230" s="4" t="s">
        <v>15</v>
      </c>
      <c r="I230" s="6">
        <v>752.7</v>
      </c>
      <c r="J230" s="7">
        <v>75270</v>
      </c>
    </row>
    <row r="231" spans="1:10" ht="15.75" customHeight="1" x14ac:dyDescent="0.25">
      <c r="A231" s="4">
        <v>21780</v>
      </c>
      <c r="B231" s="4" t="s">
        <v>579</v>
      </c>
      <c r="C231" s="4" t="s">
        <v>601</v>
      </c>
      <c r="D231" s="4" t="s">
        <v>12</v>
      </c>
      <c r="E231" s="5">
        <v>28310</v>
      </c>
      <c r="F231" s="4" t="s">
        <v>92</v>
      </c>
      <c r="G231" s="4" t="s">
        <v>35</v>
      </c>
      <c r="H231" s="4" t="s">
        <v>15</v>
      </c>
      <c r="I231" s="6">
        <v>658.92</v>
      </c>
      <c r="J231" s="7">
        <v>65892</v>
      </c>
    </row>
    <row r="232" spans="1:10" ht="15.75" customHeight="1" x14ac:dyDescent="0.25">
      <c r="A232" s="4">
        <v>20912</v>
      </c>
      <c r="B232" s="4" t="s">
        <v>579</v>
      </c>
      <c r="C232" s="4" t="s">
        <v>600</v>
      </c>
      <c r="D232" s="4" t="s">
        <v>24</v>
      </c>
      <c r="E232" s="5">
        <v>29266</v>
      </c>
      <c r="F232" s="4" t="s">
        <v>57</v>
      </c>
      <c r="G232" s="4" t="s">
        <v>35</v>
      </c>
      <c r="H232" s="4" t="s">
        <v>15</v>
      </c>
      <c r="I232" s="6">
        <v>599.04</v>
      </c>
      <c r="J232" s="7">
        <v>59904</v>
      </c>
    </row>
    <row r="233" spans="1:10" ht="15.75" customHeight="1" x14ac:dyDescent="0.25">
      <c r="A233" s="4">
        <v>20678</v>
      </c>
      <c r="B233" s="4" t="s">
        <v>608</v>
      </c>
      <c r="C233" s="4" t="s">
        <v>609</v>
      </c>
      <c r="D233" s="4" t="s">
        <v>12</v>
      </c>
      <c r="E233" s="5">
        <v>28646</v>
      </c>
      <c r="F233" s="4" t="s">
        <v>48</v>
      </c>
      <c r="G233" s="4" t="s">
        <v>20</v>
      </c>
      <c r="H233" s="4" t="s">
        <v>15</v>
      </c>
      <c r="I233" s="6">
        <v>627</v>
      </c>
      <c r="J233" s="7">
        <v>62700</v>
      </c>
    </row>
    <row r="234" spans="1:10" ht="15.75" customHeight="1" x14ac:dyDescent="0.25">
      <c r="A234" s="4">
        <v>21996</v>
      </c>
      <c r="B234" s="4" t="s">
        <v>626</v>
      </c>
      <c r="C234" s="4" t="s">
        <v>627</v>
      </c>
      <c r="D234" s="4" t="s">
        <v>12</v>
      </c>
      <c r="E234" s="5">
        <v>29853</v>
      </c>
      <c r="F234" s="4" t="s">
        <v>133</v>
      </c>
      <c r="G234" s="4" t="s">
        <v>14</v>
      </c>
      <c r="H234" s="4" t="s">
        <v>15</v>
      </c>
      <c r="I234" s="6">
        <v>572</v>
      </c>
      <c r="J234" s="7">
        <v>57200</v>
      </c>
    </row>
    <row r="235" spans="1:10" ht="15.75" customHeight="1" x14ac:dyDescent="0.25">
      <c r="A235" s="4">
        <v>134753</v>
      </c>
      <c r="B235" s="4" t="s">
        <v>592</v>
      </c>
      <c r="C235" s="4" t="s">
        <v>593</v>
      </c>
      <c r="D235" s="4" t="s">
        <v>24</v>
      </c>
      <c r="E235" s="5">
        <v>21603</v>
      </c>
      <c r="F235" s="4" t="s">
        <v>75</v>
      </c>
      <c r="G235" s="4" t="s">
        <v>20</v>
      </c>
      <c r="H235" s="4" t="s">
        <v>15</v>
      </c>
      <c r="I235" s="6">
        <v>679.14</v>
      </c>
      <c r="J235" s="7">
        <v>67914</v>
      </c>
    </row>
    <row r="236" spans="1:10" ht="15.75" customHeight="1" x14ac:dyDescent="0.25">
      <c r="A236" s="4">
        <v>31488</v>
      </c>
      <c r="B236" s="4" t="s">
        <v>606</v>
      </c>
      <c r="C236" s="4" t="s">
        <v>607</v>
      </c>
      <c r="D236" s="4" t="s">
        <v>24</v>
      </c>
      <c r="E236" s="5">
        <v>24315</v>
      </c>
      <c r="F236" s="4" t="s">
        <v>130</v>
      </c>
      <c r="G236" s="4" t="s">
        <v>20</v>
      </c>
      <c r="H236" s="4" t="s">
        <v>15</v>
      </c>
      <c r="I236" s="6">
        <v>636.12</v>
      </c>
      <c r="J236" s="7">
        <v>63612</v>
      </c>
    </row>
    <row r="237" spans="1:10" ht="15.75" customHeight="1" x14ac:dyDescent="0.25">
      <c r="A237" s="4">
        <v>123238</v>
      </c>
      <c r="B237" s="4" t="s">
        <v>594</v>
      </c>
      <c r="C237" s="4" t="s">
        <v>595</v>
      </c>
      <c r="D237" s="4" t="s">
        <v>12</v>
      </c>
      <c r="E237" s="5">
        <v>31140</v>
      </c>
      <c r="F237" s="4" t="s">
        <v>49</v>
      </c>
      <c r="G237" s="4" t="s">
        <v>20</v>
      </c>
      <c r="H237" s="4" t="s">
        <v>15</v>
      </c>
      <c r="I237" s="6">
        <v>673.2</v>
      </c>
      <c r="J237" s="7">
        <v>67320</v>
      </c>
    </row>
    <row r="238" spans="1:10" ht="15.75" customHeight="1" x14ac:dyDescent="0.25">
      <c r="A238" s="4">
        <v>24052</v>
      </c>
      <c r="B238" s="4" t="s">
        <v>630</v>
      </c>
      <c r="C238" s="4" t="s">
        <v>649</v>
      </c>
      <c r="D238" s="4" t="s">
        <v>24</v>
      </c>
      <c r="E238" s="5">
        <v>23837</v>
      </c>
      <c r="F238" s="4" t="s">
        <v>100</v>
      </c>
      <c r="G238" s="4" t="s">
        <v>14</v>
      </c>
      <c r="H238" s="4" t="s">
        <v>15</v>
      </c>
      <c r="I238" s="6">
        <v>520</v>
      </c>
      <c r="J238" s="7">
        <v>52000</v>
      </c>
    </row>
    <row r="239" spans="1:10" ht="15.75" customHeight="1" x14ac:dyDescent="0.25">
      <c r="A239" s="4">
        <v>131851</v>
      </c>
      <c r="B239" s="4" t="s">
        <v>631</v>
      </c>
      <c r="C239" s="4" t="s">
        <v>632</v>
      </c>
      <c r="D239" s="4" t="s">
        <v>24</v>
      </c>
      <c r="E239" s="5">
        <v>31135</v>
      </c>
      <c r="F239" s="4" t="s">
        <v>13</v>
      </c>
      <c r="G239" s="4" t="s">
        <v>14</v>
      </c>
      <c r="H239" s="4" t="s">
        <v>15</v>
      </c>
      <c r="I239" s="6">
        <v>570</v>
      </c>
      <c r="J239" s="7">
        <v>57000</v>
      </c>
    </row>
    <row r="240" spans="1:10" ht="15.75" customHeight="1" x14ac:dyDescent="0.25">
      <c r="A240" s="4">
        <v>25850</v>
      </c>
      <c r="B240" s="4" t="s">
        <v>596</v>
      </c>
      <c r="C240" s="4" t="s">
        <v>597</v>
      </c>
      <c r="D240" s="4" t="s">
        <v>12</v>
      </c>
      <c r="E240" s="5">
        <v>20030</v>
      </c>
      <c r="F240" s="4" t="s">
        <v>92</v>
      </c>
      <c r="G240" s="4" t="s">
        <v>35</v>
      </c>
      <c r="H240" s="4" t="s">
        <v>15</v>
      </c>
      <c r="I240" s="6">
        <v>670</v>
      </c>
      <c r="J240" s="7">
        <v>67000</v>
      </c>
    </row>
    <row r="241" spans="1:10" ht="15.75" customHeight="1" x14ac:dyDescent="0.25">
      <c r="A241" s="4">
        <v>22375</v>
      </c>
      <c r="B241" s="4" t="s">
        <v>623</v>
      </c>
      <c r="C241" s="4" t="s">
        <v>624</v>
      </c>
      <c r="D241" s="4" t="s">
        <v>12</v>
      </c>
      <c r="E241" s="5">
        <v>23925</v>
      </c>
      <c r="F241" s="4" t="s">
        <v>48</v>
      </c>
      <c r="G241" s="4" t="s">
        <v>20</v>
      </c>
      <c r="H241" s="4" t="s">
        <v>15</v>
      </c>
      <c r="I241" s="6">
        <v>580</v>
      </c>
      <c r="J241" s="7">
        <v>58000</v>
      </c>
    </row>
    <row r="242" spans="1:10" ht="15.75" customHeight="1" x14ac:dyDescent="0.25">
      <c r="A242" s="4">
        <v>23546</v>
      </c>
      <c r="B242" s="4" t="s">
        <v>643</v>
      </c>
      <c r="C242" s="4" t="s">
        <v>644</v>
      </c>
      <c r="D242" s="4" t="s">
        <v>24</v>
      </c>
      <c r="E242" s="5">
        <v>27731</v>
      </c>
      <c r="F242" s="4" t="s">
        <v>75</v>
      </c>
      <c r="G242" s="4" t="s">
        <v>20</v>
      </c>
      <c r="H242" s="4" t="s">
        <v>15</v>
      </c>
      <c r="I242" s="6">
        <v>530</v>
      </c>
      <c r="J242" s="7">
        <v>53000</v>
      </c>
    </row>
    <row r="243" spans="1:10" ht="15.75" customHeight="1" x14ac:dyDescent="0.25">
      <c r="A243" s="4">
        <v>35391</v>
      </c>
      <c r="B243" s="4" t="s">
        <v>603</v>
      </c>
      <c r="C243" s="4" t="s">
        <v>604</v>
      </c>
      <c r="D243" s="4" t="s">
        <v>12</v>
      </c>
      <c r="E243" s="5">
        <v>32709</v>
      </c>
      <c r="F243" s="4" t="s">
        <v>48</v>
      </c>
      <c r="G243" s="4" t="s">
        <v>20</v>
      </c>
      <c r="H243" s="4" t="s">
        <v>15</v>
      </c>
      <c r="I243" s="6">
        <v>649.35</v>
      </c>
      <c r="J243" s="7">
        <v>64935</v>
      </c>
    </row>
    <row r="244" spans="1:10" ht="15.75" customHeight="1" x14ac:dyDescent="0.25">
      <c r="A244" s="4">
        <v>125442</v>
      </c>
      <c r="B244" s="4" t="s">
        <v>613</v>
      </c>
      <c r="C244" s="4" t="s">
        <v>454</v>
      </c>
      <c r="D244" s="4" t="s">
        <v>12</v>
      </c>
      <c r="E244" s="5">
        <v>30819</v>
      </c>
      <c r="F244" s="4" t="s">
        <v>57</v>
      </c>
      <c r="G244" s="4" t="s">
        <v>35</v>
      </c>
      <c r="H244" s="4" t="s">
        <v>15</v>
      </c>
      <c r="I244" s="6">
        <v>615.66</v>
      </c>
      <c r="J244" s="7">
        <v>61566</v>
      </c>
    </row>
    <row r="245" spans="1:10" ht="15.75" customHeight="1" x14ac:dyDescent="0.25">
      <c r="A245" s="4">
        <v>22915</v>
      </c>
      <c r="B245" s="4" t="s">
        <v>602</v>
      </c>
      <c r="C245" s="4" t="s">
        <v>614</v>
      </c>
      <c r="D245" s="4" t="s">
        <v>24</v>
      </c>
      <c r="E245" s="5">
        <v>31842</v>
      </c>
      <c r="F245" s="4" t="s">
        <v>48</v>
      </c>
      <c r="G245" s="4" t="s">
        <v>20</v>
      </c>
      <c r="H245" s="4" t="s">
        <v>15</v>
      </c>
      <c r="I245" s="6">
        <v>615.66</v>
      </c>
      <c r="J245" s="7">
        <v>61566</v>
      </c>
    </row>
    <row r="246" spans="1:10" ht="15.75" customHeight="1" x14ac:dyDescent="0.25">
      <c r="A246" s="4">
        <v>129058</v>
      </c>
      <c r="B246" s="4" t="s">
        <v>602</v>
      </c>
      <c r="C246" s="4" t="s">
        <v>339</v>
      </c>
      <c r="D246" s="4" t="s">
        <v>24</v>
      </c>
      <c r="E246" s="5">
        <v>30451</v>
      </c>
      <c r="F246" s="4" t="s">
        <v>31</v>
      </c>
      <c r="G246" s="4" t="s">
        <v>20</v>
      </c>
      <c r="H246" s="4" t="s">
        <v>15</v>
      </c>
      <c r="I246" s="6">
        <v>653.25</v>
      </c>
      <c r="J246" s="7">
        <v>65325</v>
      </c>
    </row>
    <row r="247" spans="1:10" ht="15.75" customHeight="1" x14ac:dyDescent="0.25">
      <c r="A247" s="4">
        <v>20740</v>
      </c>
      <c r="B247" s="4" t="s">
        <v>602</v>
      </c>
      <c r="C247" s="4" t="s">
        <v>585</v>
      </c>
      <c r="D247" s="4" t="s">
        <v>24</v>
      </c>
      <c r="E247" s="5">
        <v>29449</v>
      </c>
      <c r="F247" s="4" t="s">
        <v>48</v>
      </c>
      <c r="G247" s="4" t="s">
        <v>20</v>
      </c>
      <c r="H247" s="4" t="s">
        <v>15</v>
      </c>
      <c r="I247" s="6">
        <v>592.20000000000005</v>
      </c>
      <c r="J247" s="7">
        <v>59220</v>
      </c>
    </row>
    <row r="248" spans="1:10" ht="15.75" customHeight="1" x14ac:dyDescent="0.25">
      <c r="A248" s="4">
        <v>135431</v>
      </c>
      <c r="B248" s="4" t="s">
        <v>638</v>
      </c>
      <c r="C248" s="4" t="s">
        <v>669</v>
      </c>
      <c r="D248" s="4" t="s">
        <v>12</v>
      </c>
      <c r="E248" s="5">
        <v>27956</v>
      </c>
      <c r="F248" s="4" t="s">
        <v>30</v>
      </c>
      <c r="G248" s="4" t="s">
        <v>20</v>
      </c>
      <c r="H248" s="4" t="s">
        <v>15</v>
      </c>
      <c r="I248" s="6">
        <v>469.5</v>
      </c>
      <c r="J248" s="7">
        <v>46950</v>
      </c>
    </row>
    <row r="249" spans="1:10" ht="15.75" customHeight="1" x14ac:dyDescent="0.25">
      <c r="A249" s="4">
        <v>128597</v>
      </c>
      <c r="B249" s="4" t="s">
        <v>638</v>
      </c>
      <c r="C249" s="4" t="s">
        <v>664</v>
      </c>
      <c r="D249" s="4" t="s">
        <v>12</v>
      </c>
      <c r="E249" s="5">
        <v>31640</v>
      </c>
      <c r="F249" s="4" t="s">
        <v>142</v>
      </c>
      <c r="G249" s="4" t="s">
        <v>20</v>
      </c>
      <c r="H249" s="4" t="s">
        <v>15</v>
      </c>
      <c r="I249" s="6">
        <v>474.3</v>
      </c>
      <c r="J249" s="7">
        <v>47430</v>
      </c>
    </row>
    <row r="250" spans="1:10" ht="15.75" customHeight="1" x14ac:dyDescent="0.25">
      <c r="A250" s="4">
        <v>20580</v>
      </c>
      <c r="B250" s="4" t="s">
        <v>645</v>
      </c>
      <c r="C250" s="4" t="s">
        <v>646</v>
      </c>
      <c r="D250" s="4" t="s">
        <v>24</v>
      </c>
      <c r="E250" s="5">
        <v>25164</v>
      </c>
      <c r="F250" s="4" t="s">
        <v>13</v>
      </c>
      <c r="G250" s="4" t="s">
        <v>14</v>
      </c>
      <c r="H250" s="4" t="s">
        <v>15</v>
      </c>
      <c r="I250" s="6">
        <v>529.82000000000005</v>
      </c>
      <c r="J250" s="7">
        <v>52982</v>
      </c>
    </row>
    <row r="251" spans="1:10" ht="15.75" customHeight="1" x14ac:dyDescent="0.25">
      <c r="A251" s="4">
        <v>20630</v>
      </c>
      <c r="B251" s="4" t="s">
        <v>641</v>
      </c>
      <c r="C251" s="4" t="s">
        <v>663</v>
      </c>
      <c r="D251" s="4" t="s">
        <v>12</v>
      </c>
      <c r="E251" s="5">
        <v>29398</v>
      </c>
      <c r="F251" s="4" t="s">
        <v>13</v>
      </c>
      <c r="G251" s="4" t="s">
        <v>14</v>
      </c>
      <c r="H251" s="4" t="s">
        <v>15</v>
      </c>
      <c r="I251" s="6">
        <v>477.95</v>
      </c>
      <c r="J251" s="7">
        <v>47795</v>
      </c>
    </row>
    <row r="252" spans="1:10" ht="15.75" customHeight="1" x14ac:dyDescent="0.25">
      <c r="A252" s="4">
        <v>128338</v>
      </c>
      <c r="B252" s="4" t="s">
        <v>647</v>
      </c>
      <c r="C252" s="4" t="s">
        <v>274</v>
      </c>
      <c r="D252" s="4" t="s">
        <v>12</v>
      </c>
      <c r="E252" s="5">
        <v>18583</v>
      </c>
      <c r="F252" s="4" t="s">
        <v>130</v>
      </c>
      <c r="G252" s="4" t="s">
        <v>20</v>
      </c>
      <c r="H252" s="4" t="s">
        <v>15</v>
      </c>
      <c r="I252" s="6">
        <v>502.03</v>
      </c>
      <c r="J252" s="7">
        <v>50203</v>
      </c>
    </row>
    <row r="253" spans="1:10" ht="15.75" customHeight="1" x14ac:dyDescent="0.25">
      <c r="A253" s="4">
        <v>27589</v>
      </c>
      <c r="B253" s="4" t="s">
        <v>652</v>
      </c>
      <c r="C253" s="4" t="s">
        <v>653</v>
      </c>
      <c r="D253" s="4" t="s">
        <v>24</v>
      </c>
      <c r="E253" s="5">
        <v>30431</v>
      </c>
      <c r="F253" s="4" t="s">
        <v>41</v>
      </c>
      <c r="G253" s="4" t="s">
        <v>20</v>
      </c>
      <c r="H253" s="4" t="s">
        <v>15</v>
      </c>
      <c r="I253" s="6">
        <v>514.71</v>
      </c>
      <c r="J253" s="7">
        <v>51471</v>
      </c>
    </row>
    <row r="254" spans="1:10" ht="15.75" customHeight="1" x14ac:dyDescent="0.25">
      <c r="A254" s="4">
        <v>126464</v>
      </c>
      <c r="B254" s="4" t="s">
        <v>658</v>
      </c>
      <c r="C254" s="4" t="s">
        <v>659</v>
      </c>
      <c r="D254" s="4" t="s">
        <v>24</v>
      </c>
      <c r="E254" s="5">
        <v>29316</v>
      </c>
      <c r="F254" s="4" t="s">
        <v>93</v>
      </c>
      <c r="G254" s="4" t="s">
        <v>14</v>
      </c>
      <c r="H254" s="4" t="s">
        <v>15</v>
      </c>
      <c r="I254" s="6">
        <v>496</v>
      </c>
      <c r="J254" s="7">
        <v>49600</v>
      </c>
    </row>
    <row r="255" spans="1:10" ht="15.75" customHeight="1" x14ac:dyDescent="0.25">
      <c r="A255" s="4">
        <v>121649</v>
      </c>
      <c r="B255" s="4" t="s">
        <v>665</v>
      </c>
      <c r="C255" s="4" t="s">
        <v>666</v>
      </c>
      <c r="D255" s="4" t="s">
        <v>12</v>
      </c>
      <c r="E255" s="5">
        <v>27497</v>
      </c>
      <c r="F255" s="4" t="s">
        <v>143</v>
      </c>
      <c r="G255" s="4" t="s">
        <v>20</v>
      </c>
      <c r="H255" s="4" t="s">
        <v>15</v>
      </c>
      <c r="I255" s="6">
        <v>472</v>
      </c>
      <c r="J255" s="7">
        <v>47200</v>
      </c>
    </row>
    <row r="256" spans="1:10" ht="15.75" customHeight="1" x14ac:dyDescent="0.25">
      <c r="A256" s="4">
        <v>136683</v>
      </c>
      <c r="B256" s="4" t="s">
        <v>667</v>
      </c>
      <c r="C256" s="4" t="s">
        <v>668</v>
      </c>
      <c r="D256" s="4" t="s">
        <v>12</v>
      </c>
      <c r="E256" s="5">
        <v>29011</v>
      </c>
      <c r="F256" s="4" t="s">
        <v>30</v>
      </c>
      <c r="G256" s="4" t="s">
        <v>20</v>
      </c>
      <c r="H256" s="4" t="s">
        <v>15</v>
      </c>
      <c r="I256" s="6">
        <v>472</v>
      </c>
      <c r="J256" s="7">
        <v>47200</v>
      </c>
    </row>
    <row r="257" spans="1:10" ht="15.75" customHeight="1" x14ac:dyDescent="0.25">
      <c r="A257" s="4">
        <v>119693</v>
      </c>
      <c r="B257" s="4" t="s">
        <v>683</v>
      </c>
      <c r="C257" s="4" t="s">
        <v>684</v>
      </c>
      <c r="D257" s="4" t="s">
        <v>24</v>
      </c>
      <c r="E257" s="5">
        <v>31761</v>
      </c>
      <c r="F257" s="4" t="s">
        <v>124</v>
      </c>
      <c r="G257" s="4" t="s">
        <v>14</v>
      </c>
      <c r="H257" s="4" t="s">
        <v>15</v>
      </c>
      <c r="I257" s="6">
        <v>429</v>
      </c>
      <c r="J257" s="7">
        <v>42900</v>
      </c>
    </row>
    <row r="258" spans="1:10" ht="15.75" customHeight="1" x14ac:dyDescent="0.25">
      <c r="A258" s="4">
        <v>22432</v>
      </c>
      <c r="B258" s="4" t="s">
        <v>678</v>
      </c>
      <c r="C258" s="4" t="s">
        <v>362</v>
      </c>
      <c r="D258" s="4" t="s">
        <v>24</v>
      </c>
      <c r="E258" s="5">
        <v>13055</v>
      </c>
      <c r="F258" s="4" t="s">
        <v>41</v>
      </c>
      <c r="G258" s="4" t="s">
        <v>20</v>
      </c>
      <c r="H258" s="4" t="s">
        <v>15</v>
      </c>
      <c r="I258" s="6">
        <v>444.28</v>
      </c>
      <c r="J258" s="7">
        <v>44428</v>
      </c>
    </row>
    <row r="259" spans="1:10" ht="15.75" customHeight="1" x14ac:dyDescent="0.25">
      <c r="A259" s="4">
        <v>23925</v>
      </c>
      <c r="B259" s="4" t="s">
        <v>654</v>
      </c>
      <c r="C259" s="4" t="s">
        <v>691</v>
      </c>
      <c r="D259" s="4" t="s">
        <v>12</v>
      </c>
      <c r="E259" s="5">
        <v>32080</v>
      </c>
      <c r="F259" s="4" t="s">
        <v>96</v>
      </c>
      <c r="G259" s="4" t="s">
        <v>52</v>
      </c>
      <c r="H259" s="4" t="s">
        <v>15</v>
      </c>
      <c r="I259" s="6">
        <v>387.6</v>
      </c>
      <c r="J259" s="7">
        <v>38760</v>
      </c>
    </row>
    <row r="260" spans="1:10" ht="15.75" customHeight="1" x14ac:dyDescent="0.25">
      <c r="A260" s="4">
        <v>21935</v>
      </c>
      <c r="B260" s="4" t="s">
        <v>670</v>
      </c>
      <c r="C260" s="4" t="s">
        <v>679</v>
      </c>
      <c r="D260" s="4" t="s">
        <v>12</v>
      </c>
      <c r="E260" s="5">
        <v>30787</v>
      </c>
      <c r="F260" s="4" t="s">
        <v>147</v>
      </c>
      <c r="G260" s="4" t="s">
        <v>20</v>
      </c>
      <c r="H260" s="4" t="s">
        <v>15</v>
      </c>
      <c r="I260" s="6">
        <v>440.2</v>
      </c>
      <c r="J260" s="7">
        <v>44020</v>
      </c>
    </row>
    <row r="261" spans="1:10" ht="15.75" customHeight="1" x14ac:dyDescent="0.25">
      <c r="A261" s="4">
        <v>24955</v>
      </c>
      <c r="B261" s="4" t="s">
        <v>672</v>
      </c>
      <c r="C261" s="4" t="s">
        <v>471</v>
      </c>
      <c r="D261" s="4" t="s">
        <v>12</v>
      </c>
      <c r="E261" s="5">
        <v>30536</v>
      </c>
      <c r="F261" s="4" t="s">
        <v>31</v>
      </c>
      <c r="G261" s="4" t="s">
        <v>20</v>
      </c>
      <c r="H261" s="4" t="s">
        <v>15</v>
      </c>
      <c r="I261" s="6">
        <v>463.98</v>
      </c>
      <c r="J261" s="7">
        <v>46398</v>
      </c>
    </row>
    <row r="262" spans="1:10" ht="15.75" customHeight="1" x14ac:dyDescent="0.25">
      <c r="A262" s="4">
        <v>20801</v>
      </c>
      <c r="B262" s="4" t="s">
        <v>692</v>
      </c>
      <c r="C262" s="4" t="s">
        <v>693</v>
      </c>
      <c r="D262" s="4" t="s">
        <v>24</v>
      </c>
      <c r="E262" s="5">
        <v>23909</v>
      </c>
      <c r="F262" s="4" t="s">
        <v>50</v>
      </c>
      <c r="G262" s="4" t="s">
        <v>20</v>
      </c>
      <c r="H262" s="4" t="s">
        <v>15</v>
      </c>
      <c r="I262" s="6">
        <v>382.47</v>
      </c>
      <c r="J262" s="7">
        <v>38247</v>
      </c>
    </row>
    <row r="263" spans="1:10" ht="15.75" customHeight="1" x14ac:dyDescent="0.25">
      <c r="A263" s="4">
        <v>22331</v>
      </c>
      <c r="B263" s="4" t="s">
        <v>704</v>
      </c>
      <c r="C263" s="4" t="s">
        <v>705</v>
      </c>
      <c r="D263" s="4" t="s">
        <v>24</v>
      </c>
      <c r="E263" s="5">
        <v>26983</v>
      </c>
      <c r="F263" s="4" t="s">
        <v>30</v>
      </c>
      <c r="G263" s="4" t="s">
        <v>20</v>
      </c>
      <c r="H263" s="4" t="s">
        <v>15</v>
      </c>
      <c r="I263" s="6">
        <v>360.72</v>
      </c>
      <c r="J263" s="7">
        <v>36072</v>
      </c>
    </row>
    <row r="264" spans="1:10" ht="15.75" customHeight="1" x14ac:dyDescent="0.25">
      <c r="A264" s="4">
        <v>21113</v>
      </c>
      <c r="B264" s="4" t="s">
        <v>688</v>
      </c>
      <c r="C264" s="4" t="s">
        <v>689</v>
      </c>
      <c r="D264" s="4" t="s">
        <v>12</v>
      </c>
      <c r="E264" s="5">
        <v>27662</v>
      </c>
      <c r="F264" s="4" t="s">
        <v>48</v>
      </c>
      <c r="G264" s="4" t="s">
        <v>20</v>
      </c>
      <c r="H264" s="4" t="s">
        <v>15</v>
      </c>
      <c r="I264" s="6">
        <v>421.12</v>
      </c>
      <c r="J264" s="7">
        <v>42112</v>
      </c>
    </row>
    <row r="265" spans="1:10" ht="15.75" customHeight="1" x14ac:dyDescent="0.25">
      <c r="A265" s="4">
        <v>20963</v>
      </c>
      <c r="B265" s="4" t="s">
        <v>685</v>
      </c>
      <c r="C265" s="4" t="s">
        <v>372</v>
      </c>
      <c r="D265" s="4" t="s">
        <v>24</v>
      </c>
      <c r="E265" s="5">
        <v>31861</v>
      </c>
      <c r="F265" s="4" t="s">
        <v>49</v>
      </c>
      <c r="G265" s="4" t="s">
        <v>20</v>
      </c>
      <c r="H265" s="4" t="s">
        <v>15</v>
      </c>
      <c r="I265" s="6">
        <v>428.13</v>
      </c>
      <c r="J265" s="7">
        <v>42813</v>
      </c>
    </row>
    <row r="266" spans="1:10" ht="15.75" customHeight="1" x14ac:dyDescent="0.25">
      <c r="A266" s="4">
        <v>20785</v>
      </c>
      <c r="B266" s="4" t="s">
        <v>723</v>
      </c>
      <c r="C266" s="4" t="s">
        <v>724</v>
      </c>
      <c r="D266" s="4" t="s">
        <v>12</v>
      </c>
      <c r="E266" s="5">
        <v>25765</v>
      </c>
      <c r="F266" s="4" t="s">
        <v>130</v>
      </c>
      <c r="G266" s="4" t="s">
        <v>20</v>
      </c>
      <c r="H266" s="4" t="s">
        <v>15</v>
      </c>
      <c r="I266" s="6">
        <v>329.4</v>
      </c>
      <c r="J266" s="7">
        <v>32940</v>
      </c>
    </row>
    <row r="267" spans="1:10" ht="15.75" customHeight="1" x14ac:dyDescent="0.25">
      <c r="A267" s="4">
        <v>127626</v>
      </c>
      <c r="B267" s="4" t="s">
        <v>730</v>
      </c>
      <c r="C267" s="4" t="s">
        <v>644</v>
      </c>
      <c r="D267" s="4" t="s">
        <v>24</v>
      </c>
      <c r="E267" s="5">
        <v>30416</v>
      </c>
      <c r="F267" s="4" t="s">
        <v>100</v>
      </c>
      <c r="G267" s="4" t="s">
        <v>14</v>
      </c>
      <c r="H267" s="4" t="s">
        <v>15</v>
      </c>
      <c r="I267" s="6">
        <v>322.24</v>
      </c>
      <c r="J267" s="7">
        <v>32224</v>
      </c>
    </row>
    <row r="268" spans="1:10" ht="15.75" customHeight="1" x14ac:dyDescent="0.25">
      <c r="A268" s="4">
        <v>20594</v>
      </c>
      <c r="B268" s="4" t="s">
        <v>737</v>
      </c>
      <c r="C268" s="4" t="s">
        <v>339</v>
      </c>
      <c r="D268" s="4" t="s">
        <v>24</v>
      </c>
      <c r="E268" s="5">
        <v>23784</v>
      </c>
      <c r="F268" s="4" t="s">
        <v>143</v>
      </c>
      <c r="G268" s="4" t="s">
        <v>20</v>
      </c>
      <c r="H268" s="4" t="s">
        <v>15</v>
      </c>
      <c r="I268" s="6">
        <v>312</v>
      </c>
      <c r="J268" s="7">
        <v>31200</v>
      </c>
    </row>
    <row r="269" spans="1:10" ht="15.75" customHeight="1" x14ac:dyDescent="0.25">
      <c r="A269" s="4">
        <v>22931</v>
      </c>
      <c r="B269" s="4" t="s">
        <v>712</v>
      </c>
      <c r="C269" s="4" t="s">
        <v>713</v>
      </c>
      <c r="D269" s="4" t="s">
        <v>12</v>
      </c>
      <c r="E269" s="5">
        <v>28167</v>
      </c>
      <c r="F269" s="4" t="s">
        <v>118</v>
      </c>
      <c r="G269" s="4" t="s">
        <v>20</v>
      </c>
      <c r="H269" s="4" t="s">
        <v>15</v>
      </c>
      <c r="I269" s="6">
        <v>347.42</v>
      </c>
      <c r="J269" s="7">
        <v>34742</v>
      </c>
    </row>
    <row r="270" spans="1:10" ht="15.75" customHeight="1" x14ac:dyDescent="0.25">
      <c r="A270" s="4">
        <v>27748</v>
      </c>
      <c r="B270" s="4" t="s">
        <v>694</v>
      </c>
      <c r="C270" s="4" t="s">
        <v>754</v>
      </c>
      <c r="D270" s="4" t="s">
        <v>12</v>
      </c>
      <c r="E270" s="5">
        <v>25750</v>
      </c>
      <c r="F270" s="4" t="s">
        <v>118</v>
      </c>
      <c r="G270" s="4" t="s">
        <v>20</v>
      </c>
      <c r="H270" s="4" t="s">
        <v>15</v>
      </c>
      <c r="I270" s="6">
        <v>301.92</v>
      </c>
      <c r="J270" s="7">
        <v>30192</v>
      </c>
    </row>
    <row r="271" spans="1:10" ht="15.75" customHeight="1" x14ac:dyDescent="0.25">
      <c r="A271" s="4">
        <v>22808</v>
      </c>
      <c r="B271" s="4" t="s">
        <v>694</v>
      </c>
      <c r="C271" s="4" t="s">
        <v>695</v>
      </c>
      <c r="D271" s="4" t="s">
        <v>12</v>
      </c>
      <c r="E271" s="5">
        <v>28185</v>
      </c>
      <c r="F271" s="4" t="s">
        <v>48</v>
      </c>
      <c r="G271" s="4" t="s">
        <v>20</v>
      </c>
      <c r="H271" s="4" t="s">
        <v>15</v>
      </c>
      <c r="I271" s="6">
        <v>381.55</v>
      </c>
      <c r="J271" s="7">
        <v>38155</v>
      </c>
    </row>
    <row r="272" spans="1:10" ht="15.75" customHeight="1" x14ac:dyDescent="0.25">
      <c r="A272" s="4">
        <v>26548</v>
      </c>
      <c r="B272" s="4" t="s">
        <v>694</v>
      </c>
      <c r="C272" s="4" t="s">
        <v>339</v>
      </c>
      <c r="D272" s="4" t="s">
        <v>12</v>
      </c>
      <c r="E272" s="5">
        <v>29053</v>
      </c>
      <c r="F272" s="4" t="s">
        <v>160</v>
      </c>
      <c r="G272" s="4" t="s">
        <v>14</v>
      </c>
      <c r="H272" s="4" t="s">
        <v>15</v>
      </c>
      <c r="I272" s="6">
        <v>285.08999999999997</v>
      </c>
      <c r="J272" s="7">
        <v>28509</v>
      </c>
    </row>
    <row r="273" spans="1:10" ht="15.75" customHeight="1" x14ac:dyDescent="0.25">
      <c r="A273" s="4">
        <v>26347</v>
      </c>
      <c r="B273" s="4" t="s">
        <v>718</v>
      </c>
      <c r="C273" s="4" t="s">
        <v>568</v>
      </c>
      <c r="D273" s="4" t="s">
        <v>12</v>
      </c>
      <c r="E273" s="5">
        <v>25669</v>
      </c>
      <c r="F273" s="4" t="s">
        <v>48</v>
      </c>
      <c r="G273" s="4" t="s">
        <v>20</v>
      </c>
      <c r="H273" s="4" t="s">
        <v>15</v>
      </c>
      <c r="I273" s="6">
        <v>334.89</v>
      </c>
      <c r="J273" s="7">
        <v>33489</v>
      </c>
    </row>
    <row r="274" spans="1:10" ht="15.75" customHeight="1" x14ac:dyDescent="0.25">
      <c r="A274" s="4">
        <v>125284</v>
      </c>
      <c r="B274" s="4" t="s">
        <v>716</v>
      </c>
      <c r="C274" s="4" t="s">
        <v>717</v>
      </c>
      <c r="D274" s="4" t="s">
        <v>12</v>
      </c>
      <c r="E274" s="5">
        <v>26543</v>
      </c>
      <c r="F274" s="4" t="s">
        <v>33</v>
      </c>
      <c r="G274" s="4" t="s">
        <v>20</v>
      </c>
      <c r="H274" s="4" t="s">
        <v>15</v>
      </c>
      <c r="I274" s="6">
        <v>341.9</v>
      </c>
      <c r="J274" s="7">
        <v>34190</v>
      </c>
    </row>
    <row r="275" spans="1:10" ht="15.75" customHeight="1" x14ac:dyDescent="0.25">
      <c r="A275" s="4">
        <v>141584</v>
      </c>
      <c r="B275" s="4" t="s">
        <v>317</v>
      </c>
      <c r="C275" s="4" t="s">
        <v>765</v>
      </c>
      <c r="D275" s="4" t="s">
        <v>12</v>
      </c>
      <c r="E275" s="5">
        <v>22433</v>
      </c>
      <c r="F275" s="4" t="s">
        <v>125</v>
      </c>
      <c r="G275" s="4" t="s">
        <v>35</v>
      </c>
      <c r="H275" s="4" t="s">
        <v>15</v>
      </c>
      <c r="I275" s="6">
        <v>285</v>
      </c>
      <c r="J275" s="7">
        <v>28500</v>
      </c>
    </row>
    <row r="276" spans="1:10" ht="15.75" customHeight="1" x14ac:dyDescent="0.25">
      <c r="A276" s="4">
        <v>21460</v>
      </c>
      <c r="B276" s="4" t="s">
        <v>742</v>
      </c>
      <c r="C276" s="4" t="s">
        <v>743</v>
      </c>
      <c r="D276" s="4" t="s">
        <v>12</v>
      </c>
      <c r="E276" s="5">
        <v>26882</v>
      </c>
      <c r="F276" s="4" t="s">
        <v>48</v>
      </c>
      <c r="G276" s="4" t="s">
        <v>20</v>
      </c>
      <c r="H276" s="4" t="s">
        <v>15</v>
      </c>
      <c r="I276" s="6">
        <v>310</v>
      </c>
      <c r="J276" s="7">
        <v>31000</v>
      </c>
    </row>
    <row r="277" spans="1:10" ht="15.75" customHeight="1" x14ac:dyDescent="0.25">
      <c r="A277" s="4">
        <v>42146</v>
      </c>
      <c r="B277" s="4" t="s">
        <v>742</v>
      </c>
      <c r="C277" s="4" t="s">
        <v>790</v>
      </c>
      <c r="D277" s="4" t="s">
        <v>12</v>
      </c>
      <c r="E277" s="5">
        <v>26</v>
      </c>
      <c r="F277" s="4" t="s">
        <v>48</v>
      </c>
      <c r="G277" s="4" t="s">
        <v>20</v>
      </c>
      <c r="H277" s="4" t="s">
        <v>15</v>
      </c>
      <c r="I277" s="6">
        <v>250</v>
      </c>
      <c r="J277" s="7">
        <v>25000</v>
      </c>
    </row>
    <row r="278" spans="1:10" ht="15.75" customHeight="1" x14ac:dyDescent="0.25">
      <c r="A278" s="4">
        <v>128930</v>
      </c>
      <c r="B278" s="4" t="s">
        <v>755</v>
      </c>
      <c r="C278" s="4" t="s">
        <v>756</v>
      </c>
      <c r="D278" s="4" t="s">
        <v>24</v>
      </c>
      <c r="E278" s="5">
        <v>16384</v>
      </c>
      <c r="F278" s="4" t="s">
        <v>50</v>
      </c>
      <c r="G278" s="4" t="s">
        <v>20</v>
      </c>
      <c r="H278" s="4" t="s">
        <v>15</v>
      </c>
      <c r="I278" s="6">
        <v>300</v>
      </c>
      <c r="J278" s="7">
        <v>30000</v>
      </c>
    </row>
    <row r="279" spans="1:10" ht="15.75" customHeight="1" x14ac:dyDescent="0.25">
      <c r="A279" s="4">
        <v>131197</v>
      </c>
      <c r="B279" s="4" t="s">
        <v>766</v>
      </c>
      <c r="C279" s="4" t="s">
        <v>513</v>
      </c>
      <c r="D279" s="4" t="s">
        <v>12</v>
      </c>
      <c r="E279" s="5">
        <v>34456</v>
      </c>
      <c r="F279" s="4" t="s">
        <v>60</v>
      </c>
      <c r="G279" s="4" t="s">
        <v>20</v>
      </c>
      <c r="H279" s="4" t="s">
        <v>15</v>
      </c>
      <c r="I279" s="6">
        <v>285</v>
      </c>
      <c r="J279" s="7">
        <v>28500</v>
      </c>
    </row>
    <row r="280" spans="1:10" ht="15.75" customHeight="1" x14ac:dyDescent="0.25">
      <c r="A280" s="4">
        <v>22489</v>
      </c>
      <c r="B280" s="4" t="s">
        <v>726</v>
      </c>
      <c r="C280" s="4" t="s">
        <v>727</v>
      </c>
      <c r="D280" s="4" t="s">
        <v>24</v>
      </c>
      <c r="E280" s="5">
        <v>21244</v>
      </c>
      <c r="F280" s="4" t="s">
        <v>30</v>
      </c>
      <c r="G280" s="4" t="s">
        <v>20</v>
      </c>
      <c r="H280" s="4" t="s">
        <v>15</v>
      </c>
      <c r="I280" s="6">
        <v>325</v>
      </c>
      <c r="J280" s="7">
        <v>32500</v>
      </c>
    </row>
    <row r="281" spans="1:10" ht="15.75" customHeight="1" x14ac:dyDescent="0.25">
      <c r="A281" s="4">
        <v>20783</v>
      </c>
      <c r="B281" s="4" t="s">
        <v>752</v>
      </c>
      <c r="C281" s="4" t="s">
        <v>753</v>
      </c>
      <c r="D281" s="4" t="s">
        <v>24</v>
      </c>
      <c r="E281" s="5">
        <v>26094</v>
      </c>
      <c r="F281" s="4" t="s">
        <v>49</v>
      </c>
      <c r="G281" s="4" t="s">
        <v>20</v>
      </c>
      <c r="H281" s="4" t="s">
        <v>15</v>
      </c>
      <c r="I281" s="6">
        <v>301.95</v>
      </c>
      <c r="J281" s="7">
        <v>30195</v>
      </c>
    </row>
    <row r="282" spans="1:10" ht="15.75" customHeight="1" x14ac:dyDescent="0.25">
      <c r="A282" s="4">
        <v>131137</v>
      </c>
      <c r="B282" s="4" t="s">
        <v>747</v>
      </c>
      <c r="C282" s="4" t="s">
        <v>748</v>
      </c>
      <c r="D282" s="4" t="s">
        <v>24</v>
      </c>
      <c r="E282" s="5">
        <v>19906</v>
      </c>
      <c r="F282" s="4" t="s">
        <v>19</v>
      </c>
      <c r="G282" s="4" t="s">
        <v>20</v>
      </c>
      <c r="H282" s="4" t="s">
        <v>15</v>
      </c>
      <c r="I282" s="6">
        <v>307.44</v>
      </c>
      <c r="J282" s="7">
        <v>30744</v>
      </c>
    </row>
    <row r="283" spans="1:10" ht="15.75" customHeight="1" x14ac:dyDescent="0.25">
      <c r="A283" s="4">
        <v>133005</v>
      </c>
      <c r="B283" s="4" t="s">
        <v>776</v>
      </c>
      <c r="C283" s="4" t="s">
        <v>777</v>
      </c>
      <c r="D283" s="4" t="s">
        <v>12</v>
      </c>
      <c r="E283" s="5">
        <v>29204</v>
      </c>
      <c r="F283" s="4" t="s">
        <v>161</v>
      </c>
      <c r="G283" s="4" t="s">
        <v>20</v>
      </c>
      <c r="H283" s="4" t="s">
        <v>15</v>
      </c>
      <c r="I283" s="6">
        <v>268.47000000000003</v>
      </c>
      <c r="J283" s="7">
        <v>26847</v>
      </c>
    </row>
    <row r="284" spans="1:10" ht="15.75" customHeight="1" x14ac:dyDescent="0.25">
      <c r="A284" s="4">
        <v>20633</v>
      </c>
      <c r="B284" s="4" t="s">
        <v>778</v>
      </c>
      <c r="C284" s="4" t="s">
        <v>779</v>
      </c>
      <c r="D284" s="4" t="s">
        <v>12</v>
      </c>
      <c r="E284" s="5">
        <v>26826</v>
      </c>
      <c r="F284" s="4" t="s">
        <v>30</v>
      </c>
      <c r="G284" s="4" t="s">
        <v>20</v>
      </c>
      <c r="H284" s="4" t="s">
        <v>15</v>
      </c>
      <c r="I284" s="6">
        <v>267.95999999999998</v>
      </c>
      <c r="J284" s="7">
        <v>26796</v>
      </c>
    </row>
    <row r="285" spans="1:10" ht="15.75" customHeight="1" x14ac:dyDescent="0.25">
      <c r="A285" s="4">
        <v>21007</v>
      </c>
      <c r="B285" s="4" t="s">
        <v>771</v>
      </c>
      <c r="C285" s="4" t="s">
        <v>780</v>
      </c>
      <c r="D285" s="4" t="s">
        <v>12</v>
      </c>
      <c r="E285" s="5">
        <v>27456</v>
      </c>
      <c r="F285" s="4" t="s">
        <v>57</v>
      </c>
      <c r="G285" s="4" t="s">
        <v>35</v>
      </c>
      <c r="H285" s="4" t="s">
        <v>15</v>
      </c>
      <c r="I285" s="6">
        <v>266.22000000000003</v>
      </c>
      <c r="J285" s="7">
        <v>26622</v>
      </c>
    </row>
    <row r="286" spans="1:10" ht="15.75" customHeight="1" x14ac:dyDescent="0.25">
      <c r="A286" s="4">
        <v>122330</v>
      </c>
      <c r="B286" s="4" t="s">
        <v>771</v>
      </c>
      <c r="C286" s="4" t="s">
        <v>360</v>
      </c>
      <c r="D286" s="4" t="s">
        <v>12</v>
      </c>
      <c r="E286" s="5">
        <v>23202</v>
      </c>
      <c r="F286" s="4" t="s">
        <v>19</v>
      </c>
      <c r="G286" s="4" t="s">
        <v>20</v>
      </c>
      <c r="H286" s="4" t="s">
        <v>15</v>
      </c>
      <c r="I286" s="6">
        <v>274.2</v>
      </c>
      <c r="J286" s="7">
        <v>27420</v>
      </c>
    </row>
    <row r="287" spans="1:10" ht="15.75" customHeight="1" x14ac:dyDescent="0.25">
      <c r="A287" s="4">
        <v>21770</v>
      </c>
      <c r="B287" s="4" t="s">
        <v>771</v>
      </c>
      <c r="C287" s="4" t="s">
        <v>787</v>
      </c>
      <c r="D287" s="4" t="s">
        <v>12</v>
      </c>
      <c r="E287" s="5">
        <v>18288</v>
      </c>
      <c r="F287" s="4" t="s">
        <v>60</v>
      </c>
      <c r="G287" s="4" t="s">
        <v>20</v>
      </c>
      <c r="H287" s="4" t="s">
        <v>15</v>
      </c>
      <c r="I287" s="6">
        <v>253.68</v>
      </c>
      <c r="J287" s="7">
        <v>25368</v>
      </c>
    </row>
    <row r="288" spans="1:10" ht="15.75" customHeight="1" x14ac:dyDescent="0.25">
      <c r="A288" s="4">
        <v>25895</v>
      </c>
      <c r="B288" s="4" t="s">
        <v>757</v>
      </c>
      <c r="C288" s="4" t="s">
        <v>758</v>
      </c>
      <c r="D288" s="4" t="s">
        <v>12</v>
      </c>
      <c r="E288" s="5">
        <v>21034</v>
      </c>
      <c r="F288" s="4" t="s">
        <v>50</v>
      </c>
      <c r="G288" s="4" t="s">
        <v>20</v>
      </c>
      <c r="H288" s="4" t="s">
        <v>15</v>
      </c>
      <c r="I288" s="6">
        <v>293.14999999999998</v>
      </c>
      <c r="J288" s="7">
        <v>29315</v>
      </c>
    </row>
    <row r="289" spans="1:10" ht="15.75" customHeight="1" x14ac:dyDescent="0.25">
      <c r="A289" s="4">
        <v>20432</v>
      </c>
      <c r="B289" s="4" t="s">
        <v>759</v>
      </c>
      <c r="C289" s="4" t="s">
        <v>760</v>
      </c>
      <c r="D289" s="4" t="s">
        <v>12</v>
      </c>
      <c r="E289" s="5">
        <v>28004</v>
      </c>
      <c r="F289" s="4" t="s">
        <v>159</v>
      </c>
      <c r="G289" s="4" t="s">
        <v>52</v>
      </c>
      <c r="H289" s="4" t="s">
        <v>15</v>
      </c>
      <c r="I289" s="6">
        <v>292.5</v>
      </c>
      <c r="J289" s="7">
        <v>29250</v>
      </c>
    </row>
    <row r="290" spans="1:10" ht="15.75" customHeight="1" x14ac:dyDescent="0.25">
      <c r="A290" s="4">
        <v>119656</v>
      </c>
      <c r="B290" s="4" t="s">
        <v>795</v>
      </c>
      <c r="C290" s="4" t="s">
        <v>563</v>
      </c>
      <c r="D290" s="4" t="s">
        <v>24</v>
      </c>
      <c r="E290" s="5">
        <v>33350</v>
      </c>
      <c r="F290" s="4" t="s">
        <v>13</v>
      </c>
      <c r="G290" s="4" t="s">
        <v>14</v>
      </c>
      <c r="H290" s="4" t="s">
        <v>15</v>
      </c>
      <c r="I290" s="6">
        <v>246.95</v>
      </c>
      <c r="J290" s="7">
        <v>24695</v>
      </c>
    </row>
    <row r="291" spans="1:10" ht="15.75" customHeight="1" x14ac:dyDescent="0.25">
      <c r="A291" s="4">
        <v>21647</v>
      </c>
      <c r="B291" s="4" t="s">
        <v>784</v>
      </c>
      <c r="C291" s="4" t="s">
        <v>355</v>
      </c>
      <c r="D291" s="4" t="s">
        <v>12</v>
      </c>
      <c r="E291" s="5">
        <v>27151</v>
      </c>
      <c r="F291" s="4" t="s">
        <v>49</v>
      </c>
      <c r="G291" s="4" t="s">
        <v>20</v>
      </c>
      <c r="H291" s="4" t="s">
        <v>15</v>
      </c>
      <c r="I291" s="6">
        <v>255.78</v>
      </c>
      <c r="J291" s="7">
        <v>25578</v>
      </c>
    </row>
    <row r="292" spans="1:10" ht="15.75" customHeight="1" x14ac:dyDescent="0.25">
      <c r="A292" s="4">
        <v>22434</v>
      </c>
      <c r="B292" s="4" t="s">
        <v>767</v>
      </c>
      <c r="C292" s="4" t="s">
        <v>360</v>
      </c>
      <c r="D292" s="4" t="s">
        <v>12</v>
      </c>
      <c r="E292" s="5">
        <v>33963</v>
      </c>
      <c r="F292" s="4" t="s">
        <v>118</v>
      </c>
      <c r="G292" s="4" t="s">
        <v>20</v>
      </c>
      <c r="H292" s="4" t="s">
        <v>15</v>
      </c>
      <c r="I292" s="6">
        <v>282.74</v>
      </c>
      <c r="J292" s="7">
        <v>28274</v>
      </c>
    </row>
    <row r="293" spans="1:10" ht="15.75" customHeight="1" x14ac:dyDescent="0.25">
      <c r="A293" s="4">
        <v>20515</v>
      </c>
      <c r="B293" s="4" t="s">
        <v>801</v>
      </c>
      <c r="C293" s="4" t="s">
        <v>802</v>
      </c>
      <c r="D293" s="4" t="s">
        <v>12</v>
      </c>
      <c r="E293" s="5">
        <v>29441</v>
      </c>
      <c r="F293" s="4" t="s">
        <v>60</v>
      </c>
      <c r="G293" s="4" t="s">
        <v>20</v>
      </c>
      <c r="H293" s="4" t="s">
        <v>15</v>
      </c>
      <c r="I293" s="6">
        <v>239.4</v>
      </c>
      <c r="J293" s="7">
        <v>23940</v>
      </c>
    </row>
    <row r="294" spans="1:10" ht="15.75" customHeight="1" x14ac:dyDescent="0.25">
      <c r="A294" s="4">
        <v>20952</v>
      </c>
      <c r="B294" s="4" t="s">
        <v>824</v>
      </c>
      <c r="C294" s="4" t="s">
        <v>825</v>
      </c>
      <c r="D294" s="4" t="s">
        <v>12</v>
      </c>
      <c r="E294" s="5">
        <v>31147</v>
      </c>
      <c r="F294" s="4" t="s">
        <v>57</v>
      </c>
      <c r="G294" s="4" t="s">
        <v>35</v>
      </c>
      <c r="H294" s="4" t="s">
        <v>15</v>
      </c>
      <c r="I294" s="6">
        <v>208</v>
      </c>
      <c r="J294" s="7">
        <v>20800</v>
      </c>
    </row>
    <row r="295" spans="1:10" ht="15.75" customHeight="1" x14ac:dyDescent="0.25">
      <c r="A295" s="4">
        <v>123556</v>
      </c>
      <c r="B295" s="4" t="s">
        <v>806</v>
      </c>
      <c r="C295" s="4" t="s">
        <v>559</v>
      </c>
      <c r="D295" s="4" t="s">
        <v>24</v>
      </c>
      <c r="E295" s="5">
        <v>32284</v>
      </c>
      <c r="F295" s="4" t="s">
        <v>31</v>
      </c>
      <c r="G295" s="4" t="s">
        <v>20</v>
      </c>
      <c r="H295" s="4" t="s">
        <v>15</v>
      </c>
      <c r="I295" s="6">
        <v>232</v>
      </c>
      <c r="J295" s="7">
        <v>23200</v>
      </c>
    </row>
    <row r="296" spans="1:10" ht="15.75" customHeight="1" x14ac:dyDescent="0.25">
      <c r="A296" s="4">
        <v>26693</v>
      </c>
      <c r="B296" s="4" t="s">
        <v>818</v>
      </c>
      <c r="C296" s="4" t="s">
        <v>819</v>
      </c>
      <c r="D296" s="4" t="s">
        <v>12</v>
      </c>
      <c r="E296" s="5">
        <v>22939</v>
      </c>
      <c r="F296" s="4" t="s">
        <v>31</v>
      </c>
      <c r="G296" s="4" t="s">
        <v>20</v>
      </c>
      <c r="H296" s="4" t="s">
        <v>15</v>
      </c>
      <c r="I296" s="6">
        <v>212</v>
      </c>
      <c r="J296" s="7">
        <v>21200</v>
      </c>
    </row>
    <row r="297" spans="1:10" ht="15.75" customHeight="1" x14ac:dyDescent="0.25">
      <c r="A297" s="4">
        <v>24634</v>
      </c>
      <c r="B297" s="4" t="s">
        <v>782</v>
      </c>
      <c r="C297" s="4" t="s">
        <v>456</v>
      </c>
      <c r="D297" s="4" t="s">
        <v>12</v>
      </c>
      <c r="E297" s="5">
        <v>27863</v>
      </c>
      <c r="F297" s="4" t="s">
        <v>50</v>
      </c>
      <c r="G297" s="4" t="s">
        <v>20</v>
      </c>
      <c r="H297" s="4" t="s">
        <v>15</v>
      </c>
      <c r="I297" s="6">
        <v>219.45</v>
      </c>
      <c r="J297" s="7">
        <v>21945</v>
      </c>
    </row>
    <row r="298" spans="1:10" ht="15.75" customHeight="1" x14ac:dyDescent="0.25">
      <c r="A298" s="4">
        <v>22622</v>
      </c>
      <c r="B298" s="4" t="s">
        <v>782</v>
      </c>
      <c r="C298" s="4" t="s">
        <v>783</v>
      </c>
      <c r="D298" s="4" t="s">
        <v>12</v>
      </c>
      <c r="E298" s="5">
        <v>33005</v>
      </c>
      <c r="F298" s="4" t="s">
        <v>130</v>
      </c>
      <c r="G298" s="4" t="s">
        <v>20</v>
      </c>
      <c r="H298" s="4" t="s">
        <v>15</v>
      </c>
      <c r="I298" s="6">
        <v>258.62</v>
      </c>
      <c r="J298" s="7">
        <v>25862</v>
      </c>
    </row>
    <row r="299" spans="1:10" ht="15.75" customHeight="1" x14ac:dyDescent="0.25">
      <c r="A299" s="4">
        <v>20921</v>
      </c>
      <c r="B299" s="4" t="s">
        <v>816</v>
      </c>
      <c r="C299" s="4" t="s">
        <v>817</v>
      </c>
      <c r="D299" s="4" t="s">
        <v>24</v>
      </c>
      <c r="E299" s="5">
        <v>30248</v>
      </c>
      <c r="F299" s="4" t="s">
        <v>164</v>
      </c>
      <c r="G299" s="4" t="s">
        <v>52</v>
      </c>
      <c r="H299" s="4" t="s">
        <v>15</v>
      </c>
      <c r="I299" s="6">
        <v>214.48</v>
      </c>
      <c r="J299" s="7">
        <v>21448</v>
      </c>
    </row>
    <row r="300" spans="1:10" ht="15.75" customHeight="1" x14ac:dyDescent="0.25">
      <c r="A300" s="4">
        <v>21805</v>
      </c>
      <c r="B300" s="4" t="s">
        <v>788</v>
      </c>
      <c r="C300" s="4" t="s">
        <v>789</v>
      </c>
      <c r="D300" s="4" t="s">
        <v>24</v>
      </c>
      <c r="E300" s="5">
        <v>27911</v>
      </c>
      <c r="F300" s="4" t="s">
        <v>130</v>
      </c>
      <c r="G300" s="4" t="s">
        <v>20</v>
      </c>
      <c r="H300" s="4" t="s">
        <v>15</v>
      </c>
      <c r="I300" s="6">
        <v>251.46</v>
      </c>
      <c r="J300" s="7">
        <v>25146</v>
      </c>
    </row>
    <row r="301" spans="1:10" ht="15.75" customHeight="1" x14ac:dyDescent="0.25">
      <c r="A301" s="4">
        <v>121041</v>
      </c>
      <c r="B301" s="4" t="s">
        <v>788</v>
      </c>
      <c r="C301" s="4" t="s">
        <v>369</v>
      </c>
      <c r="D301" s="4" t="s">
        <v>24</v>
      </c>
      <c r="E301" s="5">
        <v>28428</v>
      </c>
      <c r="F301" s="4" t="s">
        <v>13</v>
      </c>
      <c r="G301" s="4" t="s">
        <v>14</v>
      </c>
      <c r="H301" s="4" t="s">
        <v>15</v>
      </c>
      <c r="I301" s="6">
        <v>197.6</v>
      </c>
      <c r="J301" s="7">
        <v>19760</v>
      </c>
    </row>
    <row r="302" spans="1:10" ht="15.75" customHeight="1" x14ac:dyDescent="0.25">
      <c r="A302" s="4">
        <v>26086</v>
      </c>
      <c r="B302" s="4" t="s">
        <v>799</v>
      </c>
      <c r="C302" s="4" t="s">
        <v>828</v>
      </c>
      <c r="D302" s="4" t="s">
        <v>24</v>
      </c>
      <c r="E302" s="5">
        <v>16670</v>
      </c>
      <c r="F302" s="4" t="s">
        <v>43</v>
      </c>
      <c r="G302" s="4" t="s">
        <v>35</v>
      </c>
      <c r="H302" s="4" t="s">
        <v>15</v>
      </c>
      <c r="I302" s="6">
        <v>206.25</v>
      </c>
      <c r="J302" s="7">
        <v>20625</v>
      </c>
    </row>
    <row r="303" spans="1:10" ht="15.75" customHeight="1" x14ac:dyDescent="0.25">
      <c r="A303" s="4">
        <v>21063</v>
      </c>
      <c r="B303" s="4" t="s">
        <v>829</v>
      </c>
      <c r="C303" s="4" t="s">
        <v>830</v>
      </c>
      <c r="D303" s="4" t="s">
        <v>24</v>
      </c>
      <c r="E303" s="5">
        <v>31284</v>
      </c>
      <c r="F303" s="4" t="s">
        <v>48</v>
      </c>
      <c r="G303" s="4" t="s">
        <v>20</v>
      </c>
      <c r="H303" s="4" t="s">
        <v>15</v>
      </c>
      <c r="I303" s="6">
        <v>206.25</v>
      </c>
      <c r="J303" s="7">
        <v>20625</v>
      </c>
    </row>
    <row r="304" spans="1:10" ht="15.75" customHeight="1" x14ac:dyDescent="0.25">
      <c r="A304" s="4">
        <v>121892</v>
      </c>
      <c r="B304" s="4" t="s">
        <v>858</v>
      </c>
      <c r="C304" s="4" t="s">
        <v>585</v>
      </c>
      <c r="D304" s="4" t="s">
        <v>24</v>
      </c>
      <c r="E304" s="5">
        <v>26639</v>
      </c>
      <c r="F304" s="4" t="s">
        <v>50</v>
      </c>
      <c r="G304" s="4" t="s">
        <v>20</v>
      </c>
      <c r="H304" s="4" t="s">
        <v>15</v>
      </c>
      <c r="I304" s="6">
        <v>180</v>
      </c>
      <c r="J304" s="7">
        <v>18000</v>
      </c>
    </row>
    <row r="305" spans="1:10" ht="15.75" customHeight="1" x14ac:dyDescent="0.25">
      <c r="A305" s="4">
        <v>26548</v>
      </c>
      <c r="B305" s="4" t="s">
        <v>853</v>
      </c>
      <c r="C305" s="4" t="s">
        <v>585</v>
      </c>
      <c r="D305" s="4" t="s">
        <v>24</v>
      </c>
      <c r="E305" s="5">
        <v>21024</v>
      </c>
      <c r="F305" s="4" t="s">
        <v>168</v>
      </c>
      <c r="G305" s="4" t="s">
        <v>35</v>
      </c>
      <c r="H305" s="4" t="s">
        <v>15</v>
      </c>
      <c r="I305" s="6">
        <v>185.12</v>
      </c>
      <c r="J305" s="7">
        <v>18512</v>
      </c>
    </row>
    <row r="306" spans="1:10" ht="15.75" customHeight="1" x14ac:dyDescent="0.25">
      <c r="A306" s="4">
        <v>20482</v>
      </c>
      <c r="B306" s="4" t="s">
        <v>807</v>
      </c>
      <c r="C306" s="4" t="s">
        <v>357</v>
      </c>
      <c r="D306" s="4" t="s">
        <v>24</v>
      </c>
      <c r="E306" s="5">
        <v>30170</v>
      </c>
      <c r="F306" s="4" t="s">
        <v>57</v>
      </c>
      <c r="G306" s="4" t="s">
        <v>35</v>
      </c>
      <c r="H306" s="4" t="s">
        <v>15</v>
      </c>
      <c r="I306" s="6">
        <v>231.66</v>
      </c>
      <c r="J306" s="7">
        <v>23166</v>
      </c>
    </row>
    <row r="307" spans="1:10" ht="15.75" customHeight="1" x14ac:dyDescent="0.25">
      <c r="A307" s="4">
        <v>128829</v>
      </c>
      <c r="B307" s="4" t="s">
        <v>821</v>
      </c>
      <c r="C307" s="4" t="s">
        <v>343</v>
      </c>
      <c r="D307" s="4" t="s">
        <v>12</v>
      </c>
      <c r="E307" s="5">
        <v>24970</v>
      </c>
      <c r="F307" s="4" t="s">
        <v>118</v>
      </c>
      <c r="G307" s="4" t="s">
        <v>20</v>
      </c>
      <c r="H307" s="4" t="s">
        <v>15</v>
      </c>
      <c r="I307" s="6">
        <v>210</v>
      </c>
      <c r="J307" s="7">
        <v>21000</v>
      </c>
    </row>
    <row r="308" spans="1:10" ht="15.75" customHeight="1" x14ac:dyDescent="0.25">
      <c r="A308" s="4">
        <v>21615</v>
      </c>
      <c r="B308" s="4" t="s">
        <v>834</v>
      </c>
      <c r="C308" s="4" t="s">
        <v>835</v>
      </c>
      <c r="D308" s="4" t="s">
        <v>24</v>
      </c>
      <c r="E308" s="5">
        <v>21068</v>
      </c>
      <c r="F308" s="4" t="s">
        <v>13</v>
      </c>
      <c r="G308" s="4" t="s">
        <v>14</v>
      </c>
      <c r="H308" s="4" t="s">
        <v>15</v>
      </c>
      <c r="I308" s="6">
        <v>201.3</v>
      </c>
      <c r="J308" s="7">
        <v>20130</v>
      </c>
    </row>
    <row r="309" spans="1:10" ht="15.75" customHeight="1" x14ac:dyDescent="0.25">
      <c r="A309" s="4">
        <v>129568</v>
      </c>
      <c r="B309" s="4" t="s">
        <v>826</v>
      </c>
      <c r="C309" s="4" t="s">
        <v>827</v>
      </c>
      <c r="D309" s="4" t="s">
        <v>12</v>
      </c>
      <c r="E309" s="5">
        <v>32089</v>
      </c>
      <c r="F309" s="4" t="s">
        <v>48</v>
      </c>
      <c r="G309" s="4" t="s">
        <v>20</v>
      </c>
      <c r="H309" s="4" t="s">
        <v>15</v>
      </c>
      <c r="I309" s="6">
        <v>207.7</v>
      </c>
      <c r="J309" s="7">
        <v>20770</v>
      </c>
    </row>
    <row r="310" spans="1:10" ht="15.75" customHeight="1" x14ac:dyDescent="0.25">
      <c r="A310" s="4">
        <v>132186</v>
      </c>
      <c r="B310" s="4" t="s">
        <v>832</v>
      </c>
      <c r="C310" s="4" t="s">
        <v>833</v>
      </c>
      <c r="D310" s="4" t="s">
        <v>12</v>
      </c>
      <c r="E310" s="5">
        <v>25034</v>
      </c>
      <c r="F310" s="4" t="s">
        <v>60</v>
      </c>
      <c r="G310" s="4" t="s">
        <v>20</v>
      </c>
      <c r="H310" s="4" t="s">
        <v>15</v>
      </c>
      <c r="I310" s="6">
        <v>201.5</v>
      </c>
      <c r="J310" s="7">
        <v>20150</v>
      </c>
    </row>
    <row r="311" spans="1:10" ht="15.75" customHeight="1" x14ac:dyDescent="0.25">
      <c r="A311" s="4">
        <v>20546</v>
      </c>
      <c r="B311" s="4" t="s">
        <v>836</v>
      </c>
      <c r="C311" s="4" t="s">
        <v>837</v>
      </c>
      <c r="D311" s="4" t="s">
        <v>12</v>
      </c>
      <c r="E311" s="5">
        <v>22847</v>
      </c>
      <c r="F311" s="4" t="s">
        <v>57</v>
      </c>
      <c r="G311" s="4" t="s">
        <v>35</v>
      </c>
      <c r="H311" s="4" t="s">
        <v>15</v>
      </c>
      <c r="I311" s="6">
        <v>199.55</v>
      </c>
      <c r="J311" s="7">
        <v>19955</v>
      </c>
    </row>
    <row r="312" spans="1:10" ht="15.75" customHeight="1" x14ac:dyDescent="0.25">
      <c r="A312" s="4">
        <v>24659</v>
      </c>
      <c r="B312" s="4" t="s">
        <v>864</v>
      </c>
      <c r="C312" s="4" t="s">
        <v>865</v>
      </c>
      <c r="D312" s="4" t="s">
        <v>12</v>
      </c>
      <c r="E312" s="5">
        <v>26025</v>
      </c>
      <c r="F312" s="4" t="s">
        <v>43</v>
      </c>
      <c r="G312" s="4" t="s">
        <v>35</v>
      </c>
      <c r="H312" s="4" t="s">
        <v>15</v>
      </c>
      <c r="I312" s="6">
        <v>173.85</v>
      </c>
      <c r="J312" s="7">
        <v>17385</v>
      </c>
    </row>
    <row r="313" spans="1:10" ht="15.75" customHeight="1" x14ac:dyDescent="0.25">
      <c r="A313" s="4">
        <v>20433</v>
      </c>
      <c r="B313" s="4" t="s">
        <v>844</v>
      </c>
      <c r="C313" s="4" t="s">
        <v>343</v>
      </c>
      <c r="D313" s="4" t="s">
        <v>12</v>
      </c>
      <c r="E313" s="5">
        <v>29952</v>
      </c>
      <c r="F313" s="4" t="s">
        <v>57</v>
      </c>
      <c r="G313" s="4" t="s">
        <v>35</v>
      </c>
      <c r="H313" s="4" t="s">
        <v>15</v>
      </c>
      <c r="I313" s="6">
        <v>161.65</v>
      </c>
      <c r="J313" s="7">
        <v>16165</v>
      </c>
    </row>
    <row r="314" spans="1:10" ht="15.75" customHeight="1" x14ac:dyDescent="0.25">
      <c r="A314" s="4">
        <v>21878</v>
      </c>
      <c r="B314" s="4" t="s">
        <v>872</v>
      </c>
      <c r="C314" s="4" t="s">
        <v>873</v>
      </c>
      <c r="D314" s="4" t="s">
        <v>24</v>
      </c>
      <c r="E314" s="5">
        <v>32457</v>
      </c>
      <c r="F314" s="4" t="s">
        <v>34</v>
      </c>
      <c r="G314" s="4" t="s">
        <v>35</v>
      </c>
      <c r="H314" s="4" t="s">
        <v>15</v>
      </c>
      <c r="I314" s="6">
        <v>168</v>
      </c>
      <c r="J314" s="7">
        <v>16800</v>
      </c>
    </row>
    <row r="315" spans="1:10" ht="15.75" customHeight="1" x14ac:dyDescent="0.25">
      <c r="A315" s="4">
        <v>21251</v>
      </c>
      <c r="B315" s="4" t="s">
        <v>881</v>
      </c>
      <c r="C315" s="4" t="s">
        <v>882</v>
      </c>
      <c r="D315" s="4" t="s">
        <v>12</v>
      </c>
      <c r="E315" s="5">
        <v>23488</v>
      </c>
      <c r="F315" s="4" t="s">
        <v>50</v>
      </c>
      <c r="G315" s="4" t="s">
        <v>20</v>
      </c>
      <c r="H315" s="4" t="s">
        <v>15</v>
      </c>
      <c r="I315" s="6">
        <v>150</v>
      </c>
      <c r="J315" s="7">
        <v>15000</v>
      </c>
    </row>
    <row r="316" spans="1:10" ht="15.75" customHeight="1" x14ac:dyDescent="0.25">
      <c r="A316" s="4">
        <v>22357</v>
      </c>
      <c r="B316" s="4" t="s">
        <v>877</v>
      </c>
      <c r="C316" s="4" t="s">
        <v>878</v>
      </c>
      <c r="D316" s="4" t="s">
        <v>12</v>
      </c>
      <c r="E316" s="5">
        <v>28278</v>
      </c>
      <c r="F316" s="4" t="s">
        <v>41</v>
      </c>
      <c r="G316" s="4" t="s">
        <v>20</v>
      </c>
      <c r="H316" s="4" t="s">
        <v>15</v>
      </c>
      <c r="I316" s="6">
        <v>159</v>
      </c>
      <c r="J316" s="7">
        <v>15900</v>
      </c>
    </row>
    <row r="317" spans="1:10" ht="15.75" customHeight="1" x14ac:dyDescent="0.25">
      <c r="A317" s="4">
        <v>121810</v>
      </c>
      <c r="B317" s="4" t="s">
        <v>848</v>
      </c>
      <c r="C317" s="4" t="s">
        <v>849</v>
      </c>
      <c r="D317" s="4" t="s">
        <v>12</v>
      </c>
      <c r="E317" s="5">
        <v>27211</v>
      </c>
      <c r="F317" s="4" t="s">
        <v>32</v>
      </c>
      <c r="G317" s="4" t="s">
        <v>20</v>
      </c>
      <c r="H317" s="4" t="s">
        <v>15</v>
      </c>
      <c r="I317" s="6">
        <v>192</v>
      </c>
      <c r="J317" s="7">
        <v>19200</v>
      </c>
    </row>
    <row r="318" spans="1:10" ht="15.75" customHeight="1" x14ac:dyDescent="0.25">
      <c r="A318" s="4">
        <v>131022</v>
      </c>
      <c r="B318" s="4" t="s">
        <v>867</v>
      </c>
      <c r="C318" s="4" t="s">
        <v>868</v>
      </c>
      <c r="D318" s="4" t="s">
        <v>12</v>
      </c>
      <c r="E318" s="5">
        <v>26068</v>
      </c>
      <c r="F318" s="4" t="s">
        <v>48</v>
      </c>
      <c r="G318" s="4" t="s">
        <v>20</v>
      </c>
      <c r="H318" s="4" t="s">
        <v>15</v>
      </c>
      <c r="I318" s="6">
        <v>172.84</v>
      </c>
      <c r="J318" s="7">
        <v>17284</v>
      </c>
    </row>
    <row r="319" spans="1:10" ht="15.75" customHeight="1" x14ac:dyDescent="0.25">
      <c r="A319" s="4">
        <v>24859</v>
      </c>
      <c r="B319" s="4" t="s">
        <v>869</v>
      </c>
      <c r="C319" s="4" t="s">
        <v>871</v>
      </c>
      <c r="D319" s="4" t="s">
        <v>24</v>
      </c>
      <c r="E319" s="5">
        <v>22785</v>
      </c>
      <c r="F319" s="4" t="s">
        <v>60</v>
      </c>
      <c r="G319" s="4" t="s">
        <v>20</v>
      </c>
      <c r="H319" s="4" t="s">
        <v>15</v>
      </c>
      <c r="I319" s="6">
        <v>170.51</v>
      </c>
      <c r="J319" s="7">
        <v>17051</v>
      </c>
    </row>
    <row r="320" spans="1:10" ht="15.75" customHeight="1" x14ac:dyDescent="0.25">
      <c r="A320" s="4">
        <v>129528</v>
      </c>
      <c r="B320" s="4" t="s">
        <v>854</v>
      </c>
      <c r="C320" s="4" t="s">
        <v>887</v>
      </c>
      <c r="D320" s="4" t="s">
        <v>12</v>
      </c>
      <c r="E320" s="5">
        <v>22098</v>
      </c>
      <c r="F320" s="4" t="s">
        <v>60</v>
      </c>
      <c r="G320" s="4" t="s">
        <v>20</v>
      </c>
      <c r="H320" s="4" t="s">
        <v>15</v>
      </c>
      <c r="I320" s="6">
        <v>145.35</v>
      </c>
      <c r="J320" s="7">
        <v>14535</v>
      </c>
    </row>
    <row r="321" spans="1:10" ht="15.75" customHeight="1" x14ac:dyDescent="0.25">
      <c r="A321" s="4">
        <v>39151</v>
      </c>
      <c r="B321" s="4" t="s">
        <v>854</v>
      </c>
      <c r="C321" s="4" t="s">
        <v>880</v>
      </c>
      <c r="D321" s="4" t="s">
        <v>12</v>
      </c>
      <c r="E321" s="5">
        <v>29926</v>
      </c>
      <c r="F321" s="4" t="s">
        <v>57</v>
      </c>
      <c r="G321" s="4" t="s">
        <v>35</v>
      </c>
      <c r="H321" s="4" t="s">
        <v>15</v>
      </c>
      <c r="I321" s="6">
        <v>153.36000000000001</v>
      </c>
      <c r="J321" s="7">
        <v>15336</v>
      </c>
    </row>
    <row r="322" spans="1:10" ht="15.75" customHeight="1" x14ac:dyDescent="0.25">
      <c r="A322" s="4">
        <v>22047</v>
      </c>
      <c r="B322" s="4" t="s">
        <v>854</v>
      </c>
      <c r="C322" s="4" t="s">
        <v>879</v>
      </c>
      <c r="D322" s="4" t="s">
        <v>12</v>
      </c>
      <c r="E322" s="5">
        <v>28110</v>
      </c>
      <c r="F322" s="4" t="s">
        <v>19</v>
      </c>
      <c r="G322" s="4" t="s">
        <v>20</v>
      </c>
      <c r="H322" s="4" t="s">
        <v>15</v>
      </c>
      <c r="I322" s="6">
        <v>154</v>
      </c>
      <c r="J322" s="7">
        <v>15400</v>
      </c>
    </row>
    <row r="323" spans="1:10" ht="15.75" customHeight="1" x14ac:dyDescent="0.25">
      <c r="A323" s="4">
        <v>20745</v>
      </c>
      <c r="B323" s="4" t="s">
        <v>854</v>
      </c>
      <c r="C323" s="4" t="s">
        <v>866</v>
      </c>
      <c r="D323" s="4" t="s">
        <v>12</v>
      </c>
      <c r="E323" s="5">
        <v>19542</v>
      </c>
      <c r="F323" s="4" t="s">
        <v>60</v>
      </c>
      <c r="G323" s="4" t="s">
        <v>20</v>
      </c>
      <c r="H323" s="4" t="s">
        <v>15</v>
      </c>
      <c r="I323" s="6">
        <v>172.98</v>
      </c>
      <c r="J323" s="7">
        <v>17298</v>
      </c>
    </row>
    <row r="324" spans="1:10" ht="15.75" customHeight="1" x14ac:dyDescent="0.25">
      <c r="A324" s="4">
        <v>20766</v>
      </c>
      <c r="B324" s="4" t="s">
        <v>854</v>
      </c>
      <c r="C324" s="4" t="s">
        <v>717</v>
      </c>
      <c r="D324" s="4" t="s">
        <v>12</v>
      </c>
      <c r="E324" s="5">
        <v>28133</v>
      </c>
      <c r="F324" s="4" t="s">
        <v>48</v>
      </c>
      <c r="G324" s="4" t="s">
        <v>20</v>
      </c>
      <c r="H324" s="4" t="s">
        <v>15</v>
      </c>
      <c r="I324" s="6">
        <v>172.62</v>
      </c>
      <c r="J324" s="7">
        <v>17262</v>
      </c>
    </row>
    <row r="325" spans="1:10" ht="15.75" customHeight="1" x14ac:dyDescent="0.25">
      <c r="A325" s="4">
        <v>20942</v>
      </c>
      <c r="B325" s="4" t="s">
        <v>876</v>
      </c>
      <c r="C325" s="4" t="s">
        <v>406</v>
      </c>
      <c r="D325" s="4" t="s">
        <v>24</v>
      </c>
      <c r="E325" s="5">
        <v>27764</v>
      </c>
      <c r="F325" s="4" t="s">
        <v>13</v>
      </c>
      <c r="G325" s="4" t="s">
        <v>14</v>
      </c>
      <c r="H325" s="4" t="s">
        <v>15</v>
      </c>
      <c r="I325" s="6">
        <v>163.06</v>
      </c>
      <c r="J325" s="7">
        <v>16306</v>
      </c>
    </row>
    <row r="326" spans="1:10" ht="15.75" customHeight="1" x14ac:dyDescent="0.25">
      <c r="A326" s="4">
        <v>26565</v>
      </c>
      <c r="B326" s="4" t="s">
        <v>863</v>
      </c>
      <c r="C326" s="4" t="s">
        <v>600</v>
      </c>
      <c r="D326" s="4" t="s">
        <v>12</v>
      </c>
      <c r="E326" s="5">
        <v>26064</v>
      </c>
      <c r="F326" s="4" t="s">
        <v>48</v>
      </c>
      <c r="G326" s="4" t="s">
        <v>20</v>
      </c>
      <c r="H326" s="4" t="s">
        <v>15</v>
      </c>
      <c r="I326" s="6">
        <v>159.82</v>
      </c>
      <c r="J326" s="7">
        <v>15982</v>
      </c>
    </row>
    <row r="327" spans="1:10" ht="15.75" customHeight="1" x14ac:dyDescent="0.25">
      <c r="A327" s="4">
        <v>21021</v>
      </c>
      <c r="B327" s="4" t="s">
        <v>863</v>
      </c>
      <c r="C327" s="4" t="s">
        <v>513</v>
      </c>
      <c r="D327" s="4" t="s">
        <v>12</v>
      </c>
      <c r="E327" s="5">
        <v>27200</v>
      </c>
      <c r="F327" s="4" t="s">
        <v>48</v>
      </c>
      <c r="G327" s="4" t="s">
        <v>20</v>
      </c>
      <c r="H327" s="4" t="s">
        <v>15</v>
      </c>
      <c r="I327" s="6">
        <v>174.2</v>
      </c>
      <c r="J327" s="7">
        <v>17420</v>
      </c>
    </row>
    <row r="328" spans="1:10" ht="15.75" customHeight="1" x14ac:dyDescent="0.25">
      <c r="A328" s="4">
        <v>21145</v>
      </c>
      <c r="B328" s="4" t="s">
        <v>875</v>
      </c>
      <c r="C328" s="4" t="s">
        <v>489</v>
      </c>
      <c r="D328" s="4" t="s">
        <v>12</v>
      </c>
      <c r="E328" s="5">
        <v>31464</v>
      </c>
      <c r="F328" s="4" t="s">
        <v>48</v>
      </c>
      <c r="G328" s="4" t="s">
        <v>20</v>
      </c>
      <c r="H328" s="4" t="s">
        <v>15</v>
      </c>
      <c r="I328" s="6">
        <v>163.19999999999999</v>
      </c>
      <c r="J328" s="7">
        <v>16320</v>
      </c>
    </row>
    <row r="329" spans="1:10" ht="15.75" customHeight="1" x14ac:dyDescent="0.25">
      <c r="A329" s="4">
        <v>20763</v>
      </c>
      <c r="B329" s="4" t="s">
        <v>875</v>
      </c>
      <c r="C329" s="4" t="s">
        <v>339</v>
      </c>
      <c r="D329" s="4" t="s">
        <v>12</v>
      </c>
      <c r="E329" s="5">
        <v>19000</v>
      </c>
      <c r="F329" s="4" t="s">
        <v>130</v>
      </c>
      <c r="G329" s="4" t="s">
        <v>20</v>
      </c>
      <c r="H329" s="4" t="s">
        <v>15</v>
      </c>
      <c r="I329" s="6">
        <v>162.5</v>
      </c>
      <c r="J329" s="7">
        <v>16250</v>
      </c>
    </row>
    <row r="330" spans="1:10" ht="15.75" customHeight="1" x14ac:dyDescent="0.25">
      <c r="A330" s="4">
        <v>21820</v>
      </c>
      <c r="B330" s="4" t="s">
        <v>875</v>
      </c>
      <c r="C330" s="4" t="s">
        <v>891</v>
      </c>
      <c r="D330" s="4" t="s">
        <v>12</v>
      </c>
      <c r="E330" s="5">
        <v>29377</v>
      </c>
      <c r="F330" s="4" t="s">
        <v>50</v>
      </c>
      <c r="G330" s="4" t="s">
        <v>20</v>
      </c>
      <c r="H330" s="4" t="s">
        <v>15</v>
      </c>
      <c r="I330" s="6">
        <v>139.19999999999999</v>
      </c>
      <c r="J330" s="7">
        <v>13920</v>
      </c>
    </row>
    <row r="331" spans="1:10" ht="15.75" customHeight="1" x14ac:dyDescent="0.25">
      <c r="A331" s="4">
        <v>26642</v>
      </c>
      <c r="B331" s="4" t="s">
        <v>899</v>
      </c>
      <c r="C331" s="4" t="s">
        <v>868</v>
      </c>
      <c r="D331" s="4" t="s">
        <v>24</v>
      </c>
      <c r="E331" s="5">
        <v>29813</v>
      </c>
      <c r="F331" s="4" t="s">
        <v>32</v>
      </c>
      <c r="G331" s="4" t="s">
        <v>20</v>
      </c>
      <c r="H331" s="4" t="s">
        <v>15</v>
      </c>
      <c r="I331" s="6">
        <v>126.14</v>
      </c>
      <c r="J331" s="7">
        <v>12614</v>
      </c>
    </row>
    <row r="332" spans="1:10" ht="15.75" customHeight="1" x14ac:dyDescent="0.25">
      <c r="A332" s="4">
        <v>131440</v>
      </c>
      <c r="B332" s="4" t="s">
        <v>888</v>
      </c>
      <c r="C332" s="4" t="s">
        <v>425</v>
      </c>
      <c r="D332" s="4" t="s">
        <v>24</v>
      </c>
      <c r="E332" s="5">
        <v>25050</v>
      </c>
      <c r="F332" s="4" t="s">
        <v>48</v>
      </c>
      <c r="G332" s="4" t="s">
        <v>20</v>
      </c>
      <c r="H332" s="4" t="s">
        <v>15</v>
      </c>
      <c r="I332" s="6">
        <v>140.91</v>
      </c>
      <c r="J332" s="7">
        <v>14091</v>
      </c>
    </row>
    <row r="333" spans="1:10" ht="15.75" customHeight="1" x14ac:dyDescent="0.25">
      <c r="A333" s="4">
        <v>117259</v>
      </c>
      <c r="B333" s="4" t="s">
        <v>911</v>
      </c>
      <c r="C333" s="4" t="s">
        <v>912</v>
      </c>
      <c r="D333" s="4" t="s">
        <v>12</v>
      </c>
      <c r="E333" s="5">
        <v>36701</v>
      </c>
      <c r="F333" s="4" t="s">
        <v>60</v>
      </c>
      <c r="G333" s="4" t="s">
        <v>20</v>
      </c>
      <c r="H333" s="4" t="s">
        <v>15</v>
      </c>
      <c r="I333" s="6">
        <v>114.5</v>
      </c>
      <c r="J333" s="7">
        <v>11450</v>
      </c>
    </row>
    <row r="334" spans="1:10" ht="15.75" customHeight="1" x14ac:dyDescent="0.25">
      <c r="A334" s="4">
        <v>133138</v>
      </c>
      <c r="B334" s="4" t="s">
        <v>892</v>
      </c>
      <c r="C334" s="4" t="s">
        <v>895</v>
      </c>
      <c r="D334" s="4" t="s">
        <v>12</v>
      </c>
      <c r="E334" s="5">
        <v>31418</v>
      </c>
      <c r="F334" s="4" t="s">
        <v>75</v>
      </c>
      <c r="G334" s="4" t="s">
        <v>20</v>
      </c>
      <c r="H334" s="4" t="s">
        <v>15</v>
      </c>
      <c r="I334" s="6">
        <v>128.25</v>
      </c>
      <c r="J334" s="7">
        <v>12825</v>
      </c>
    </row>
    <row r="335" spans="1:10" ht="15.75" customHeight="1" x14ac:dyDescent="0.25">
      <c r="A335" s="4">
        <v>24842</v>
      </c>
      <c r="B335" s="4" t="s">
        <v>925</v>
      </c>
      <c r="C335" s="4" t="s">
        <v>926</v>
      </c>
      <c r="D335" s="4" t="s">
        <v>24</v>
      </c>
      <c r="E335" s="5">
        <v>25719</v>
      </c>
      <c r="F335" s="4" t="s">
        <v>176</v>
      </c>
      <c r="G335" s="4" t="s">
        <v>35</v>
      </c>
      <c r="H335" s="4" t="s">
        <v>15</v>
      </c>
      <c r="I335" s="6">
        <v>106.08</v>
      </c>
      <c r="J335" s="7">
        <v>10608</v>
      </c>
    </row>
    <row r="336" spans="1:10" ht="15.75" customHeight="1" x14ac:dyDescent="0.25">
      <c r="A336" s="4">
        <v>133911</v>
      </c>
      <c r="B336" s="4" t="s">
        <v>920</v>
      </c>
      <c r="C336" s="4" t="s">
        <v>921</v>
      </c>
      <c r="D336" s="4" t="s">
        <v>24</v>
      </c>
      <c r="E336" s="5">
        <v>22498</v>
      </c>
      <c r="F336" s="4" t="s">
        <v>175</v>
      </c>
      <c r="G336" s="4" t="s">
        <v>14</v>
      </c>
      <c r="H336" s="4" t="s">
        <v>15</v>
      </c>
      <c r="I336" s="6">
        <v>108</v>
      </c>
      <c r="J336" s="7">
        <v>10800</v>
      </c>
    </row>
    <row r="337" spans="1:10" ht="15.75" customHeight="1" x14ac:dyDescent="0.25">
      <c r="A337" s="4">
        <v>47221</v>
      </c>
      <c r="B337" s="4" t="s">
        <v>920</v>
      </c>
      <c r="C337" s="4" t="s">
        <v>927</v>
      </c>
      <c r="D337" s="4" t="s">
        <v>24</v>
      </c>
      <c r="E337" s="5">
        <v>28182</v>
      </c>
      <c r="F337" s="4" t="s">
        <v>92</v>
      </c>
      <c r="G337" s="4" t="s">
        <v>35</v>
      </c>
      <c r="H337" s="4" t="s">
        <v>15</v>
      </c>
      <c r="I337" s="6">
        <v>104</v>
      </c>
      <c r="J337" s="7">
        <v>10400</v>
      </c>
    </row>
    <row r="338" spans="1:10" ht="15.75" customHeight="1" x14ac:dyDescent="0.25">
      <c r="A338" s="4">
        <v>122645</v>
      </c>
      <c r="B338" s="4" t="s">
        <v>894</v>
      </c>
      <c r="C338" s="4" t="s">
        <v>922</v>
      </c>
      <c r="D338" s="4" t="s">
        <v>12</v>
      </c>
      <c r="E338" s="5">
        <v>23278</v>
      </c>
      <c r="F338" s="4" t="s">
        <v>57</v>
      </c>
      <c r="G338" s="4" t="s">
        <v>35</v>
      </c>
      <c r="H338" s="4" t="s">
        <v>15</v>
      </c>
      <c r="I338" s="6">
        <v>108</v>
      </c>
      <c r="J338" s="7">
        <v>10800</v>
      </c>
    </row>
    <row r="339" spans="1:10" ht="15.75" customHeight="1" x14ac:dyDescent="0.25">
      <c r="A339" s="4">
        <v>27664</v>
      </c>
      <c r="B339" s="4" t="s">
        <v>894</v>
      </c>
      <c r="C339" s="4" t="s">
        <v>422</v>
      </c>
      <c r="D339" s="4" t="s">
        <v>12</v>
      </c>
      <c r="E339" s="5">
        <v>32608</v>
      </c>
      <c r="F339" s="4" t="s">
        <v>48</v>
      </c>
      <c r="G339" s="4" t="s">
        <v>20</v>
      </c>
      <c r="H339" s="4" t="s">
        <v>15</v>
      </c>
      <c r="I339" s="6">
        <v>132</v>
      </c>
      <c r="J339" s="7">
        <v>13200</v>
      </c>
    </row>
    <row r="340" spans="1:10" ht="15.75" customHeight="1" x14ac:dyDescent="0.25">
      <c r="A340" s="4">
        <v>128641</v>
      </c>
      <c r="B340" s="4" t="s">
        <v>906</v>
      </c>
      <c r="C340" s="4" t="s">
        <v>907</v>
      </c>
      <c r="D340" s="4" t="s">
        <v>12</v>
      </c>
      <c r="E340" s="5">
        <v>23238</v>
      </c>
      <c r="F340" s="4" t="s">
        <v>48</v>
      </c>
      <c r="G340" s="4" t="s">
        <v>20</v>
      </c>
      <c r="H340" s="4" t="s">
        <v>15</v>
      </c>
      <c r="I340" s="6">
        <v>120</v>
      </c>
      <c r="J340" s="7">
        <v>12000</v>
      </c>
    </row>
    <row r="341" spans="1:10" ht="15.75" customHeight="1" x14ac:dyDescent="0.25">
      <c r="A341" s="4">
        <v>21427</v>
      </c>
      <c r="B341" s="4" t="s">
        <v>909</v>
      </c>
      <c r="C341" s="4" t="s">
        <v>354</v>
      </c>
      <c r="D341" s="4" t="s">
        <v>12</v>
      </c>
      <c r="E341" s="5">
        <v>30911</v>
      </c>
      <c r="F341" s="4" t="s">
        <v>75</v>
      </c>
      <c r="G341" s="4" t="s">
        <v>20</v>
      </c>
      <c r="H341" s="4" t="s">
        <v>15</v>
      </c>
      <c r="I341" s="6">
        <v>118</v>
      </c>
      <c r="J341" s="7">
        <v>11800</v>
      </c>
    </row>
    <row r="342" spans="1:10" ht="15.75" customHeight="1" x14ac:dyDescent="0.25">
      <c r="A342" s="4">
        <v>131473</v>
      </c>
      <c r="B342" s="4" t="s">
        <v>896</v>
      </c>
      <c r="C342" s="4" t="s">
        <v>600</v>
      </c>
      <c r="D342" s="4" t="s">
        <v>24</v>
      </c>
      <c r="E342" s="5">
        <v>27030</v>
      </c>
      <c r="F342" s="4" t="s">
        <v>31</v>
      </c>
      <c r="G342" s="4" t="s">
        <v>20</v>
      </c>
      <c r="H342" s="4" t="s">
        <v>15</v>
      </c>
      <c r="I342" s="6">
        <v>104</v>
      </c>
      <c r="J342" s="7">
        <v>10400</v>
      </c>
    </row>
    <row r="343" spans="1:10" ht="15.75" customHeight="1" x14ac:dyDescent="0.25">
      <c r="A343" s="4">
        <v>122734</v>
      </c>
      <c r="B343" s="4" t="s">
        <v>896</v>
      </c>
      <c r="C343" s="4" t="s">
        <v>897</v>
      </c>
      <c r="D343" s="4" t="s">
        <v>24</v>
      </c>
      <c r="E343" s="5">
        <v>25974</v>
      </c>
      <c r="F343" s="4" t="s">
        <v>31</v>
      </c>
      <c r="G343" s="4" t="s">
        <v>20</v>
      </c>
      <c r="H343" s="4" t="s">
        <v>15</v>
      </c>
      <c r="I343" s="6">
        <v>128</v>
      </c>
      <c r="J343" s="7">
        <v>12800</v>
      </c>
    </row>
    <row r="344" spans="1:10" ht="15.75" customHeight="1" x14ac:dyDescent="0.25">
      <c r="A344" s="4">
        <v>129168</v>
      </c>
      <c r="B344" s="4" t="s">
        <v>902</v>
      </c>
      <c r="C344" s="4" t="s">
        <v>339</v>
      </c>
      <c r="D344" s="4" t="s">
        <v>12</v>
      </c>
      <c r="E344" s="5">
        <v>30479</v>
      </c>
      <c r="F344" s="4" t="s">
        <v>118</v>
      </c>
      <c r="G344" s="4" t="s">
        <v>20</v>
      </c>
      <c r="H344" s="4" t="s">
        <v>15</v>
      </c>
      <c r="I344" s="6">
        <v>122</v>
      </c>
      <c r="J344" s="7">
        <v>12200</v>
      </c>
    </row>
    <row r="345" spans="1:10" ht="15.75" customHeight="1" x14ac:dyDescent="0.25">
      <c r="A345" s="4">
        <v>23332</v>
      </c>
      <c r="B345" s="4" t="s">
        <v>898</v>
      </c>
      <c r="C345" s="4" t="s">
        <v>913</v>
      </c>
      <c r="D345" s="4" t="s">
        <v>12</v>
      </c>
      <c r="E345" s="5">
        <v>24211</v>
      </c>
      <c r="F345" s="4" t="s">
        <v>50</v>
      </c>
      <c r="G345" s="4" t="s">
        <v>20</v>
      </c>
      <c r="H345" s="4" t="s">
        <v>15</v>
      </c>
      <c r="I345" s="6">
        <v>113.43</v>
      </c>
      <c r="J345" s="7">
        <v>11343</v>
      </c>
    </row>
    <row r="346" spans="1:10" ht="15.75" customHeight="1" x14ac:dyDescent="0.25">
      <c r="A346" s="4">
        <v>137627</v>
      </c>
      <c r="B346" s="4" t="s">
        <v>898</v>
      </c>
      <c r="C346" s="4" t="s">
        <v>929</v>
      </c>
      <c r="D346" s="4" t="s">
        <v>12</v>
      </c>
      <c r="E346" s="5">
        <v>21916</v>
      </c>
      <c r="F346" s="4" t="s">
        <v>50</v>
      </c>
      <c r="G346" s="4" t="s">
        <v>20</v>
      </c>
      <c r="H346" s="4" t="s">
        <v>15</v>
      </c>
      <c r="I346" s="6">
        <v>101.49</v>
      </c>
      <c r="J346" s="7">
        <v>10149</v>
      </c>
    </row>
    <row r="347" spans="1:10" ht="15.75" customHeight="1" x14ac:dyDescent="0.25">
      <c r="A347" s="4">
        <v>126676</v>
      </c>
      <c r="B347" s="4" t="s">
        <v>898</v>
      </c>
      <c r="C347" s="4" t="s">
        <v>489</v>
      </c>
      <c r="D347" s="4" t="s">
        <v>12</v>
      </c>
      <c r="E347" s="5">
        <v>26891</v>
      </c>
      <c r="F347" s="4" t="s">
        <v>49</v>
      </c>
      <c r="G347" s="4" t="s">
        <v>20</v>
      </c>
      <c r="H347" s="4" t="s">
        <v>15</v>
      </c>
      <c r="I347" s="6">
        <v>123.38</v>
      </c>
      <c r="J347" s="7">
        <v>12338</v>
      </c>
    </row>
    <row r="348" spans="1:10" ht="15.75" customHeight="1" x14ac:dyDescent="0.25">
      <c r="A348" s="4">
        <v>125910</v>
      </c>
      <c r="B348" s="4" t="s">
        <v>898</v>
      </c>
      <c r="C348" s="4" t="s">
        <v>454</v>
      </c>
      <c r="D348" s="4" t="s">
        <v>12</v>
      </c>
      <c r="E348" s="5">
        <v>26665</v>
      </c>
      <c r="F348" s="4" t="s">
        <v>174</v>
      </c>
      <c r="G348" s="4" t="s">
        <v>35</v>
      </c>
      <c r="H348" s="4" t="s">
        <v>15</v>
      </c>
      <c r="I348" s="6">
        <v>115.42</v>
      </c>
      <c r="J348" s="7">
        <v>11542</v>
      </c>
    </row>
    <row r="349" spans="1:10" ht="15.75" customHeight="1" x14ac:dyDescent="0.25">
      <c r="A349" s="4">
        <v>130871</v>
      </c>
      <c r="B349" s="4" t="s">
        <v>898</v>
      </c>
      <c r="C349" s="4" t="s">
        <v>930</v>
      </c>
      <c r="D349" s="4" t="s">
        <v>12</v>
      </c>
      <c r="E349" s="5">
        <v>27933</v>
      </c>
      <c r="F349" s="4" t="s">
        <v>48</v>
      </c>
      <c r="G349" s="4" t="s">
        <v>20</v>
      </c>
      <c r="H349" s="4" t="s">
        <v>15</v>
      </c>
      <c r="I349" s="6">
        <v>101.49</v>
      </c>
      <c r="J349" s="7">
        <v>10149</v>
      </c>
    </row>
    <row r="350" spans="1:10" ht="15.75" customHeight="1" x14ac:dyDescent="0.25">
      <c r="A350" s="4">
        <v>22167</v>
      </c>
      <c r="B350" s="4" t="s">
        <v>898</v>
      </c>
      <c r="C350" s="4" t="s">
        <v>756</v>
      </c>
      <c r="D350" s="4" t="s">
        <v>12</v>
      </c>
      <c r="E350" s="5">
        <v>27648</v>
      </c>
      <c r="F350" s="4" t="s">
        <v>57</v>
      </c>
      <c r="G350" s="4" t="s">
        <v>35</v>
      </c>
      <c r="H350" s="4" t="s">
        <v>15</v>
      </c>
      <c r="I350" s="6">
        <v>126.75</v>
      </c>
      <c r="J350" s="7">
        <v>12675</v>
      </c>
    </row>
    <row r="351" spans="1:10" ht="15.75" customHeight="1" x14ac:dyDescent="0.25">
      <c r="A351" s="4">
        <v>21346</v>
      </c>
      <c r="B351" s="4" t="s">
        <v>904</v>
      </c>
      <c r="C351" s="4" t="s">
        <v>905</v>
      </c>
      <c r="D351" s="4" t="s">
        <v>24</v>
      </c>
      <c r="E351" s="5">
        <v>28127</v>
      </c>
      <c r="F351" s="4" t="s">
        <v>50</v>
      </c>
      <c r="G351" s="4" t="s">
        <v>20</v>
      </c>
      <c r="H351" s="4" t="s">
        <v>15</v>
      </c>
      <c r="I351" s="6">
        <v>120.9</v>
      </c>
      <c r="J351" s="7">
        <v>12090</v>
      </c>
    </row>
    <row r="352" spans="1:10" ht="15.75" customHeight="1" x14ac:dyDescent="0.25">
      <c r="A352" s="4">
        <v>123122</v>
      </c>
      <c r="B352" s="4" t="s">
        <v>917</v>
      </c>
      <c r="C352" s="4" t="s">
        <v>935</v>
      </c>
      <c r="D352" s="4" t="s">
        <v>12</v>
      </c>
      <c r="E352" s="5">
        <v>26677</v>
      </c>
      <c r="F352" s="4" t="s">
        <v>48</v>
      </c>
      <c r="G352" s="4" t="s">
        <v>20</v>
      </c>
      <c r="H352" s="4" t="s">
        <v>15</v>
      </c>
      <c r="I352" s="6">
        <v>98.05</v>
      </c>
      <c r="J352" s="7">
        <v>9805</v>
      </c>
    </row>
    <row r="353" spans="1:10" ht="15.75" customHeight="1" x14ac:dyDescent="0.25">
      <c r="A353" s="4">
        <v>94442</v>
      </c>
      <c r="B353" s="4" t="s">
        <v>908</v>
      </c>
      <c r="C353" s="4" t="s">
        <v>884</v>
      </c>
      <c r="D353" s="4" t="s">
        <v>12</v>
      </c>
      <c r="E353" s="5">
        <v>33845</v>
      </c>
      <c r="F353" s="4" t="s">
        <v>49</v>
      </c>
      <c r="G353" s="4" t="s">
        <v>20</v>
      </c>
      <c r="H353" s="4" t="s">
        <v>15</v>
      </c>
      <c r="I353" s="6">
        <v>118.8</v>
      </c>
      <c r="J353" s="7">
        <v>11880</v>
      </c>
    </row>
    <row r="354" spans="1:10" ht="15.75" customHeight="1" x14ac:dyDescent="0.25">
      <c r="A354" s="4">
        <v>22100</v>
      </c>
      <c r="B354" s="4" t="s">
        <v>908</v>
      </c>
      <c r="C354" s="4" t="s">
        <v>884</v>
      </c>
      <c r="D354" s="4" t="s">
        <v>12</v>
      </c>
      <c r="E354" s="5">
        <v>31054</v>
      </c>
      <c r="F354" s="4" t="s">
        <v>41</v>
      </c>
      <c r="G354" s="4" t="s">
        <v>20</v>
      </c>
      <c r="H354" s="4" t="s">
        <v>15</v>
      </c>
      <c r="I354" s="6">
        <v>107.9</v>
      </c>
      <c r="J354" s="7">
        <v>10790</v>
      </c>
    </row>
    <row r="355" spans="1:10" ht="15.75" customHeight="1" x14ac:dyDescent="0.25">
      <c r="A355" s="4">
        <v>22636</v>
      </c>
      <c r="B355" s="4" t="s">
        <v>951</v>
      </c>
      <c r="C355" s="4" t="s">
        <v>952</v>
      </c>
      <c r="D355" s="4" t="s">
        <v>12</v>
      </c>
      <c r="E355" s="5">
        <v>26430</v>
      </c>
      <c r="F355" s="4" t="s">
        <v>164</v>
      </c>
      <c r="G355" s="4" t="s">
        <v>52</v>
      </c>
      <c r="H355" s="4" t="s">
        <v>15</v>
      </c>
      <c r="I355" s="6">
        <v>79.5</v>
      </c>
      <c r="J355" s="7">
        <v>7950</v>
      </c>
    </row>
    <row r="356" spans="1:10" ht="15.75" customHeight="1" x14ac:dyDescent="0.25">
      <c r="A356" s="4">
        <v>20571</v>
      </c>
      <c r="B356" s="4" t="s">
        <v>954</v>
      </c>
      <c r="C356" s="4" t="s">
        <v>339</v>
      </c>
      <c r="D356" s="4" t="s">
        <v>12</v>
      </c>
      <c r="E356" s="5">
        <v>30479</v>
      </c>
      <c r="F356" s="4" t="s">
        <v>48</v>
      </c>
      <c r="G356" s="4" t="s">
        <v>20</v>
      </c>
      <c r="H356" s="4" t="s">
        <v>15</v>
      </c>
      <c r="I356" s="6">
        <v>75</v>
      </c>
      <c r="J356" s="7">
        <v>7500</v>
      </c>
    </row>
    <row r="357" spans="1:10" ht="15.75" customHeight="1" x14ac:dyDescent="0.25">
      <c r="A357" s="4">
        <v>125323</v>
      </c>
      <c r="B357" s="4" t="s">
        <v>938</v>
      </c>
      <c r="C357" s="4" t="s">
        <v>454</v>
      </c>
      <c r="D357" s="4" t="s">
        <v>12</v>
      </c>
      <c r="E357" s="5">
        <v>34803</v>
      </c>
      <c r="F357" s="4" t="s">
        <v>75</v>
      </c>
      <c r="G357" s="4" t="s">
        <v>20</v>
      </c>
      <c r="H357" s="4" t="s">
        <v>15</v>
      </c>
      <c r="I357" s="6">
        <v>93</v>
      </c>
      <c r="J357" s="7">
        <v>9300</v>
      </c>
    </row>
    <row r="358" spans="1:10" ht="15.75" customHeight="1" x14ac:dyDescent="0.25">
      <c r="A358" s="4">
        <v>22458</v>
      </c>
      <c r="B358" s="4" t="s">
        <v>936</v>
      </c>
      <c r="C358" s="4" t="s">
        <v>425</v>
      </c>
      <c r="D358" s="4" t="s">
        <v>12</v>
      </c>
      <c r="E358" s="5">
        <v>28696</v>
      </c>
      <c r="F358" s="4" t="s">
        <v>179</v>
      </c>
      <c r="G358" s="4" t="s">
        <v>20</v>
      </c>
      <c r="H358" s="4" t="s">
        <v>15</v>
      </c>
      <c r="I358" s="6">
        <v>97.5</v>
      </c>
      <c r="J358" s="7">
        <v>9750</v>
      </c>
    </row>
    <row r="359" spans="1:10" ht="15.75" customHeight="1" x14ac:dyDescent="0.25">
      <c r="A359" s="4">
        <v>93908</v>
      </c>
      <c r="B359" s="4" t="s">
        <v>933</v>
      </c>
      <c r="C359" s="4" t="s">
        <v>937</v>
      </c>
      <c r="D359" s="4" t="s">
        <v>12</v>
      </c>
      <c r="E359" s="5">
        <v>26140</v>
      </c>
      <c r="F359" s="4" t="s">
        <v>41</v>
      </c>
      <c r="G359" s="4" t="s">
        <v>20</v>
      </c>
      <c r="H359" s="4" t="s">
        <v>15</v>
      </c>
      <c r="I359" s="6">
        <v>95.36</v>
      </c>
      <c r="J359" s="7">
        <v>9536</v>
      </c>
    </row>
    <row r="360" spans="1:10" ht="15.75" customHeight="1" x14ac:dyDescent="0.25">
      <c r="A360" s="4">
        <v>136688</v>
      </c>
      <c r="B360" s="4" t="s">
        <v>939</v>
      </c>
      <c r="C360" s="4" t="s">
        <v>406</v>
      </c>
      <c r="D360" s="4" t="s">
        <v>24</v>
      </c>
      <c r="E360" s="5">
        <v>30116</v>
      </c>
      <c r="F360" s="4" t="s">
        <v>48</v>
      </c>
      <c r="G360" s="4" t="s">
        <v>20</v>
      </c>
      <c r="H360" s="4" t="s">
        <v>15</v>
      </c>
      <c r="I360" s="6">
        <v>91.08</v>
      </c>
      <c r="J360" s="7">
        <v>9108</v>
      </c>
    </row>
    <row r="361" spans="1:10" ht="15.75" customHeight="1" x14ac:dyDescent="0.25">
      <c r="A361" s="4">
        <v>120444</v>
      </c>
      <c r="B361" s="4" t="s">
        <v>962</v>
      </c>
      <c r="C361" s="4" t="s">
        <v>963</v>
      </c>
      <c r="D361" s="4" t="s">
        <v>12</v>
      </c>
      <c r="E361" s="5">
        <v>32947</v>
      </c>
      <c r="F361" s="4" t="s">
        <v>60</v>
      </c>
      <c r="G361" s="4" t="s">
        <v>20</v>
      </c>
      <c r="H361" s="4" t="s">
        <v>15</v>
      </c>
      <c r="I361" s="6">
        <v>67.08</v>
      </c>
      <c r="J361" s="7">
        <v>6708</v>
      </c>
    </row>
    <row r="362" spans="1:10" ht="15.75" customHeight="1" x14ac:dyDescent="0.25">
      <c r="A362" s="4">
        <v>20894</v>
      </c>
      <c r="B362" s="4" t="s">
        <v>949</v>
      </c>
      <c r="C362" s="4" t="s">
        <v>953</v>
      </c>
      <c r="D362" s="4" t="s">
        <v>12</v>
      </c>
      <c r="E362" s="5">
        <v>32763</v>
      </c>
      <c r="F362" s="4" t="s">
        <v>50</v>
      </c>
      <c r="G362" s="4" t="s">
        <v>20</v>
      </c>
      <c r="H362" s="4" t="s">
        <v>15</v>
      </c>
      <c r="I362" s="6">
        <v>75.64</v>
      </c>
      <c r="J362" s="7">
        <v>7564</v>
      </c>
    </row>
    <row r="363" spans="1:10" ht="15.75" customHeight="1" x14ac:dyDescent="0.25">
      <c r="A363" s="4">
        <v>121398</v>
      </c>
      <c r="B363" s="4" t="s">
        <v>961</v>
      </c>
      <c r="C363" s="4" t="s">
        <v>365</v>
      </c>
      <c r="D363" s="4" t="s">
        <v>12</v>
      </c>
      <c r="E363" s="5">
        <v>32650</v>
      </c>
      <c r="F363" s="4" t="s">
        <v>32</v>
      </c>
      <c r="G363" s="4" t="s">
        <v>20</v>
      </c>
      <c r="H363" s="4" t="s">
        <v>15</v>
      </c>
      <c r="I363" s="6">
        <v>68.400000000000006</v>
      </c>
      <c r="J363" s="7">
        <v>6840</v>
      </c>
    </row>
    <row r="364" spans="1:10" ht="15.75" customHeight="1" x14ac:dyDescent="0.25">
      <c r="A364" s="4">
        <v>129777</v>
      </c>
      <c r="B364" s="4" t="s">
        <v>957</v>
      </c>
      <c r="C364" s="4" t="s">
        <v>958</v>
      </c>
      <c r="D364" s="4" t="s">
        <v>24</v>
      </c>
      <c r="E364" s="5">
        <v>30050</v>
      </c>
      <c r="F364" s="4" t="s">
        <v>32</v>
      </c>
      <c r="G364" s="4" t="s">
        <v>20</v>
      </c>
      <c r="H364" s="4" t="s">
        <v>15</v>
      </c>
      <c r="I364" s="6">
        <v>69.3</v>
      </c>
      <c r="J364" s="7">
        <v>6930</v>
      </c>
    </row>
    <row r="365" spans="1:10" ht="15.75" customHeight="1" x14ac:dyDescent="0.25">
      <c r="A365" s="4">
        <v>21759</v>
      </c>
      <c r="B365" s="4" t="s">
        <v>957</v>
      </c>
      <c r="C365" s="4" t="s">
        <v>339</v>
      </c>
      <c r="D365" s="4" t="s">
        <v>24</v>
      </c>
      <c r="E365" s="5">
        <v>31413</v>
      </c>
      <c r="F365" s="4" t="s">
        <v>31</v>
      </c>
      <c r="G365" s="4" t="s">
        <v>20</v>
      </c>
      <c r="H365" s="4" t="s">
        <v>15</v>
      </c>
      <c r="I365" s="6">
        <v>55</v>
      </c>
      <c r="J365" s="7">
        <v>5500</v>
      </c>
    </row>
    <row r="366" spans="1:10" ht="15.75" customHeight="1" x14ac:dyDescent="0.25">
      <c r="A366" s="4">
        <v>20875</v>
      </c>
      <c r="B366" s="4" t="s">
        <v>957</v>
      </c>
      <c r="C366" s="4" t="s">
        <v>339</v>
      </c>
      <c r="D366" s="4" t="s">
        <v>12</v>
      </c>
      <c r="E366" s="5">
        <v>29343</v>
      </c>
      <c r="F366" s="4" t="s">
        <v>118</v>
      </c>
      <c r="G366" s="4" t="s">
        <v>20</v>
      </c>
      <c r="H366" s="4" t="s">
        <v>15</v>
      </c>
      <c r="I366" s="6">
        <v>53.04</v>
      </c>
      <c r="J366" s="7">
        <v>5304</v>
      </c>
    </row>
    <row r="367" spans="1:10" ht="15.75" customHeight="1" x14ac:dyDescent="0.25">
      <c r="A367" s="4">
        <v>129446</v>
      </c>
      <c r="B367" s="4" t="s">
        <v>971</v>
      </c>
      <c r="C367" s="4" t="s">
        <v>972</v>
      </c>
      <c r="D367" s="4" t="s">
        <v>12</v>
      </c>
      <c r="E367" s="5">
        <v>21675</v>
      </c>
      <c r="F367" s="4" t="s">
        <v>124</v>
      </c>
      <c r="G367" s="4" t="s">
        <v>14</v>
      </c>
      <c r="H367" s="4" t="s">
        <v>15</v>
      </c>
      <c r="I367" s="6">
        <v>55</v>
      </c>
      <c r="J367" s="7">
        <v>5500</v>
      </c>
    </row>
    <row r="368" spans="1:10" ht="15.75" customHeight="1" x14ac:dyDescent="0.25">
      <c r="A368" s="4">
        <v>129858</v>
      </c>
      <c r="B368" s="4" t="s">
        <v>971</v>
      </c>
      <c r="C368" s="4" t="s">
        <v>454</v>
      </c>
      <c r="D368" s="4" t="s">
        <v>12</v>
      </c>
      <c r="E368" s="5">
        <v>29453</v>
      </c>
      <c r="F368" s="4" t="s">
        <v>46</v>
      </c>
      <c r="G368" s="4" t="s">
        <v>35</v>
      </c>
      <c r="H368" s="4" t="s">
        <v>15</v>
      </c>
      <c r="I368" s="6">
        <v>52</v>
      </c>
      <c r="J368" s="7">
        <v>5200</v>
      </c>
    </row>
    <row r="369" spans="1:10" ht="15.75" customHeight="1" x14ac:dyDescent="0.25">
      <c r="A369" s="4">
        <v>124337</v>
      </c>
      <c r="B369" s="4" t="s">
        <v>978</v>
      </c>
      <c r="C369" s="4" t="s">
        <v>339</v>
      </c>
      <c r="D369" s="4" t="s">
        <v>24</v>
      </c>
      <c r="E369" s="5">
        <v>23743</v>
      </c>
      <c r="F369" s="4" t="s">
        <v>46</v>
      </c>
      <c r="G369" s="4" t="s">
        <v>35</v>
      </c>
      <c r="H369" s="4" t="s">
        <v>15</v>
      </c>
      <c r="I369" s="6">
        <v>50</v>
      </c>
      <c r="J369" s="7">
        <v>5000</v>
      </c>
    </row>
    <row r="370" spans="1:10" ht="15.75" customHeight="1" x14ac:dyDescent="0.25">
      <c r="A370" s="4">
        <v>25535</v>
      </c>
      <c r="B370" s="4" t="s">
        <v>975</v>
      </c>
      <c r="C370" s="4" t="s">
        <v>976</v>
      </c>
      <c r="D370" s="4" t="s">
        <v>24</v>
      </c>
      <c r="E370" s="5">
        <v>29469</v>
      </c>
      <c r="F370" s="4" t="s">
        <v>19</v>
      </c>
      <c r="G370" s="4" t="s">
        <v>20</v>
      </c>
      <c r="H370" s="4" t="s">
        <v>15</v>
      </c>
      <c r="I370" s="6">
        <v>51</v>
      </c>
      <c r="J370" s="7">
        <v>5100</v>
      </c>
    </row>
    <row r="371" spans="1:10" ht="15.75" customHeight="1" x14ac:dyDescent="0.25">
      <c r="A371" s="4">
        <v>21283</v>
      </c>
      <c r="B371" s="4" t="s">
        <v>965</v>
      </c>
      <c r="C371" s="4" t="s">
        <v>979</v>
      </c>
      <c r="D371" s="4" t="s">
        <v>12</v>
      </c>
      <c r="E371" s="5">
        <v>19952</v>
      </c>
      <c r="F371" s="4" t="s">
        <v>57</v>
      </c>
      <c r="G371" s="4" t="s">
        <v>35</v>
      </c>
      <c r="H371" s="4" t="s">
        <v>15</v>
      </c>
      <c r="I371" s="6">
        <v>48.96</v>
      </c>
      <c r="J371" s="7">
        <v>4896</v>
      </c>
    </row>
    <row r="372" spans="1:10" ht="15.75" customHeight="1" x14ac:dyDescent="0.25">
      <c r="A372" s="4">
        <v>26811</v>
      </c>
      <c r="B372" s="4" t="s">
        <v>973</v>
      </c>
      <c r="C372" s="4" t="s">
        <v>974</v>
      </c>
      <c r="D372" s="4" t="s">
        <v>12</v>
      </c>
      <c r="E372" s="5">
        <v>26817</v>
      </c>
      <c r="F372" s="4" t="s">
        <v>60</v>
      </c>
      <c r="G372" s="4" t="s">
        <v>20</v>
      </c>
      <c r="H372" s="4" t="s">
        <v>15</v>
      </c>
      <c r="I372" s="6">
        <v>52.2</v>
      </c>
      <c r="J372" s="7">
        <v>5220</v>
      </c>
    </row>
    <row r="373" spans="1:10" ht="15.75" customHeight="1" x14ac:dyDescent="0.25">
      <c r="A373" s="4">
        <v>21089</v>
      </c>
      <c r="B373" s="4" t="s">
        <v>981</v>
      </c>
      <c r="C373" s="4" t="s">
        <v>780</v>
      </c>
      <c r="D373" s="4" t="s">
        <v>12</v>
      </c>
      <c r="E373" s="5">
        <v>27810</v>
      </c>
      <c r="F373" s="4" t="s">
        <v>19</v>
      </c>
      <c r="G373" s="4" t="s">
        <v>20</v>
      </c>
      <c r="H373" s="4" t="s">
        <v>15</v>
      </c>
      <c r="I373" s="6">
        <v>45</v>
      </c>
      <c r="J373" s="7">
        <v>4500</v>
      </c>
    </row>
    <row r="374" spans="1:10" ht="15.75" customHeight="1" x14ac:dyDescent="0.25">
      <c r="A374" s="4">
        <v>20529</v>
      </c>
      <c r="B374" s="4" t="s">
        <v>983</v>
      </c>
      <c r="C374" s="4" t="s">
        <v>341</v>
      </c>
      <c r="D374" s="4" t="s">
        <v>12</v>
      </c>
      <c r="E374" s="5">
        <v>32224</v>
      </c>
      <c r="F374" s="4" t="s">
        <v>48</v>
      </c>
      <c r="G374" s="4" t="s">
        <v>20</v>
      </c>
      <c r="H374" s="4" t="s">
        <v>15</v>
      </c>
      <c r="I374" s="6">
        <v>38.64</v>
      </c>
      <c r="J374" s="7">
        <v>3864</v>
      </c>
    </row>
    <row r="375" spans="1:10" ht="15.75" customHeight="1" x14ac:dyDescent="0.25">
      <c r="A375" s="4">
        <v>122594</v>
      </c>
      <c r="B375" s="4" t="s">
        <v>983</v>
      </c>
      <c r="C375" s="4" t="s">
        <v>984</v>
      </c>
      <c r="D375" s="4" t="s">
        <v>12</v>
      </c>
      <c r="E375" s="5">
        <v>32808</v>
      </c>
      <c r="F375" s="4" t="s">
        <v>60</v>
      </c>
      <c r="G375" s="4" t="s">
        <v>20</v>
      </c>
      <c r="H375" s="4" t="s">
        <v>15</v>
      </c>
      <c r="I375" s="6">
        <v>42.16</v>
      </c>
      <c r="J375" s="7">
        <v>4216</v>
      </c>
    </row>
    <row r="376" spans="1:10" ht="15.75" customHeight="1" x14ac:dyDescent="0.25">
      <c r="A376" s="4">
        <v>139532</v>
      </c>
      <c r="B376" s="4" t="s">
        <v>983</v>
      </c>
      <c r="C376" s="4" t="s">
        <v>985</v>
      </c>
      <c r="D376" s="4" t="s">
        <v>12</v>
      </c>
      <c r="E376" s="5">
        <v>24590</v>
      </c>
      <c r="F376" s="4" t="s">
        <v>130</v>
      </c>
      <c r="G376" s="4" t="s">
        <v>20</v>
      </c>
      <c r="H376" s="4" t="s">
        <v>15</v>
      </c>
      <c r="I376" s="6">
        <v>32</v>
      </c>
      <c r="J376" s="7">
        <v>3200</v>
      </c>
    </row>
    <row r="377" spans="1:10" ht="15.75" customHeight="1" x14ac:dyDescent="0.25">
      <c r="A377" s="4">
        <v>22076</v>
      </c>
      <c r="B377" s="4" t="s">
        <v>983</v>
      </c>
      <c r="C377" s="4" t="s">
        <v>988</v>
      </c>
      <c r="D377" s="4" t="s">
        <v>12</v>
      </c>
      <c r="E377" s="5">
        <v>29757</v>
      </c>
      <c r="F377" s="4" t="s">
        <v>75</v>
      </c>
      <c r="G377" s="4" t="s">
        <v>20</v>
      </c>
      <c r="H377" s="4" t="s">
        <v>15</v>
      </c>
      <c r="I377" s="6">
        <v>27.93</v>
      </c>
      <c r="J377" s="7">
        <v>2793</v>
      </c>
    </row>
    <row r="378" spans="1:10" ht="15.75" customHeight="1" x14ac:dyDescent="0.25">
      <c r="A378" s="4">
        <v>94257</v>
      </c>
      <c r="B378" s="4" t="s">
        <v>983</v>
      </c>
      <c r="C378" s="4" t="s">
        <v>408</v>
      </c>
      <c r="D378" s="4" t="s">
        <v>12</v>
      </c>
      <c r="E378" s="5">
        <v>32706</v>
      </c>
      <c r="F378" s="4" t="s">
        <v>186</v>
      </c>
      <c r="G378" s="4" t="s">
        <v>20</v>
      </c>
      <c r="H378" s="4" t="s">
        <v>15</v>
      </c>
      <c r="I378" s="6">
        <v>26.95</v>
      </c>
      <c r="J378" s="7">
        <v>2695</v>
      </c>
    </row>
    <row r="379" spans="1:10" ht="15.75" customHeight="1" x14ac:dyDescent="0.25">
      <c r="A379" s="4">
        <v>22085</v>
      </c>
      <c r="B379" s="4" t="s">
        <v>986</v>
      </c>
      <c r="C379" s="4" t="s">
        <v>989</v>
      </c>
      <c r="D379" s="4" t="s">
        <v>12</v>
      </c>
      <c r="E379" s="5">
        <v>27805</v>
      </c>
      <c r="F379" s="4" t="s">
        <v>186</v>
      </c>
      <c r="G379" s="4" t="s">
        <v>20</v>
      </c>
      <c r="H379" s="4" t="s">
        <v>15</v>
      </c>
      <c r="I379" s="6">
        <v>25.97</v>
      </c>
      <c r="J379" s="7">
        <v>2597</v>
      </c>
    </row>
    <row r="380" spans="1:10" ht="15.75" customHeight="1" x14ac:dyDescent="0.25">
      <c r="A380" s="4">
        <v>125335</v>
      </c>
      <c r="B380" s="4" t="s">
        <v>986</v>
      </c>
      <c r="C380" s="4" t="s">
        <v>990</v>
      </c>
      <c r="D380" s="4" t="s">
        <v>12</v>
      </c>
      <c r="E380" s="5">
        <v>28104</v>
      </c>
      <c r="F380" s="4" t="s">
        <v>30</v>
      </c>
      <c r="G380" s="4" t="s">
        <v>20</v>
      </c>
      <c r="H380" s="4" t="s">
        <v>15</v>
      </c>
      <c r="I380" s="6">
        <v>24.96</v>
      </c>
      <c r="J380" s="7">
        <v>2496</v>
      </c>
    </row>
    <row r="381" spans="1:10" ht="15.75" customHeight="1" x14ac:dyDescent="0.25">
      <c r="A381" s="4">
        <v>24335</v>
      </c>
      <c r="B381" s="4" t="s">
        <v>991</v>
      </c>
      <c r="C381" s="4" t="s">
        <v>993</v>
      </c>
      <c r="D381" s="4" t="s">
        <v>12</v>
      </c>
      <c r="E381" s="5">
        <v>30939</v>
      </c>
      <c r="F381" s="4" t="s">
        <v>33</v>
      </c>
      <c r="G381" s="4" t="s">
        <v>20</v>
      </c>
      <c r="H381" s="4" t="s">
        <v>15</v>
      </c>
      <c r="I381" s="6">
        <v>16.8</v>
      </c>
      <c r="J381" s="7">
        <v>1680</v>
      </c>
    </row>
    <row r="382" spans="1:10" ht="15.75" customHeight="1" x14ac:dyDescent="0.25">
      <c r="A382" s="4">
        <v>134874</v>
      </c>
      <c r="B382" s="4" t="s">
        <v>991</v>
      </c>
      <c r="C382" s="4" t="s">
        <v>339</v>
      </c>
      <c r="D382" s="4" t="s">
        <v>12</v>
      </c>
      <c r="E382" s="5">
        <v>28825</v>
      </c>
      <c r="F382" s="4" t="s">
        <v>41</v>
      </c>
      <c r="G382" s="4" t="s">
        <v>20</v>
      </c>
      <c r="H382" s="4" t="s">
        <v>15</v>
      </c>
      <c r="I382" s="6">
        <v>17.010000000000002</v>
      </c>
      <c r="J382" s="7">
        <v>1701</v>
      </c>
    </row>
    <row r="383" spans="1:10" ht="15.75" customHeight="1" x14ac:dyDescent="0.25">
      <c r="A383" s="4">
        <v>131079</v>
      </c>
      <c r="B383" s="4" t="s">
        <v>998</v>
      </c>
      <c r="C383" s="4" t="s">
        <v>999</v>
      </c>
      <c r="D383" s="4" t="s">
        <v>12</v>
      </c>
      <c r="E383" s="5">
        <v>31547</v>
      </c>
      <c r="F383" s="4" t="s">
        <v>118</v>
      </c>
      <c r="G383" s="4" t="s">
        <v>20</v>
      </c>
      <c r="H383" s="4" t="s">
        <v>15</v>
      </c>
      <c r="I383" s="6">
        <v>5.83</v>
      </c>
      <c r="J383" s="7">
        <v>583</v>
      </c>
    </row>
    <row r="384" spans="1:10" ht="15.75" customHeight="1" x14ac:dyDescent="0.25">
      <c r="A384" s="4">
        <v>20513</v>
      </c>
      <c r="B384" s="4" t="s">
        <v>303</v>
      </c>
      <c r="C384" s="4" t="s">
        <v>307</v>
      </c>
      <c r="D384" s="4" t="s">
        <v>12</v>
      </c>
      <c r="E384" s="5">
        <v>29221</v>
      </c>
      <c r="F384" s="4" t="s">
        <v>21</v>
      </c>
      <c r="G384" s="4" t="s">
        <v>22</v>
      </c>
      <c r="H384" s="4" t="s">
        <v>23</v>
      </c>
      <c r="I384" s="6">
        <v>16364.28</v>
      </c>
      <c r="J384" s="7">
        <v>1636428</v>
      </c>
    </row>
    <row r="385" spans="1:10" ht="15.75" customHeight="1" x14ac:dyDescent="0.25">
      <c r="A385" s="4">
        <v>128245</v>
      </c>
      <c r="B385" s="4" t="s">
        <v>312</v>
      </c>
      <c r="C385" s="4" t="s">
        <v>313</v>
      </c>
      <c r="D385" s="4" t="s">
        <v>12</v>
      </c>
      <c r="E385" s="5">
        <v>28642</v>
      </c>
      <c r="F385" s="4" t="s">
        <v>27</v>
      </c>
      <c r="G385" s="4" t="s">
        <v>28</v>
      </c>
      <c r="H385" s="4" t="s">
        <v>23</v>
      </c>
      <c r="I385" s="6">
        <v>12402.48</v>
      </c>
      <c r="J385" s="7">
        <v>1240248</v>
      </c>
    </row>
    <row r="386" spans="1:10" ht="15.75" customHeight="1" x14ac:dyDescent="0.25">
      <c r="A386" s="4">
        <v>122186</v>
      </c>
      <c r="B386" s="4" t="s">
        <v>308</v>
      </c>
      <c r="C386" s="4" t="s">
        <v>309</v>
      </c>
      <c r="D386" s="4" t="s">
        <v>24</v>
      </c>
      <c r="E386" s="5">
        <v>32248</v>
      </c>
      <c r="F386" s="4" t="s">
        <v>25</v>
      </c>
      <c r="G386" s="4" t="s">
        <v>26</v>
      </c>
      <c r="H386" s="4" t="s">
        <v>23</v>
      </c>
      <c r="I386" s="6">
        <v>12800</v>
      </c>
      <c r="J386" s="7">
        <v>1280000</v>
      </c>
    </row>
    <row r="387" spans="1:10" ht="15.75" customHeight="1" x14ac:dyDescent="0.25">
      <c r="A387" s="4">
        <v>122822</v>
      </c>
      <c r="B387" s="4" t="s">
        <v>342</v>
      </c>
      <c r="C387" s="4" t="s">
        <v>343</v>
      </c>
      <c r="D387" s="4" t="s">
        <v>12</v>
      </c>
      <c r="E387" s="5">
        <v>28351</v>
      </c>
      <c r="F387" s="4" t="s">
        <v>45</v>
      </c>
      <c r="G387" s="4" t="s">
        <v>28</v>
      </c>
      <c r="H387" s="4" t="s">
        <v>23</v>
      </c>
      <c r="I387" s="6">
        <v>5499.45</v>
      </c>
      <c r="J387" s="7">
        <v>549945</v>
      </c>
    </row>
    <row r="388" spans="1:10" ht="15.75" customHeight="1" x14ac:dyDescent="0.25">
      <c r="A388" s="4">
        <v>41490</v>
      </c>
      <c r="B388" s="4" t="s">
        <v>351</v>
      </c>
      <c r="C388" s="4" t="s">
        <v>352</v>
      </c>
      <c r="D388" s="4" t="s">
        <v>12</v>
      </c>
      <c r="E388" s="5">
        <v>19457</v>
      </c>
      <c r="F388" s="4" t="s">
        <v>25</v>
      </c>
      <c r="G388" s="4" t="s">
        <v>26</v>
      </c>
      <c r="H388" s="4" t="s">
        <v>23</v>
      </c>
      <c r="I388" s="6">
        <v>4968.4799999999996</v>
      </c>
      <c r="J388" s="7">
        <v>496848</v>
      </c>
    </row>
    <row r="389" spans="1:10" ht="15.75" customHeight="1" x14ac:dyDescent="0.25">
      <c r="A389" s="4">
        <v>123939</v>
      </c>
      <c r="B389" s="4" t="s">
        <v>351</v>
      </c>
      <c r="C389" s="4" t="s">
        <v>358</v>
      </c>
      <c r="D389" s="4" t="s">
        <v>12</v>
      </c>
      <c r="E389" s="5">
        <v>32874</v>
      </c>
      <c r="F389" s="4" t="s">
        <v>45</v>
      </c>
      <c r="G389" s="4" t="s">
        <v>28</v>
      </c>
      <c r="H389" s="4" t="s">
        <v>23</v>
      </c>
      <c r="I389" s="6">
        <v>4242.55</v>
      </c>
      <c r="J389" s="7">
        <v>424255</v>
      </c>
    </row>
    <row r="390" spans="1:10" ht="15.75" customHeight="1" x14ac:dyDescent="0.25">
      <c r="A390" s="4">
        <v>124191</v>
      </c>
      <c r="B390" s="4" t="s">
        <v>316</v>
      </c>
      <c r="C390" s="4" t="s">
        <v>366</v>
      </c>
      <c r="D390" s="4" t="s">
        <v>12</v>
      </c>
      <c r="E390" s="5">
        <v>35312</v>
      </c>
      <c r="F390" s="4" t="s">
        <v>61</v>
      </c>
      <c r="G390" s="4" t="s">
        <v>26</v>
      </c>
      <c r="H390" s="4" t="s">
        <v>23</v>
      </c>
      <c r="I390" s="6">
        <v>3627.67</v>
      </c>
      <c r="J390" s="7">
        <v>362767</v>
      </c>
    </row>
    <row r="391" spans="1:10" ht="15.75" customHeight="1" x14ac:dyDescent="0.25">
      <c r="A391" s="4">
        <v>25437</v>
      </c>
      <c r="B391" s="4" t="s">
        <v>316</v>
      </c>
      <c r="C391" s="4" t="s">
        <v>376</v>
      </c>
      <c r="D391" s="4" t="s">
        <v>12</v>
      </c>
      <c r="E391" s="5">
        <v>30097</v>
      </c>
      <c r="F391" s="4" t="s">
        <v>65</v>
      </c>
      <c r="G391" s="4" t="s">
        <v>17</v>
      </c>
      <c r="H391" s="4" t="s">
        <v>23</v>
      </c>
      <c r="I391" s="6">
        <v>3114.28</v>
      </c>
      <c r="J391" s="7">
        <v>311428</v>
      </c>
    </row>
    <row r="392" spans="1:10" ht="15.75" customHeight="1" x14ac:dyDescent="0.25">
      <c r="A392" s="4">
        <v>22036</v>
      </c>
      <c r="B392" s="4" t="s">
        <v>316</v>
      </c>
      <c r="C392" s="4" t="s">
        <v>339</v>
      </c>
      <c r="D392" s="4" t="s">
        <v>12</v>
      </c>
      <c r="E392" s="5">
        <v>22799</v>
      </c>
      <c r="F392" s="4" t="s">
        <v>25</v>
      </c>
      <c r="G392" s="4" t="s">
        <v>26</v>
      </c>
      <c r="H392" s="4" t="s">
        <v>23</v>
      </c>
      <c r="I392" s="6">
        <v>3245.76</v>
      </c>
      <c r="J392" s="7">
        <v>324576</v>
      </c>
    </row>
    <row r="393" spans="1:10" ht="15.75" customHeight="1" x14ac:dyDescent="0.25">
      <c r="A393" s="4">
        <v>127029</v>
      </c>
      <c r="B393" s="4" t="s">
        <v>316</v>
      </c>
      <c r="C393" s="4" t="s">
        <v>363</v>
      </c>
      <c r="D393" s="4" t="s">
        <v>12</v>
      </c>
      <c r="E393" s="5">
        <v>31798</v>
      </c>
      <c r="F393" s="4" t="s">
        <v>59</v>
      </c>
      <c r="G393" s="4" t="s">
        <v>28</v>
      </c>
      <c r="H393" s="4" t="s">
        <v>23</v>
      </c>
      <c r="I393" s="6">
        <v>3727.1</v>
      </c>
      <c r="J393" s="7">
        <v>372710</v>
      </c>
    </row>
    <row r="394" spans="1:10" ht="15.75" customHeight="1" x14ac:dyDescent="0.25">
      <c r="A394" s="4">
        <v>31074</v>
      </c>
      <c r="B394" s="4" t="s">
        <v>380</v>
      </c>
      <c r="C394" s="4" t="s">
        <v>381</v>
      </c>
      <c r="D394" s="4" t="s">
        <v>12</v>
      </c>
      <c r="E394" s="5">
        <v>33297</v>
      </c>
      <c r="F394" s="4" t="s">
        <v>68</v>
      </c>
      <c r="G394" s="4" t="s">
        <v>28</v>
      </c>
      <c r="H394" s="4" t="s">
        <v>23</v>
      </c>
      <c r="I394" s="6">
        <v>2907.52</v>
      </c>
      <c r="J394" s="7">
        <v>290752</v>
      </c>
    </row>
    <row r="395" spans="1:10" ht="15.75" customHeight="1" x14ac:dyDescent="0.25">
      <c r="A395" s="4">
        <v>129557</v>
      </c>
      <c r="B395" s="4" t="s">
        <v>371</v>
      </c>
      <c r="C395" s="4" t="s">
        <v>382</v>
      </c>
      <c r="D395" s="4" t="s">
        <v>24</v>
      </c>
      <c r="E395" s="5">
        <v>29351</v>
      </c>
      <c r="F395" s="4" t="s">
        <v>65</v>
      </c>
      <c r="G395" s="4" t="s">
        <v>17</v>
      </c>
      <c r="H395" s="4" t="s">
        <v>23</v>
      </c>
      <c r="I395" s="6">
        <v>2889.6</v>
      </c>
      <c r="J395" s="7">
        <v>288960</v>
      </c>
    </row>
    <row r="396" spans="1:10" ht="15.75" customHeight="1" x14ac:dyDescent="0.25">
      <c r="A396" s="4">
        <v>21389</v>
      </c>
      <c r="B396" s="4" t="s">
        <v>377</v>
      </c>
      <c r="C396" s="4" t="s">
        <v>339</v>
      </c>
      <c r="D396" s="4" t="s">
        <v>24</v>
      </c>
      <c r="E396" s="5">
        <v>25134</v>
      </c>
      <c r="F396" s="4" t="s">
        <v>66</v>
      </c>
      <c r="G396" s="4" t="s">
        <v>26</v>
      </c>
      <c r="H396" s="4" t="s">
        <v>23</v>
      </c>
      <c r="I396" s="6">
        <v>3049.39</v>
      </c>
      <c r="J396" s="7">
        <v>304939</v>
      </c>
    </row>
    <row r="397" spans="1:10" ht="15.75" customHeight="1" x14ac:dyDescent="0.25">
      <c r="A397" s="4">
        <v>126870</v>
      </c>
      <c r="B397" s="4" t="s">
        <v>378</v>
      </c>
      <c r="C397" s="4" t="s">
        <v>379</v>
      </c>
      <c r="D397" s="4" t="s">
        <v>12</v>
      </c>
      <c r="E397" s="5">
        <v>29342</v>
      </c>
      <c r="F397" s="4" t="s">
        <v>67</v>
      </c>
      <c r="G397" s="4" t="s">
        <v>67</v>
      </c>
      <c r="H397" s="4" t="s">
        <v>23</v>
      </c>
      <c r="I397" s="6">
        <v>3006.96</v>
      </c>
      <c r="J397" s="7">
        <v>300696</v>
      </c>
    </row>
    <row r="398" spans="1:10" ht="15.75" customHeight="1" x14ac:dyDescent="0.25">
      <c r="A398" s="4">
        <v>127817</v>
      </c>
      <c r="B398" s="4" t="s">
        <v>393</v>
      </c>
      <c r="C398" s="4" t="s">
        <v>409</v>
      </c>
      <c r="D398" s="4" t="s">
        <v>12</v>
      </c>
      <c r="E398" s="5">
        <v>23590</v>
      </c>
      <c r="F398" s="4" t="s">
        <v>80</v>
      </c>
      <c r="G398" s="4" t="s">
        <v>26</v>
      </c>
      <c r="H398" s="4" t="s">
        <v>23</v>
      </c>
      <c r="I398" s="6">
        <v>2080</v>
      </c>
      <c r="J398" s="7">
        <v>208000</v>
      </c>
    </row>
    <row r="399" spans="1:10" ht="15.75" customHeight="1" x14ac:dyDescent="0.25">
      <c r="A399" s="4">
        <v>20995</v>
      </c>
      <c r="B399" s="4" t="s">
        <v>389</v>
      </c>
      <c r="C399" s="4" t="s">
        <v>390</v>
      </c>
      <c r="D399" s="4" t="s">
        <v>24</v>
      </c>
      <c r="E399" s="5">
        <v>26562</v>
      </c>
      <c r="F399" s="4" t="s">
        <v>73</v>
      </c>
      <c r="G399" s="4" t="s">
        <v>74</v>
      </c>
      <c r="H399" s="4" t="s">
        <v>23</v>
      </c>
      <c r="I399" s="6">
        <v>2553.39</v>
      </c>
      <c r="J399" s="7">
        <v>255339</v>
      </c>
    </row>
    <row r="400" spans="1:10" ht="15.75" customHeight="1" x14ac:dyDescent="0.25">
      <c r="A400" s="4">
        <v>129382</v>
      </c>
      <c r="B400" s="4" t="s">
        <v>402</v>
      </c>
      <c r="C400" s="4" t="s">
        <v>403</v>
      </c>
      <c r="D400" s="4" t="s">
        <v>12</v>
      </c>
      <c r="E400" s="5">
        <v>22074</v>
      </c>
      <c r="F400" s="4" t="s">
        <v>77</v>
      </c>
      <c r="G400" s="4" t="s">
        <v>26</v>
      </c>
      <c r="H400" s="4" t="s">
        <v>23</v>
      </c>
      <c r="I400" s="6">
        <v>2268</v>
      </c>
      <c r="J400" s="7">
        <v>226800</v>
      </c>
    </row>
    <row r="401" spans="1:10" ht="15.75" customHeight="1" x14ac:dyDescent="0.25">
      <c r="A401" s="4">
        <v>25689</v>
      </c>
      <c r="B401" s="4" t="s">
        <v>399</v>
      </c>
      <c r="C401" s="4" t="s">
        <v>404</v>
      </c>
      <c r="D401" s="4" t="s">
        <v>12</v>
      </c>
      <c r="E401" s="5">
        <v>29865</v>
      </c>
      <c r="F401" s="4" t="s">
        <v>61</v>
      </c>
      <c r="G401" s="4" t="s">
        <v>26</v>
      </c>
      <c r="H401" s="4" t="s">
        <v>23</v>
      </c>
      <c r="I401" s="6">
        <v>2231.46</v>
      </c>
      <c r="J401" s="7">
        <v>223146</v>
      </c>
    </row>
    <row r="402" spans="1:10" ht="15.75" customHeight="1" x14ac:dyDescent="0.25">
      <c r="A402" s="4">
        <v>20786</v>
      </c>
      <c r="B402" s="4" t="s">
        <v>411</v>
      </c>
      <c r="C402" s="4" t="s">
        <v>412</v>
      </c>
      <c r="D402" s="4" t="s">
        <v>24</v>
      </c>
      <c r="E402" s="5">
        <v>29989</v>
      </c>
      <c r="F402" s="4" t="s">
        <v>82</v>
      </c>
      <c r="G402" s="4" t="s">
        <v>22</v>
      </c>
      <c r="H402" s="4" t="s">
        <v>23</v>
      </c>
      <c r="I402" s="6">
        <v>2027.35</v>
      </c>
      <c r="J402" s="7">
        <v>202735</v>
      </c>
    </row>
    <row r="403" spans="1:10" ht="15.75" customHeight="1" x14ac:dyDescent="0.25">
      <c r="A403" s="4">
        <v>25330</v>
      </c>
      <c r="B403" s="4" t="s">
        <v>423</v>
      </c>
      <c r="C403" s="4" t="s">
        <v>406</v>
      </c>
      <c r="D403" s="4" t="s">
        <v>12</v>
      </c>
      <c r="E403" s="5">
        <v>29057</v>
      </c>
      <c r="F403" s="4" t="s">
        <v>61</v>
      </c>
      <c r="G403" s="4" t="s">
        <v>26</v>
      </c>
      <c r="H403" s="4" t="s">
        <v>23</v>
      </c>
      <c r="I403" s="6">
        <v>1764.72</v>
      </c>
      <c r="J403" s="7">
        <v>176472</v>
      </c>
    </row>
    <row r="404" spans="1:10" ht="15.75" customHeight="1" x14ac:dyDescent="0.25">
      <c r="A404" s="4">
        <v>20947</v>
      </c>
      <c r="B404" s="4" t="s">
        <v>413</v>
      </c>
      <c r="C404" s="4" t="s">
        <v>415</v>
      </c>
      <c r="D404" s="4" t="s">
        <v>12</v>
      </c>
      <c r="E404" s="5">
        <v>28217</v>
      </c>
      <c r="F404" s="4" t="s">
        <v>87</v>
      </c>
      <c r="G404" s="4" t="s">
        <v>28</v>
      </c>
      <c r="H404" s="4" t="s">
        <v>23</v>
      </c>
      <c r="I404" s="6">
        <v>1890</v>
      </c>
      <c r="J404" s="7">
        <v>189000</v>
      </c>
    </row>
    <row r="405" spans="1:10" ht="15.75" customHeight="1" x14ac:dyDescent="0.25">
      <c r="A405" s="4">
        <v>23980</v>
      </c>
      <c r="B405" s="4" t="s">
        <v>413</v>
      </c>
      <c r="C405" s="4" t="s">
        <v>437</v>
      </c>
      <c r="D405" s="4" t="s">
        <v>12</v>
      </c>
      <c r="E405" s="5">
        <v>27865</v>
      </c>
      <c r="F405" s="4" t="s">
        <v>94</v>
      </c>
      <c r="G405" s="4" t="s">
        <v>28</v>
      </c>
      <c r="H405" s="4" t="s">
        <v>23</v>
      </c>
      <c r="I405" s="6">
        <v>1650</v>
      </c>
      <c r="J405" s="7">
        <v>165000</v>
      </c>
    </row>
    <row r="406" spans="1:10" ht="15.75" customHeight="1" x14ac:dyDescent="0.25">
      <c r="A406" s="4">
        <v>23131</v>
      </c>
      <c r="B406" s="4" t="s">
        <v>438</v>
      </c>
      <c r="C406" s="4" t="s">
        <v>372</v>
      </c>
      <c r="D406" s="4" t="s">
        <v>12</v>
      </c>
      <c r="E406" s="5">
        <v>33</v>
      </c>
      <c r="F406" s="4" t="s">
        <v>95</v>
      </c>
      <c r="G406" s="4" t="s">
        <v>28</v>
      </c>
      <c r="H406" s="4" t="s">
        <v>23</v>
      </c>
      <c r="I406" s="6">
        <v>1650</v>
      </c>
      <c r="J406" s="7">
        <v>165000</v>
      </c>
    </row>
    <row r="407" spans="1:10" ht="15.75" customHeight="1" x14ac:dyDescent="0.25">
      <c r="A407" s="4">
        <v>25285</v>
      </c>
      <c r="B407" s="4" t="s">
        <v>431</v>
      </c>
      <c r="C407" s="4" t="s">
        <v>432</v>
      </c>
      <c r="D407" s="4" t="s">
        <v>12</v>
      </c>
      <c r="E407" s="5">
        <v>20009</v>
      </c>
      <c r="F407" s="4" t="s">
        <v>80</v>
      </c>
      <c r="G407" s="4" t="s">
        <v>26</v>
      </c>
      <c r="H407" s="4" t="s">
        <v>23</v>
      </c>
      <c r="I407" s="6">
        <v>1663.47</v>
      </c>
      <c r="J407" s="7">
        <v>166347</v>
      </c>
    </row>
    <row r="408" spans="1:10" ht="15.75" customHeight="1" x14ac:dyDescent="0.25">
      <c r="A408" s="4">
        <v>20463</v>
      </c>
      <c r="B408" s="4" t="s">
        <v>429</v>
      </c>
      <c r="C408" s="4" t="s">
        <v>430</v>
      </c>
      <c r="D408" s="4" t="s">
        <v>12</v>
      </c>
      <c r="E408" s="5">
        <v>28270</v>
      </c>
      <c r="F408" s="4" t="s">
        <v>91</v>
      </c>
      <c r="G408" s="4" t="s">
        <v>22</v>
      </c>
      <c r="H408" s="4" t="s">
        <v>23</v>
      </c>
      <c r="I408" s="6">
        <v>1670.9</v>
      </c>
      <c r="J408" s="7">
        <v>167090</v>
      </c>
    </row>
    <row r="409" spans="1:10" ht="15.75" customHeight="1" x14ac:dyDescent="0.25">
      <c r="A409" s="4">
        <v>27310</v>
      </c>
      <c r="B409" s="4" t="s">
        <v>448</v>
      </c>
      <c r="C409" s="4" t="s">
        <v>454</v>
      </c>
      <c r="D409" s="4" t="s">
        <v>12</v>
      </c>
      <c r="E409" s="5">
        <v>22818</v>
      </c>
      <c r="F409" s="4" t="s">
        <v>80</v>
      </c>
      <c r="G409" s="4" t="s">
        <v>26</v>
      </c>
      <c r="H409" s="4" t="s">
        <v>23</v>
      </c>
      <c r="I409" s="6">
        <v>1437.7</v>
      </c>
      <c r="J409" s="7">
        <v>143770</v>
      </c>
    </row>
    <row r="410" spans="1:10" ht="15.75" customHeight="1" x14ac:dyDescent="0.25">
      <c r="A410" s="4">
        <v>123827</v>
      </c>
      <c r="B410" s="4" t="s">
        <v>448</v>
      </c>
      <c r="C410" s="4" t="s">
        <v>471</v>
      </c>
      <c r="D410" s="4" t="s">
        <v>12</v>
      </c>
      <c r="E410" s="5">
        <v>30941</v>
      </c>
      <c r="F410" s="4" t="s">
        <v>27</v>
      </c>
      <c r="G410" s="4" t="s">
        <v>28</v>
      </c>
      <c r="H410" s="4" t="s">
        <v>23</v>
      </c>
      <c r="I410" s="6">
        <v>1377.47</v>
      </c>
      <c r="J410" s="7">
        <v>137747</v>
      </c>
    </row>
    <row r="411" spans="1:10" ht="15.75" customHeight="1" x14ac:dyDescent="0.25">
      <c r="A411" s="4">
        <v>22557</v>
      </c>
      <c r="B411" s="4" t="s">
        <v>442</v>
      </c>
      <c r="C411" s="4" t="s">
        <v>443</v>
      </c>
      <c r="D411" s="4" t="s">
        <v>12</v>
      </c>
      <c r="E411" s="5">
        <v>33879</v>
      </c>
      <c r="F411" s="4" t="s">
        <v>97</v>
      </c>
      <c r="G411" s="4" t="s">
        <v>26</v>
      </c>
      <c r="H411" s="4" t="s">
        <v>23</v>
      </c>
      <c r="I411" s="6">
        <v>1564.04</v>
      </c>
      <c r="J411" s="7">
        <v>156404</v>
      </c>
    </row>
    <row r="412" spans="1:10" ht="15.75" customHeight="1" x14ac:dyDescent="0.25">
      <c r="A412" s="4">
        <v>133794</v>
      </c>
      <c r="B412" s="4" t="s">
        <v>484</v>
      </c>
      <c r="C412" s="4" t="s">
        <v>485</v>
      </c>
      <c r="D412" s="4" t="s">
        <v>24</v>
      </c>
      <c r="E412" s="5">
        <v>30784</v>
      </c>
      <c r="F412" s="4" t="s">
        <v>105</v>
      </c>
      <c r="G412" s="4" t="s">
        <v>26</v>
      </c>
      <c r="H412" s="4" t="s">
        <v>23</v>
      </c>
      <c r="I412" s="6">
        <v>1250</v>
      </c>
      <c r="J412" s="7">
        <v>125000</v>
      </c>
    </row>
    <row r="413" spans="1:10" ht="15.75" customHeight="1" x14ac:dyDescent="0.25">
      <c r="A413" s="4">
        <v>20492</v>
      </c>
      <c r="B413" s="4" t="s">
        <v>450</v>
      </c>
      <c r="C413" s="4" t="s">
        <v>451</v>
      </c>
      <c r="D413" s="4" t="s">
        <v>12</v>
      </c>
      <c r="E413" s="5">
        <v>22842</v>
      </c>
      <c r="F413" s="4" t="s">
        <v>98</v>
      </c>
      <c r="G413" s="4" t="s">
        <v>28</v>
      </c>
      <c r="H413" s="4" t="s">
        <v>23</v>
      </c>
      <c r="I413" s="6">
        <v>1446</v>
      </c>
      <c r="J413" s="7">
        <v>144600</v>
      </c>
    </row>
    <row r="414" spans="1:10" ht="15.75" customHeight="1" x14ac:dyDescent="0.25">
      <c r="A414" s="4">
        <v>24629</v>
      </c>
      <c r="B414" s="4" t="s">
        <v>477</v>
      </c>
      <c r="C414" s="4" t="s">
        <v>478</v>
      </c>
      <c r="D414" s="4" t="s">
        <v>12</v>
      </c>
      <c r="E414" s="5">
        <v>23500</v>
      </c>
      <c r="F414" s="4" t="s">
        <v>25</v>
      </c>
      <c r="G414" s="4" t="s">
        <v>26</v>
      </c>
      <c r="H414" s="4" t="s">
        <v>23</v>
      </c>
      <c r="I414" s="6">
        <v>1297.08</v>
      </c>
      <c r="J414" s="7">
        <v>129708</v>
      </c>
    </row>
    <row r="415" spans="1:10" ht="15.75" customHeight="1" x14ac:dyDescent="0.25">
      <c r="A415" s="4">
        <v>129289</v>
      </c>
      <c r="B415" s="4" t="s">
        <v>508</v>
      </c>
      <c r="C415" s="4" t="s">
        <v>509</v>
      </c>
      <c r="D415" s="4" t="s">
        <v>12</v>
      </c>
      <c r="E415" s="5">
        <v>27765</v>
      </c>
      <c r="F415" s="4" t="s">
        <v>98</v>
      </c>
      <c r="G415" s="4" t="s">
        <v>28</v>
      </c>
      <c r="H415" s="4" t="s">
        <v>23</v>
      </c>
      <c r="I415" s="6">
        <v>1111.8</v>
      </c>
      <c r="J415" s="7">
        <v>111180</v>
      </c>
    </row>
    <row r="416" spans="1:10" ht="15.75" customHeight="1" x14ac:dyDescent="0.25">
      <c r="A416" s="4">
        <v>21625</v>
      </c>
      <c r="B416" s="4" t="s">
        <v>452</v>
      </c>
      <c r="C416" s="4" t="s">
        <v>453</v>
      </c>
      <c r="D416" s="4" t="s">
        <v>12</v>
      </c>
      <c r="E416" s="5">
        <v>22811</v>
      </c>
      <c r="F416" s="4" t="s">
        <v>73</v>
      </c>
      <c r="G416" s="4" t="s">
        <v>74</v>
      </c>
      <c r="H416" s="4" t="s">
        <v>23</v>
      </c>
      <c r="I416" s="6">
        <v>1438.14</v>
      </c>
      <c r="J416" s="7">
        <v>143814</v>
      </c>
    </row>
    <row r="417" spans="1:10" ht="15.75" customHeight="1" x14ac:dyDescent="0.25">
      <c r="A417" s="4">
        <v>38732</v>
      </c>
      <c r="B417" s="4" t="s">
        <v>467</v>
      </c>
      <c r="C417" s="4" t="s">
        <v>416</v>
      </c>
      <c r="D417" s="4" t="s">
        <v>12</v>
      </c>
      <c r="E417" s="5">
        <v>23746</v>
      </c>
      <c r="F417" s="4" t="s">
        <v>109</v>
      </c>
      <c r="G417" s="4" t="s">
        <v>26</v>
      </c>
      <c r="H417" s="4" t="s">
        <v>23</v>
      </c>
      <c r="I417" s="6">
        <v>1214.81</v>
      </c>
      <c r="J417" s="7">
        <v>121481</v>
      </c>
    </row>
    <row r="418" spans="1:10" ht="15.75" customHeight="1" x14ac:dyDescent="0.25">
      <c r="A418" s="4">
        <v>21620</v>
      </c>
      <c r="B418" s="4" t="s">
        <v>481</v>
      </c>
      <c r="C418" s="4" t="s">
        <v>482</v>
      </c>
      <c r="D418" s="4" t="s">
        <v>12</v>
      </c>
      <c r="E418" s="5">
        <v>26069</v>
      </c>
      <c r="F418" s="4" t="s">
        <v>73</v>
      </c>
      <c r="G418" s="4" t="s">
        <v>74</v>
      </c>
      <c r="H418" s="4" t="s">
        <v>23</v>
      </c>
      <c r="I418" s="6">
        <v>1273.67</v>
      </c>
      <c r="J418" s="7">
        <v>127367</v>
      </c>
    </row>
    <row r="419" spans="1:10" ht="15.75" customHeight="1" x14ac:dyDescent="0.25">
      <c r="A419" s="4">
        <v>128016</v>
      </c>
      <c r="B419" s="4" t="s">
        <v>525</v>
      </c>
      <c r="C419" s="4" t="s">
        <v>526</v>
      </c>
      <c r="D419" s="4" t="s">
        <v>12</v>
      </c>
      <c r="E419" s="5">
        <v>27692</v>
      </c>
      <c r="F419" s="4" t="s">
        <v>68</v>
      </c>
      <c r="G419" s="4" t="s">
        <v>28</v>
      </c>
      <c r="H419" s="4" t="s">
        <v>23</v>
      </c>
      <c r="I419" s="6">
        <v>1026.5999999999999</v>
      </c>
      <c r="J419" s="7">
        <v>102660</v>
      </c>
    </row>
    <row r="420" spans="1:10" ht="15.75" customHeight="1" x14ac:dyDescent="0.25">
      <c r="A420" s="4">
        <v>120830</v>
      </c>
      <c r="B420" s="4" t="s">
        <v>543</v>
      </c>
      <c r="C420" s="4" t="s">
        <v>544</v>
      </c>
      <c r="D420" s="4" t="s">
        <v>12</v>
      </c>
      <c r="E420" s="5">
        <v>27030</v>
      </c>
      <c r="F420" s="4" t="s">
        <v>65</v>
      </c>
      <c r="G420" s="4" t="s">
        <v>17</v>
      </c>
      <c r="H420" s="4" t="s">
        <v>23</v>
      </c>
      <c r="I420" s="6">
        <v>941.76</v>
      </c>
      <c r="J420" s="7">
        <v>94176</v>
      </c>
    </row>
    <row r="421" spans="1:10" ht="15.75" customHeight="1" x14ac:dyDescent="0.25">
      <c r="A421" s="4">
        <v>23699</v>
      </c>
      <c r="B421" s="4" t="s">
        <v>506</v>
      </c>
      <c r="C421" s="4" t="s">
        <v>507</v>
      </c>
      <c r="D421" s="4" t="s">
        <v>24</v>
      </c>
      <c r="E421" s="5">
        <v>27186</v>
      </c>
      <c r="F421" s="4" t="s">
        <v>25</v>
      </c>
      <c r="G421" s="4" t="s">
        <v>26</v>
      </c>
      <c r="H421" s="4" t="s">
        <v>23</v>
      </c>
      <c r="I421" s="6">
        <v>1118.9000000000001</v>
      </c>
      <c r="J421" s="7">
        <v>111890</v>
      </c>
    </row>
    <row r="422" spans="1:10" ht="15.75" customHeight="1" x14ac:dyDescent="0.25">
      <c r="A422" s="4">
        <v>22396</v>
      </c>
      <c r="B422" s="4" t="s">
        <v>555</v>
      </c>
      <c r="C422" s="4" t="s">
        <v>454</v>
      </c>
      <c r="D422" s="4" t="s">
        <v>12</v>
      </c>
      <c r="E422" s="5">
        <v>28682</v>
      </c>
      <c r="F422" s="4" t="s">
        <v>45</v>
      </c>
      <c r="G422" s="4" t="s">
        <v>28</v>
      </c>
      <c r="H422" s="4" t="s">
        <v>23</v>
      </c>
      <c r="I422" s="6">
        <v>875.03</v>
      </c>
      <c r="J422" s="7">
        <v>87503</v>
      </c>
    </row>
    <row r="423" spans="1:10" ht="15.75" customHeight="1" x14ac:dyDescent="0.25">
      <c r="A423" s="4">
        <v>130329</v>
      </c>
      <c r="B423" s="4" t="s">
        <v>553</v>
      </c>
      <c r="C423" s="4" t="s">
        <v>554</v>
      </c>
      <c r="D423" s="4" t="s">
        <v>12</v>
      </c>
      <c r="E423" s="5">
        <v>27205</v>
      </c>
      <c r="F423" s="4" t="s">
        <v>59</v>
      </c>
      <c r="G423" s="4" t="s">
        <v>28</v>
      </c>
      <c r="H423" s="4" t="s">
        <v>23</v>
      </c>
      <c r="I423" s="6">
        <v>887.22</v>
      </c>
      <c r="J423" s="7">
        <v>88722</v>
      </c>
    </row>
    <row r="424" spans="1:10" ht="15.75" customHeight="1" x14ac:dyDescent="0.25">
      <c r="A424" s="4">
        <v>21509</v>
      </c>
      <c r="B424" s="4" t="s">
        <v>533</v>
      </c>
      <c r="C424" s="4" t="s">
        <v>534</v>
      </c>
      <c r="D424" s="4" t="s">
        <v>24</v>
      </c>
      <c r="E424" s="5">
        <v>28486</v>
      </c>
      <c r="F424" s="4" t="s">
        <v>94</v>
      </c>
      <c r="G424" s="4" t="s">
        <v>28</v>
      </c>
      <c r="H424" s="4" t="s">
        <v>23</v>
      </c>
      <c r="I424" s="6">
        <v>1005</v>
      </c>
      <c r="J424" s="7">
        <v>100500</v>
      </c>
    </row>
    <row r="425" spans="1:10" ht="15.75" customHeight="1" x14ac:dyDescent="0.25">
      <c r="A425" s="4">
        <v>129792</v>
      </c>
      <c r="B425" s="4" t="s">
        <v>545</v>
      </c>
      <c r="C425" s="4" t="s">
        <v>567</v>
      </c>
      <c r="D425" s="4" t="s">
        <v>12</v>
      </c>
      <c r="E425" s="5">
        <v>24479</v>
      </c>
      <c r="F425" s="4" t="s">
        <v>61</v>
      </c>
      <c r="G425" s="4" t="s">
        <v>26</v>
      </c>
      <c r="H425" s="4" t="s">
        <v>23</v>
      </c>
      <c r="I425" s="6">
        <v>832.16</v>
      </c>
      <c r="J425" s="7">
        <v>83216</v>
      </c>
    </row>
    <row r="426" spans="1:10" ht="15.75" customHeight="1" x14ac:dyDescent="0.25">
      <c r="A426" s="4">
        <v>26313</v>
      </c>
      <c r="B426" s="4" t="s">
        <v>545</v>
      </c>
      <c r="C426" s="4" t="s">
        <v>449</v>
      </c>
      <c r="D426" s="4" t="s">
        <v>12</v>
      </c>
      <c r="E426" s="5">
        <v>31565</v>
      </c>
      <c r="F426" s="4" t="s">
        <v>21</v>
      </c>
      <c r="G426" s="4" t="s">
        <v>22</v>
      </c>
      <c r="H426" s="4" t="s">
        <v>23</v>
      </c>
      <c r="I426" s="6">
        <v>934.92</v>
      </c>
      <c r="J426" s="7">
        <v>93492</v>
      </c>
    </row>
    <row r="427" spans="1:10" ht="15.75" customHeight="1" x14ac:dyDescent="0.25">
      <c r="A427" s="4">
        <v>137765</v>
      </c>
      <c r="B427" s="4" t="s">
        <v>565</v>
      </c>
      <c r="C427" s="4" t="s">
        <v>566</v>
      </c>
      <c r="D427" s="4" t="s">
        <v>12</v>
      </c>
      <c r="E427" s="5">
        <v>30687</v>
      </c>
      <c r="F427" s="4" t="s">
        <v>120</v>
      </c>
      <c r="G427" s="4" t="s">
        <v>28</v>
      </c>
      <c r="H427" s="4" t="s">
        <v>23</v>
      </c>
      <c r="I427" s="6">
        <v>838.1</v>
      </c>
      <c r="J427" s="7">
        <v>83810</v>
      </c>
    </row>
    <row r="428" spans="1:10" ht="15.75" customHeight="1" x14ac:dyDescent="0.25">
      <c r="A428" s="4">
        <v>21895</v>
      </c>
      <c r="B428" s="4" t="s">
        <v>584</v>
      </c>
      <c r="C428" s="4" t="s">
        <v>585</v>
      </c>
      <c r="D428" s="4" t="s">
        <v>24</v>
      </c>
      <c r="E428" s="5">
        <v>31994</v>
      </c>
      <c r="F428" s="4" t="s">
        <v>45</v>
      </c>
      <c r="G428" s="4" t="s">
        <v>28</v>
      </c>
      <c r="H428" s="4" t="s">
        <v>23</v>
      </c>
      <c r="I428" s="6">
        <v>730.6</v>
      </c>
      <c r="J428" s="7">
        <v>73060</v>
      </c>
    </row>
    <row r="429" spans="1:10" ht="15.75" customHeight="1" x14ac:dyDescent="0.25">
      <c r="A429" s="4">
        <v>136940</v>
      </c>
      <c r="B429" s="4" t="s">
        <v>556</v>
      </c>
      <c r="C429" s="4" t="s">
        <v>559</v>
      </c>
      <c r="D429" s="4" t="s">
        <v>12</v>
      </c>
      <c r="E429" s="5">
        <v>27493</v>
      </c>
      <c r="F429" s="4" t="s">
        <v>77</v>
      </c>
      <c r="G429" s="4" t="s">
        <v>26</v>
      </c>
      <c r="H429" s="4" t="s">
        <v>23</v>
      </c>
      <c r="I429" s="6">
        <v>854</v>
      </c>
      <c r="J429" s="7">
        <v>85400</v>
      </c>
    </row>
    <row r="430" spans="1:10" ht="15.75" customHeight="1" x14ac:dyDescent="0.25">
      <c r="A430" s="4">
        <v>137115</v>
      </c>
      <c r="B430" s="4" t="s">
        <v>556</v>
      </c>
      <c r="C430" s="4" t="s">
        <v>568</v>
      </c>
      <c r="D430" s="4" t="s">
        <v>24</v>
      </c>
      <c r="E430" s="5">
        <v>17807</v>
      </c>
      <c r="F430" s="4" t="s">
        <v>25</v>
      </c>
      <c r="G430" s="4" t="s">
        <v>26</v>
      </c>
      <c r="H430" s="4" t="s">
        <v>23</v>
      </c>
      <c r="I430" s="6">
        <v>829.56</v>
      </c>
      <c r="J430" s="7">
        <v>82956</v>
      </c>
    </row>
    <row r="431" spans="1:10" ht="15.75" customHeight="1" x14ac:dyDescent="0.25">
      <c r="A431" s="4">
        <v>22244</v>
      </c>
      <c r="B431" s="4" t="s">
        <v>578</v>
      </c>
      <c r="C431" s="4" t="s">
        <v>355</v>
      </c>
      <c r="D431" s="4" t="s">
        <v>12</v>
      </c>
      <c r="E431" s="5">
        <v>23637</v>
      </c>
      <c r="F431" s="4" t="s">
        <v>120</v>
      </c>
      <c r="G431" s="4" t="s">
        <v>28</v>
      </c>
      <c r="H431" s="4" t="s">
        <v>23</v>
      </c>
      <c r="I431" s="6">
        <v>660</v>
      </c>
      <c r="J431" s="7">
        <v>66000</v>
      </c>
    </row>
    <row r="432" spans="1:10" ht="15.75" customHeight="1" x14ac:dyDescent="0.25">
      <c r="A432" s="4">
        <v>129923</v>
      </c>
      <c r="B432" s="4" t="s">
        <v>581</v>
      </c>
      <c r="C432" s="4" t="s">
        <v>513</v>
      </c>
      <c r="D432" s="4" t="s">
        <v>12</v>
      </c>
      <c r="E432" s="5">
        <v>31120</v>
      </c>
      <c r="F432" s="4" t="s">
        <v>61</v>
      </c>
      <c r="G432" s="4" t="s">
        <v>26</v>
      </c>
      <c r="H432" s="4" t="s">
        <v>23</v>
      </c>
      <c r="I432" s="6">
        <v>750.96</v>
      </c>
      <c r="J432" s="7">
        <v>75096</v>
      </c>
    </row>
    <row r="433" spans="1:10" ht="15.75" customHeight="1" x14ac:dyDescent="0.25">
      <c r="A433" s="4">
        <v>122569</v>
      </c>
      <c r="B433" s="4" t="s">
        <v>598</v>
      </c>
      <c r="C433" s="4" t="s">
        <v>599</v>
      </c>
      <c r="D433" s="4" t="s">
        <v>12</v>
      </c>
      <c r="E433" s="5">
        <v>32334</v>
      </c>
      <c r="F433" s="4" t="s">
        <v>126</v>
      </c>
      <c r="G433" s="4" t="s">
        <v>22</v>
      </c>
      <c r="H433" s="4" t="s">
        <v>23</v>
      </c>
      <c r="I433" s="6">
        <v>661.92</v>
      </c>
      <c r="J433" s="7">
        <v>66192</v>
      </c>
    </row>
    <row r="434" spans="1:10" ht="15.75" customHeight="1" x14ac:dyDescent="0.25">
      <c r="A434" s="4">
        <v>20718</v>
      </c>
      <c r="B434" s="4" t="s">
        <v>615</v>
      </c>
      <c r="C434" s="4" t="s">
        <v>637</v>
      </c>
      <c r="D434" s="4" t="s">
        <v>12</v>
      </c>
      <c r="E434" s="5">
        <v>30395</v>
      </c>
      <c r="F434" s="4" t="s">
        <v>136</v>
      </c>
      <c r="G434" s="4" t="s">
        <v>26</v>
      </c>
      <c r="H434" s="4" t="s">
        <v>23</v>
      </c>
      <c r="I434" s="6">
        <v>557.44000000000005</v>
      </c>
      <c r="J434" s="7">
        <v>55744</v>
      </c>
    </row>
    <row r="435" spans="1:10" ht="15.75" customHeight="1" x14ac:dyDescent="0.25">
      <c r="A435" s="4">
        <v>138260</v>
      </c>
      <c r="B435" s="4" t="s">
        <v>615</v>
      </c>
      <c r="C435" s="4" t="s">
        <v>616</v>
      </c>
      <c r="D435" s="4" t="s">
        <v>12</v>
      </c>
      <c r="E435" s="5">
        <v>21732</v>
      </c>
      <c r="F435" s="4" t="s">
        <v>109</v>
      </c>
      <c r="G435" s="4" t="s">
        <v>26</v>
      </c>
      <c r="H435" s="4" t="s">
        <v>23</v>
      </c>
      <c r="I435" s="6">
        <v>609.58000000000004</v>
      </c>
      <c r="J435" s="7">
        <v>60958</v>
      </c>
    </row>
    <row r="436" spans="1:10" ht="15.75" customHeight="1" x14ac:dyDescent="0.25">
      <c r="A436" s="4">
        <v>20611</v>
      </c>
      <c r="B436" s="4" t="s">
        <v>639</v>
      </c>
      <c r="C436" s="4" t="s">
        <v>640</v>
      </c>
      <c r="D436" s="4" t="s">
        <v>12</v>
      </c>
      <c r="E436" s="5">
        <v>30245</v>
      </c>
      <c r="F436" s="4" t="s">
        <v>61</v>
      </c>
      <c r="G436" s="4" t="s">
        <v>26</v>
      </c>
      <c r="H436" s="4" t="s">
        <v>23</v>
      </c>
      <c r="I436" s="6">
        <v>544.30999999999995</v>
      </c>
      <c r="J436" s="7">
        <v>54431</v>
      </c>
    </row>
    <row r="437" spans="1:10" ht="15.75" customHeight="1" x14ac:dyDescent="0.25">
      <c r="A437" s="4">
        <v>136414</v>
      </c>
      <c r="B437" s="4" t="s">
        <v>628</v>
      </c>
      <c r="C437" s="4" t="s">
        <v>629</v>
      </c>
      <c r="D437" s="4" t="s">
        <v>12</v>
      </c>
      <c r="E437" s="5">
        <v>30498</v>
      </c>
      <c r="F437" s="4" t="s">
        <v>91</v>
      </c>
      <c r="G437" s="4" t="s">
        <v>22</v>
      </c>
      <c r="H437" s="4" t="s">
        <v>23</v>
      </c>
      <c r="I437" s="6">
        <v>570</v>
      </c>
      <c r="J437" s="7">
        <v>57000</v>
      </c>
    </row>
    <row r="438" spans="1:10" ht="15.75" customHeight="1" x14ac:dyDescent="0.25">
      <c r="A438" s="4">
        <v>22352</v>
      </c>
      <c r="B438" s="4" t="s">
        <v>635</v>
      </c>
      <c r="C438" s="4" t="s">
        <v>636</v>
      </c>
      <c r="D438" s="4" t="s">
        <v>12</v>
      </c>
      <c r="E438" s="5">
        <v>32677</v>
      </c>
      <c r="F438" s="4" t="s">
        <v>77</v>
      </c>
      <c r="G438" s="4" t="s">
        <v>26</v>
      </c>
      <c r="H438" s="4" t="s">
        <v>23</v>
      </c>
      <c r="I438" s="6">
        <v>560</v>
      </c>
      <c r="J438" s="7">
        <v>56000</v>
      </c>
    </row>
    <row r="439" spans="1:10" ht="15.75" customHeight="1" x14ac:dyDescent="0.25">
      <c r="A439" s="4">
        <v>26647</v>
      </c>
      <c r="B439" s="4" t="s">
        <v>610</v>
      </c>
      <c r="C439" s="4" t="s">
        <v>611</v>
      </c>
      <c r="D439" s="4" t="s">
        <v>24</v>
      </c>
      <c r="E439" s="5">
        <v>28285</v>
      </c>
      <c r="F439" s="4" t="s">
        <v>98</v>
      </c>
      <c r="G439" s="4" t="s">
        <v>28</v>
      </c>
      <c r="H439" s="4" t="s">
        <v>23</v>
      </c>
      <c r="I439" s="6">
        <v>620</v>
      </c>
      <c r="J439" s="7">
        <v>62000</v>
      </c>
    </row>
    <row r="440" spans="1:10" ht="15.75" customHeight="1" x14ac:dyDescent="0.25">
      <c r="A440" s="4">
        <v>23092</v>
      </c>
      <c r="B440" s="4" t="s">
        <v>630</v>
      </c>
      <c r="C440" s="4" t="s">
        <v>425</v>
      </c>
      <c r="D440" s="4" t="s">
        <v>24</v>
      </c>
      <c r="E440" s="5">
        <v>26054</v>
      </c>
      <c r="F440" s="4" t="s">
        <v>45</v>
      </c>
      <c r="G440" s="4" t="s">
        <v>28</v>
      </c>
      <c r="H440" s="4" t="s">
        <v>23</v>
      </c>
      <c r="I440" s="6">
        <v>570</v>
      </c>
      <c r="J440" s="7">
        <v>57000</v>
      </c>
    </row>
    <row r="441" spans="1:10" ht="15.75" customHeight="1" x14ac:dyDescent="0.25">
      <c r="A441" s="4">
        <v>131432</v>
      </c>
      <c r="B441" s="4" t="s">
        <v>602</v>
      </c>
      <c r="C441" s="4" t="s">
        <v>339</v>
      </c>
      <c r="D441" s="4" t="s">
        <v>24</v>
      </c>
      <c r="E441" s="5">
        <v>26452</v>
      </c>
      <c r="F441" s="4" t="s">
        <v>141</v>
      </c>
      <c r="G441" s="4" t="s">
        <v>22</v>
      </c>
      <c r="H441" s="4" t="s">
        <v>23</v>
      </c>
      <c r="I441" s="6">
        <v>475</v>
      </c>
      <c r="J441" s="7">
        <v>47500</v>
      </c>
    </row>
    <row r="442" spans="1:10" ht="15.75" customHeight="1" x14ac:dyDescent="0.25">
      <c r="A442" s="4">
        <v>138327</v>
      </c>
      <c r="B442" s="4" t="s">
        <v>638</v>
      </c>
      <c r="C442" s="4" t="s">
        <v>662</v>
      </c>
      <c r="D442" s="4" t="s">
        <v>12</v>
      </c>
      <c r="E442" s="5">
        <v>23073</v>
      </c>
      <c r="F442" s="4" t="s">
        <v>67</v>
      </c>
      <c r="G442" s="4" t="s">
        <v>67</v>
      </c>
      <c r="H442" s="4" t="s">
        <v>23</v>
      </c>
      <c r="I442" s="6">
        <v>484.42</v>
      </c>
      <c r="J442" s="7">
        <v>48442</v>
      </c>
    </row>
    <row r="443" spans="1:10" ht="15.75" customHeight="1" x14ac:dyDescent="0.25">
      <c r="A443" s="4">
        <v>131726</v>
      </c>
      <c r="B443" s="4" t="s">
        <v>660</v>
      </c>
      <c r="C443" s="4" t="s">
        <v>585</v>
      </c>
      <c r="D443" s="4" t="s">
        <v>24</v>
      </c>
      <c r="E443" s="5">
        <v>25327</v>
      </c>
      <c r="F443" s="4" t="s">
        <v>148</v>
      </c>
      <c r="G443" s="4" t="s">
        <v>74</v>
      </c>
      <c r="H443" s="4" t="s">
        <v>23</v>
      </c>
      <c r="I443" s="6">
        <v>433.4</v>
      </c>
      <c r="J443" s="7">
        <v>43340</v>
      </c>
    </row>
    <row r="444" spans="1:10" ht="15.75" customHeight="1" x14ac:dyDescent="0.25">
      <c r="A444" s="4">
        <v>22924</v>
      </c>
      <c r="B444" s="4" t="s">
        <v>670</v>
      </c>
      <c r="C444" s="4" t="s">
        <v>680</v>
      </c>
      <c r="D444" s="4" t="s">
        <v>12</v>
      </c>
      <c r="E444" s="5">
        <v>30280</v>
      </c>
      <c r="F444" s="4" t="s">
        <v>87</v>
      </c>
      <c r="G444" s="4" t="s">
        <v>28</v>
      </c>
      <c r="H444" s="4" t="s">
        <v>23</v>
      </c>
      <c r="I444" s="6">
        <v>436.74</v>
      </c>
      <c r="J444" s="7">
        <v>43674</v>
      </c>
    </row>
    <row r="445" spans="1:10" ht="15.75" customHeight="1" x14ac:dyDescent="0.25">
      <c r="A445" s="4">
        <v>124135</v>
      </c>
      <c r="B445" s="4" t="s">
        <v>670</v>
      </c>
      <c r="C445" s="4" t="s">
        <v>697</v>
      </c>
      <c r="D445" s="4" t="s">
        <v>12</v>
      </c>
      <c r="E445" s="5">
        <v>26727</v>
      </c>
      <c r="F445" s="4" t="s">
        <v>61</v>
      </c>
      <c r="G445" s="4" t="s">
        <v>26</v>
      </c>
      <c r="H445" s="4" t="s">
        <v>23</v>
      </c>
      <c r="I445" s="6">
        <v>374.18</v>
      </c>
      <c r="J445" s="7">
        <v>37418</v>
      </c>
    </row>
    <row r="446" spans="1:10" ht="15.75" customHeight="1" x14ac:dyDescent="0.25">
      <c r="A446" s="4">
        <v>130364</v>
      </c>
      <c r="B446" s="4" t="s">
        <v>686</v>
      </c>
      <c r="C446" s="4" t="s">
        <v>687</v>
      </c>
      <c r="D446" s="4" t="s">
        <v>12</v>
      </c>
      <c r="E446" s="5">
        <v>32632</v>
      </c>
      <c r="F446" s="4" t="s">
        <v>87</v>
      </c>
      <c r="G446" s="4" t="s">
        <v>28</v>
      </c>
      <c r="H446" s="4" t="s">
        <v>23</v>
      </c>
      <c r="I446" s="6">
        <v>421.8</v>
      </c>
      <c r="J446" s="7">
        <v>42180</v>
      </c>
    </row>
    <row r="447" spans="1:10" ht="15.75" customHeight="1" x14ac:dyDescent="0.25">
      <c r="A447" s="4">
        <v>20660</v>
      </c>
      <c r="B447" s="4" t="s">
        <v>708</v>
      </c>
      <c r="C447" s="4" t="s">
        <v>709</v>
      </c>
      <c r="D447" s="4" t="s">
        <v>12</v>
      </c>
      <c r="E447" s="5">
        <v>25254</v>
      </c>
      <c r="F447" s="4" t="s">
        <v>66</v>
      </c>
      <c r="G447" s="4" t="s">
        <v>26</v>
      </c>
      <c r="H447" s="4" t="s">
        <v>23</v>
      </c>
      <c r="I447" s="6">
        <v>351</v>
      </c>
      <c r="J447" s="7">
        <v>35100</v>
      </c>
    </row>
    <row r="448" spans="1:10" ht="15.75" customHeight="1" x14ac:dyDescent="0.25">
      <c r="A448" s="4">
        <v>21823</v>
      </c>
      <c r="B448" s="4" t="s">
        <v>698</v>
      </c>
      <c r="C448" s="4" t="s">
        <v>699</v>
      </c>
      <c r="D448" s="4" t="s">
        <v>12</v>
      </c>
      <c r="E448" s="5">
        <v>32972</v>
      </c>
      <c r="F448" s="4" t="s">
        <v>151</v>
      </c>
      <c r="G448" s="4" t="s">
        <v>22</v>
      </c>
      <c r="H448" s="4" t="s">
        <v>23</v>
      </c>
      <c r="I448" s="6">
        <v>372</v>
      </c>
      <c r="J448" s="7">
        <v>37200</v>
      </c>
    </row>
    <row r="449" spans="1:10" ht="15.75" customHeight="1" x14ac:dyDescent="0.25">
      <c r="A449" s="4">
        <v>123347</v>
      </c>
      <c r="B449" s="4" t="s">
        <v>722</v>
      </c>
      <c r="C449" s="4" t="s">
        <v>432</v>
      </c>
      <c r="D449" s="4" t="s">
        <v>12</v>
      </c>
      <c r="E449" s="5">
        <v>34104</v>
      </c>
      <c r="F449" s="4" t="s">
        <v>80</v>
      </c>
      <c r="G449" s="4" t="s">
        <v>26</v>
      </c>
      <c r="H449" s="4" t="s">
        <v>23</v>
      </c>
      <c r="I449" s="6">
        <v>330</v>
      </c>
      <c r="J449" s="7">
        <v>33000</v>
      </c>
    </row>
    <row r="450" spans="1:10" ht="15.75" customHeight="1" x14ac:dyDescent="0.25">
      <c r="A450" s="4">
        <v>128553</v>
      </c>
      <c r="B450" s="4" t="s">
        <v>731</v>
      </c>
      <c r="C450" s="4" t="s">
        <v>732</v>
      </c>
      <c r="D450" s="4" t="s">
        <v>12</v>
      </c>
      <c r="E450" s="5">
        <v>32258</v>
      </c>
      <c r="F450" s="4" t="s">
        <v>98</v>
      </c>
      <c r="G450" s="4" t="s">
        <v>28</v>
      </c>
      <c r="H450" s="4" t="s">
        <v>23</v>
      </c>
      <c r="I450" s="6">
        <v>317.47000000000003</v>
      </c>
      <c r="J450" s="7">
        <v>31747</v>
      </c>
    </row>
    <row r="451" spans="1:10" ht="15.75" customHeight="1" x14ac:dyDescent="0.25">
      <c r="A451" s="4">
        <v>125298</v>
      </c>
      <c r="B451" s="4" t="s">
        <v>694</v>
      </c>
      <c r="C451" s="4" t="s">
        <v>367</v>
      </c>
      <c r="D451" s="4" t="s">
        <v>12</v>
      </c>
      <c r="E451" s="5">
        <v>32730</v>
      </c>
      <c r="F451" s="4" t="s">
        <v>120</v>
      </c>
      <c r="G451" s="4" t="s">
        <v>28</v>
      </c>
      <c r="H451" s="4" t="s">
        <v>23</v>
      </c>
      <c r="I451" s="6">
        <v>352.78</v>
      </c>
      <c r="J451" s="7">
        <v>35278</v>
      </c>
    </row>
    <row r="452" spans="1:10" ht="15.75" customHeight="1" x14ac:dyDescent="0.25">
      <c r="A452" s="4">
        <v>121725</v>
      </c>
      <c r="B452" s="4" t="s">
        <v>706</v>
      </c>
      <c r="C452" s="4" t="s">
        <v>707</v>
      </c>
      <c r="D452" s="4" t="s">
        <v>12</v>
      </c>
      <c r="E452" s="5">
        <v>32861</v>
      </c>
      <c r="F452" s="4" t="s">
        <v>61</v>
      </c>
      <c r="G452" s="4" t="s">
        <v>26</v>
      </c>
      <c r="H452" s="4" t="s">
        <v>23</v>
      </c>
      <c r="I452" s="6">
        <v>351.65</v>
      </c>
      <c r="J452" s="7">
        <v>35165</v>
      </c>
    </row>
    <row r="453" spans="1:10" ht="15.75" customHeight="1" x14ac:dyDescent="0.25">
      <c r="A453" s="4">
        <v>27355</v>
      </c>
      <c r="B453" s="4" t="s">
        <v>738</v>
      </c>
      <c r="C453" s="4" t="s">
        <v>739</v>
      </c>
      <c r="D453" s="4" t="s">
        <v>12</v>
      </c>
      <c r="E453" s="5">
        <v>31274</v>
      </c>
      <c r="F453" s="4" t="s">
        <v>77</v>
      </c>
      <c r="G453" s="4" t="s">
        <v>26</v>
      </c>
      <c r="H453" s="4" t="s">
        <v>23</v>
      </c>
      <c r="I453" s="6">
        <v>311.52</v>
      </c>
      <c r="J453" s="7">
        <v>31152</v>
      </c>
    </row>
    <row r="454" spans="1:10" ht="15.75" customHeight="1" x14ac:dyDescent="0.25">
      <c r="A454" s="4">
        <v>21141</v>
      </c>
      <c r="B454" s="4" t="s">
        <v>725</v>
      </c>
      <c r="C454" s="4" t="s">
        <v>369</v>
      </c>
      <c r="D454" s="4" t="s">
        <v>12</v>
      </c>
      <c r="E454" s="5">
        <v>25249</v>
      </c>
      <c r="F454" s="4" t="s">
        <v>65</v>
      </c>
      <c r="G454" s="4" t="s">
        <v>17</v>
      </c>
      <c r="H454" s="4" t="s">
        <v>23</v>
      </c>
      <c r="I454" s="6">
        <v>326.33999999999997</v>
      </c>
      <c r="J454" s="7">
        <v>32634</v>
      </c>
    </row>
    <row r="455" spans="1:10" ht="15.75" customHeight="1" x14ac:dyDescent="0.25">
      <c r="A455" s="4">
        <v>20598</v>
      </c>
      <c r="B455" s="4" t="s">
        <v>785</v>
      </c>
      <c r="C455" s="4" t="s">
        <v>786</v>
      </c>
      <c r="D455" s="4" t="s">
        <v>24</v>
      </c>
      <c r="E455" s="5">
        <v>26925</v>
      </c>
      <c r="F455" s="4" t="s">
        <v>66</v>
      </c>
      <c r="G455" s="4" t="s">
        <v>26</v>
      </c>
      <c r="H455" s="4" t="s">
        <v>23</v>
      </c>
      <c r="I455" s="6">
        <v>255</v>
      </c>
      <c r="J455" s="7">
        <v>25500</v>
      </c>
    </row>
    <row r="456" spans="1:10" ht="15.75" customHeight="1" x14ac:dyDescent="0.25">
      <c r="A456" s="4">
        <v>20957</v>
      </c>
      <c r="B456" s="4" t="s">
        <v>761</v>
      </c>
      <c r="C456" s="4" t="s">
        <v>768</v>
      </c>
      <c r="D456" s="4" t="s">
        <v>12</v>
      </c>
      <c r="E456" s="5">
        <v>31048</v>
      </c>
      <c r="F456" s="4" t="s">
        <v>98</v>
      </c>
      <c r="G456" s="4" t="s">
        <v>28</v>
      </c>
      <c r="H456" s="4" t="s">
        <v>23</v>
      </c>
      <c r="I456" s="6">
        <v>275</v>
      </c>
      <c r="J456" s="7">
        <v>27500</v>
      </c>
    </row>
    <row r="457" spans="1:10" ht="15.75" customHeight="1" x14ac:dyDescent="0.25">
      <c r="A457" s="4">
        <v>127056</v>
      </c>
      <c r="B457" s="4" t="s">
        <v>761</v>
      </c>
      <c r="C457" s="4" t="s">
        <v>762</v>
      </c>
      <c r="D457" s="4" t="s">
        <v>12</v>
      </c>
      <c r="E457" s="5">
        <v>24150</v>
      </c>
      <c r="F457" s="4" t="s">
        <v>98</v>
      </c>
      <c r="G457" s="4" t="s">
        <v>28</v>
      </c>
      <c r="H457" s="4" t="s">
        <v>23</v>
      </c>
      <c r="I457" s="6">
        <v>290</v>
      </c>
      <c r="J457" s="7">
        <v>29000</v>
      </c>
    </row>
    <row r="458" spans="1:10" ht="15.75" customHeight="1" x14ac:dyDescent="0.25">
      <c r="A458" s="4">
        <v>24866</v>
      </c>
      <c r="B458" s="4" t="s">
        <v>721</v>
      </c>
      <c r="C458" s="4" t="s">
        <v>360</v>
      </c>
      <c r="D458" s="4" t="s">
        <v>12</v>
      </c>
      <c r="E458" s="5">
        <v>31015</v>
      </c>
      <c r="F458" s="4" t="s">
        <v>153</v>
      </c>
      <c r="G458" s="4" t="s">
        <v>26</v>
      </c>
      <c r="H458" s="4" t="s">
        <v>23</v>
      </c>
      <c r="I458" s="6">
        <v>334.33</v>
      </c>
      <c r="J458" s="7">
        <v>33433</v>
      </c>
    </row>
    <row r="459" spans="1:10" ht="15.75" customHeight="1" x14ac:dyDescent="0.25">
      <c r="A459" s="4">
        <v>21161</v>
      </c>
      <c r="B459" s="4" t="s">
        <v>772</v>
      </c>
      <c r="C459" s="4" t="s">
        <v>773</v>
      </c>
      <c r="D459" s="4" t="s">
        <v>24</v>
      </c>
      <c r="E459" s="5">
        <v>30014</v>
      </c>
      <c r="F459" s="4" t="s">
        <v>80</v>
      </c>
      <c r="G459" s="4" t="s">
        <v>26</v>
      </c>
      <c r="H459" s="4" t="s">
        <v>23</v>
      </c>
      <c r="I459" s="6">
        <v>272.8</v>
      </c>
      <c r="J459" s="7">
        <v>27280</v>
      </c>
    </row>
    <row r="460" spans="1:10" ht="15.75" customHeight="1" x14ac:dyDescent="0.25">
      <c r="A460" s="4">
        <v>94270</v>
      </c>
      <c r="B460" s="4" t="s">
        <v>728</v>
      </c>
      <c r="C460" s="4" t="s">
        <v>729</v>
      </c>
      <c r="D460" s="4" t="s">
        <v>12</v>
      </c>
      <c r="E460" s="5">
        <v>28763</v>
      </c>
      <c r="F460" s="4" t="s">
        <v>87</v>
      </c>
      <c r="G460" s="4" t="s">
        <v>28</v>
      </c>
      <c r="H460" s="4" t="s">
        <v>23</v>
      </c>
      <c r="I460" s="6">
        <v>322.39999999999998</v>
      </c>
      <c r="J460" s="7">
        <v>32240</v>
      </c>
    </row>
    <row r="461" spans="1:10" ht="15.75" customHeight="1" x14ac:dyDescent="0.25">
      <c r="A461" s="4">
        <v>20647</v>
      </c>
      <c r="B461" s="4" t="s">
        <v>776</v>
      </c>
      <c r="C461" s="4" t="s">
        <v>793</v>
      </c>
      <c r="D461" s="4" t="s">
        <v>24</v>
      </c>
      <c r="E461" s="5">
        <v>27791</v>
      </c>
      <c r="F461" s="4" t="s">
        <v>65</v>
      </c>
      <c r="G461" s="4" t="s">
        <v>17</v>
      </c>
      <c r="H461" s="4" t="s">
        <v>23</v>
      </c>
      <c r="I461" s="6">
        <v>249.6</v>
      </c>
      <c r="J461" s="7">
        <v>24960</v>
      </c>
    </row>
    <row r="462" spans="1:10" ht="15.75" customHeight="1" x14ac:dyDescent="0.25">
      <c r="A462" s="4">
        <v>126614</v>
      </c>
      <c r="B462" s="4" t="s">
        <v>784</v>
      </c>
      <c r="C462" s="4" t="s">
        <v>810</v>
      </c>
      <c r="D462" s="4" t="s">
        <v>12</v>
      </c>
      <c r="E462" s="5">
        <v>29380</v>
      </c>
      <c r="F462" s="4" t="s">
        <v>61</v>
      </c>
      <c r="G462" s="4" t="s">
        <v>26</v>
      </c>
      <c r="H462" s="4" t="s">
        <v>23</v>
      </c>
      <c r="I462" s="6">
        <v>221.85</v>
      </c>
      <c r="J462" s="7">
        <v>22185</v>
      </c>
    </row>
    <row r="463" spans="1:10" ht="15.75" customHeight="1" x14ac:dyDescent="0.25">
      <c r="A463" s="4">
        <v>23639</v>
      </c>
      <c r="B463" s="4" t="s">
        <v>814</v>
      </c>
      <c r="C463" s="4" t="s">
        <v>815</v>
      </c>
      <c r="D463" s="4" t="s">
        <v>24</v>
      </c>
      <c r="E463" s="5">
        <v>27857</v>
      </c>
      <c r="F463" s="4" t="s">
        <v>77</v>
      </c>
      <c r="G463" s="4" t="s">
        <v>26</v>
      </c>
      <c r="H463" s="4" t="s">
        <v>23</v>
      </c>
      <c r="I463" s="6">
        <v>218.4</v>
      </c>
      <c r="J463" s="7">
        <v>21840</v>
      </c>
    </row>
    <row r="464" spans="1:10" ht="15.75" customHeight="1" x14ac:dyDescent="0.25">
      <c r="A464" s="4">
        <v>128794</v>
      </c>
      <c r="B464" s="4" t="s">
        <v>801</v>
      </c>
      <c r="C464" s="4" t="s">
        <v>813</v>
      </c>
      <c r="D464" s="4" t="s">
        <v>12</v>
      </c>
      <c r="E464" s="5">
        <v>29898</v>
      </c>
      <c r="F464" s="4" t="s">
        <v>66</v>
      </c>
      <c r="G464" s="4" t="s">
        <v>26</v>
      </c>
      <c r="H464" s="4" t="s">
        <v>23</v>
      </c>
      <c r="I464" s="6">
        <v>218.89</v>
      </c>
      <c r="J464" s="7">
        <v>21889</v>
      </c>
    </row>
    <row r="465" spans="1:10" ht="15.75" customHeight="1" x14ac:dyDescent="0.25">
      <c r="A465" s="4">
        <v>31092</v>
      </c>
      <c r="B465" s="4" t="s">
        <v>782</v>
      </c>
      <c r="C465" s="4" t="s">
        <v>838</v>
      </c>
      <c r="D465" s="4" t="s">
        <v>12</v>
      </c>
      <c r="E465" s="5">
        <v>32314</v>
      </c>
      <c r="F465" s="4" t="s">
        <v>27</v>
      </c>
      <c r="G465" s="4" t="s">
        <v>28</v>
      </c>
      <c r="H465" s="4" t="s">
        <v>23</v>
      </c>
      <c r="I465" s="6">
        <v>199.5</v>
      </c>
      <c r="J465" s="7">
        <v>19950</v>
      </c>
    </row>
    <row r="466" spans="1:10" ht="15.75" customHeight="1" x14ac:dyDescent="0.25">
      <c r="A466" s="4">
        <v>129073</v>
      </c>
      <c r="B466" s="4" t="s">
        <v>782</v>
      </c>
      <c r="C466" s="4" t="s">
        <v>796</v>
      </c>
      <c r="D466" s="4" t="s">
        <v>12</v>
      </c>
      <c r="E466" s="5">
        <v>24354</v>
      </c>
      <c r="F466" s="4" t="s">
        <v>80</v>
      </c>
      <c r="G466" s="4" t="s">
        <v>26</v>
      </c>
      <c r="H466" s="4" t="s">
        <v>23</v>
      </c>
      <c r="I466" s="6">
        <v>241.56</v>
      </c>
      <c r="J466" s="7">
        <v>24156</v>
      </c>
    </row>
    <row r="467" spans="1:10" ht="15.75" customHeight="1" x14ac:dyDescent="0.25">
      <c r="A467" s="4">
        <v>133476</v>
      </c>
      <c r="B467" s="4" t="s">
        <v>811</v>
      </c>
      <c r="C467" s="4" t="s">
        <v>812</v>
      </c>
      <c r="D467" s="4" t="s">
        <v>12</v>
      </c>
      <c r="E467" s="5">
        <v>31256</v>
      </c>
      <c r="F467" s="4" t="s">
        <v>61</v>
      </c>
      <c r="G467" s="4" t="s">
        <v>26</v>
      </c>
      <c r="H467" s="4" t="s">
        <v>23</v>
      </c>
      <c r="I467" s="6">
        <v>220.02</v>
      </c>
      <c r="J467" s="7">
        <v>22002</v>
      </c>
    </row>
    <row r="468" spans="1:10" ht="15.75" customHeight="1" x14ac:dyDescent="0.25">
      <c r="A468" s="4">
        <v>20922</v>
      </c>
      <c r="B468" s="4" t="s">
        <v>799</v>
      </c>
      <c r="C468" s="4" t="s">
        <v>800</v>
      </c>
      <c r="D468" s="4" t="s">
        <v>24</v>
      </c>
      <c r="E468" s="5">
        <v>30563</v>
      </c>
      <c r="F468" s="4" t="s">
        <v>67</v>
      </c>
      <c r="G468" s="4" t="s">
        <v>67</v>
      </c>
      <c r="H468" s="4" t="s">
        <v>23</v>
      </c>
      <c r="I468" s="6">
        <v>240.64</v>
      </c>
      <c r="J468" s="7">
        <v>24064</v>
      </c>
    </row>
    <row r="469" spans="1:10" ht="15.75" customHeight="1" x14ac:dyDescent="0.25">
      <c r="A469" s="4">
        <v>21911</v>
      </c>
      <c r="B469" s="4" t="s">
        <v>803</v>
      </c>
      <c r="C469" s="4" t="s">
        <v>804</v>
      </c>
      <c r="D469" s="4" t="s">
        <v>12</v>
      </c>
      <c r="E469" s="5">
        <v>25144</v>
      </c>
      <c r="F469" s="4" t="s">
        <v>61</v>
      </c>
      <c r="G469" s="4" t="s">
        <v>26</v>
      </c>
      <c r="H469" s="4" t="s">
        <v>23</v>
      </c>
      <c r="I469" s="6">
        <v>236.6</v>
      </c>
      <c r="J469" s="7">
        <v>23660</v>
      </c>
    </row>
    <row r="470" spans="1:10" ht="15.75" customHeight="1" x14ac:dyDescent="0.25">
      <c r="A470" s="4">
        <v>20754</v>
      </c>
      <c r="B470" s="4" t="s">
        <v>797</v>
      </c>
      <c r="C470" s="4" t="s">
        <v>798</v>
      </c>
      <c r="D470" s="4" t="s">
        <v>24</v>
      </c>
      <c r="E470" s="5">
        <v>20552</v>
      </c>
      <c r="F470" s="4" t="s">
        <v>66</v>
      </c>
      <c r="G470" s="4" t="s">
        <v>26</v>
      </c>
      <c r="H470" s="4" t="s">
        <v>23</v>
      </c>
      <c r="I470" s="6">
        <v>241.2</v>
      </c>
      <c r="J470" s="7">
        <v>24120</v>
      </c>
    </row>
    <row r="471" spans="1:10" ht="15.75" customHeight="1" x14ac:dyDescent="0.25">
      <c r="A471" s="4">
        <v>124780</v>
      </c>
      <c r="B471" s="4" t="s">
        <v>840</v>
      </c>
      <c r="C471" s="4" t="s">
        <v>841</v>
      </c>
      <c r="D471" s="4" t="s">
        <v>12</v>
      </c>
      <c r="E471" s="5">
        <v>28699</v>
      </c>
      <c r="F471" s="4" t="s">
        <v>98</v>
      </c>
      <c r="G471" s="4" t="s">
        <v>28</v>
      </c>
      <c r="H471" s="4" t="s">
        <v>23</v>
      </c>
      <c r="I471" s="6">
        <v>198</v>
      </c>
      <c r="J471" s="7">
        <v>19800</v>
      </c>
    </row>
    <row r="472" spans="1:10" ht="15.75" customHeight="1" x14ac:dyDescent="0.25">
      <c r="A472" s="4">
        <v>20479</v>
      </c>
      <c r="B472" s="4" t="s">
        <v>822</v>
      </c>
      <c r="C472" s="4" t="s">
        <v>823</v>
      </c>
      <c r="D472" s="4" t="s">
        <v>12</v>
      </c>
      <c r="E472" s="5">
        <v>27278</v>
      </c>
      <c r="F472" s="4" t="s">
        <v>165</v>
      </c>
      <c r="G472" s="4" t="s">
        <v>26</v>
      </c>
      <c r="H472" s="4" t="s">
        <v>23</v>
      </c>
      <c r="I472" s="6">
        <v>208.8</v>
      </c>
      <c r="J472" s="7">
        <v>20880</v>
      </c>
    </row>
    <row r="473" spans="1:10" ht="15.75" customHeight="1" x14ac:dyDescent="0.25">
      <c r="A473" s="4">
        <v>24980</v>
      </c>
      <c r="B473" s="4" t="s">
        <v>808</v>
      </c>
      <c r="C473" s="4" t="s">
        <v>339</v>
      </c>
      <c r="D473" s="4" t="s">
        <v>24</v>
      </c>
      <c r="E473" s="5">
        <v>25079</v>
      </c>
      <c r="F473" s="4" t="s">
        <v>73</v>
      </c>
      <c r="G473" s="4" t="s">
        <v>74</v>
      </c>
      <c r="H473" s="4" t="s">
        <v>23</v>
      </c>
      <c r="I473" s="6">
        <v>224.28</v>
      </c>
      <c r="J473" s="7">
        <v>22428</v>
      </c>
    </row>
    <row r="474" spans="1:10" ht="15.75" customHeight="1" x14ac:dyDescent="0.25">
      <c r="A474" s="4">
        <v>94307</v>
      </c>
      <c r="B474" s="4" t="s">
        <v>821</v>
      </c>
      <c r="C474" s="4" t="s">
        <v>847</v>
      </c>
      <c r="D474" s="4" t="s">
        <v>12</v>
      </c>
      <c r="E474" s="5">
        <v>35608</v>
      </c>
      <c r="F474" s="4" t="s">
        <v>109</v>
      </c>
      <c r="G474" s="4" t="s">
        <v>26</v>
      </c>
      <c r="H474" s="4" t="s">
        <v>23</v>
      </c>
      <c r="I474" s="6">
        <v>196</v>
      </c>
      <c r="J474" s="7">
        <v>19600</v>
      </c>
    </row>
    <row r="475" spans="1:10" ht="15.75" customHeight="1" x14ac:dyDescent="0.25">
      <c r="A475" s="4">
        <v>26259</v>
      </c>
      <c r="B475" s="4" t="s">
        <v>851</v>
      </c>
      <c r="C475" s="4" t="s">
        <v>852</v>
      </c>
      <c r="D475" s="4" t="s">
        <v>24</v>
      </c>
      <c r="E475" s="5">
        <v>31857</v>
      </c>
      <c r="F475" s="4" t="s">
        <v>98</v>
      </c>
      <c r="G475" s="4" t="s">
        <v>28</v>
      </c>
      <c r="H475" s="4" t="s">
        <v>23</v>
      </c>
      <c r="I475" s="6">
        <v>186.3</v>
      </c>
      <c r="J475" s="7">
        <v>18630</v>
      </c>
    </row>
    <row r="476" spans="1:10" ht="15.75" customHeight="1" x14ac:dyDescent="0.25">
      <c r="A476" s="4">
        <v>128402</v>
      </c>
      <c r="B476" s="4" t="s">
        <v>846</v>
      </c>
      <c r="C476" s="4" t="s">
        <v>458</v>
      </c>
      <c r="D476" s="4" t="s">
        <v>12</v>
      </c>
      <c r="E476" s="5">
        <v>25144</v>
      </c>
      <c r="F476" s="4" t="s">
        <v>80</v>
      </c>
      <c r="G476" s="4" t="s">
        <v>26</v>
      </c>
      <c r="H476" s="4" t="s">
        <v>23</v>
      </c>
      <c r="I476" s="6">
        <v>197.2</v>
      </c>
      <c r="J476" s="7">
        <v>19720</v>
      </c>
    </row>
    <row r="477" spans="1:10" ht="15.75" customHeight="1" x14ac:dyDescent="0.25">
      <c r="A477" s="4">
        <v>127508</v>
      </c>
      <c r="B477" s="4" t="s">
        <v>844</v>
      </c>
      <c r="C477" s="4" t="s">
        <v>454</v>
      </c>
      <c r="D477" s="4" t="s">
        <v>12</v>
      </c>
      <c r="E477" s="5">
        <v>19277</v>
      </c>
      <c r="F477" s="4" t="s">
        <v>73</v>
      </c>
      <c r="G477" s="4" t="s">
        <v>74</v>
      </c>
      <c r="H477" s="4" t="s">
        <v>23</v>
      </c>
      <c r="I477" s="6">
        <v>168</v>
      </c>
      <c r="J477" s="7">
        <v>16800</v>
      </c>
    </row>
    <row r="478" spans="1:10" ht="15.75" customHeight="1" x14ac:dyDescent="0.25">
      <c r="A478" s="4">
        <v>128519</v>
      </c>
      <c r="B478" s="4" t="s">
        <v>856</v>
      </c>
      <c r="C478" s="4" t="s">
        <v>857</v>
      </c>
      <c r="D478" s="4" t="s">
        <v>12</v>
      </c>
      <c r="E478" s="5">
        <v>31016</v>
      </c>
      <c r="F478" s="4" t="s">
        <v>87</v>
      </c>
      <c r="G478" s="4" t="s">
        <v>28</v>
      </c>
      <c r="H478" s="4" t="s">
        <v>23</v>
      </c>
      <c r="I478" s="6">
        <v>181.78</v>
      </c>
      <c r="J478" s="7">
        <v>18178</v>
      </c>
    </row>
    <row r="479" spans="1:10" ht="15.75" customHeight="1" x14ac:dyDescent="0.25">
      <c r="A479" s="4">
        <v>21727</v>
      </c>
      <c r="B479" s="4" t="s">
        <v>327</v>
      </c>
      <c r="C479" s="4" t="s">
        <v>850</v>
      </c>
      <c r="D479" s="4" t="s">
        <v>24</v>
      </c>
      <c r="E479" s="5">
        <v>30749</v>
      </c>
      <c r="F479" s="4" t="s">
        <v>80</v>
      </c>
      <c r="G479" s="4" t="s">
        <v>26</v>
      </c>
      <c r="H479" s="4" t="s">
        <v>23</v>
      </c>
      <c r="I479" s="6">
        <v>187.2</v>
      </c>
      <c r="J479" s="7">
        <v>18720</v>
      </c>
    </row>
    <row r="480" spans="1:10" ht="15.75" customHeight="1" x14ac:dyDescent="0.25">
      <c r="A480" s="4">
        <v>123547</v>
      </c>
      <c r="B480" s="4" t="s">
        <v>854</v>
      </c>
      <c r="C480" s="4" t="s">
        <v>855</v>
      </c>
      <c r="D480" s="4" t="s">
        <v>12</v>
      </c>
      <c r="E480" s="5">
        <v>32887</v>
      </c>
      <c r="F480" s="4" t="s">
        <v>105</v>
      </c>
      <c r="G480" s="4" t="s">
        <v>26</v>
      </c>
      <c r="H480" s="4" t="s">
        <v>23</v>
      </c>
      <c r="I480" s="6">
        <v>184.8</v>
      </c>
      <c r="J480" s="7">
        <v>18480</v>
      </c>
    </row>
    <row r="481" spans="1:10" ht="15.75" customHeight="1" x14ac:dyDescent="0.25">
      <c r="A481" s="4">
        <v>125093</v>
      </c>
      <c r="B481" s="4" t="s">
        <v>854</v>
      </c>
      <c r="C481" s="4" t="s">
        <v>874</v>
      </c>
      <c r="D481" s="4" t="s">
        <v>12</v>
      </c>
      <c r="E481" s="5">
        <v>32092</v>
      </c>
      <c r="F481" s="4" t="s">
        <v>126</v>
      </c>
      <c r="G481" s="4" t="s">
        <v>22</v>
      </c>
      <c r="H481" s="4" t="s">
        <v>23</v>
      </c>
      <c r="I481" s="6">
        <v>164.61</v>
      </c>
      <c r="J481" s="7">
        <v>16461</v>
      </c>
    </row>
    <row r="482" spans="1:10" ht="15.75" customHeight="1" x14ac:dyDescent="0.25">
      <c r="A482" s="4">
        <v>25711</v>
      </c>
      <c r="B482" s="4" t="s">
        <v>885</v>
      </c>
      <c r="C482" s="4" t="s">
        <v>886</v>
      </c>
      <c r="D482" s="4" t="s">
        <v>24</v>
      </c>
      <c r="E482" s="5">
        <v>30032</v>
      </c>
      <c r="F482" s="4" t="s">
        <v>105</v>
      </c>
      <c r="G482" s="4" t="s">
        <v>26</v>
      </c>
      <c r="H482" s="4" t="s">
        <v>23</v>
      </c>
      <c r="I482" s="6">
        <v>146.9</v>
      </c>
      <c r="J482" s="7">
        <v>14690</v>
      </c>
    </row>
    <row r="483" spans="1:10" ht="15.75" customHeight="1" x14ac:dyDescent="0.25">
      <c r="A483" s="4">
        <v>121279</v>
      </c>
      <c r="B483" s="4" t="s">
        <v>892</v>
      </c>
      <c r="C483" s="4" t="s">
        <v>924</v>
      </c>
      <c r="D483" s="4" t="s">
        <v>12</v>
      </c>
      <c r="E483" s="5">
        <v>25686</v>
      </c>
      <c r="F483" s="4" t="s">
        <v>73</v>
      </c>
      <c r="G483" s="4" t="s">
        <v>74</v>
      </c>
      <c r="H483" s="4" t="s">
        <v>23</v>
      </c>
      <c r="I483" s="6">
        <v>107.1</v>
      </c>
      <c r="J483" s="7">
        <v>10710</v>
      </c>
    </row>
    <row r="484" spans="1:10" ht="15.75" customHeight="1" x14ac:dyDescent="0.25">
      <c r="A484" s="4">
        <v>134724</v>
      </c>
      <c r="B484" s="4" t="s">
        <v>915</v>
      </c>
      <c r="C484" s="4" t="s">
        <v>916</v>
      </c>
      <c r="D484" s="4" t="s">
        <v>24</v>
      </c>
      <c r="E484" s="5">
        <v>22687</v>
      </c>
      <c r="F484" s="4" t="s">
        <v>25</v>
      </c>
      <c r="G484" s="4" t="s">
        <v>26</v>
      </c>
      <c r="H484" s="4" t="s">
        <v>23</v>
      </c>
      <c r="I484" s="6">
        <v>110</v>
      </c>
      <c r="J484" s="7">
        <v>11000</v>
      </c>
    </row>
    <row r="485" spans="1:10" ht="15.75" customHeight="1" x14ac:dyDescent="0.25">
      <c r="A485" s="4">
        <v>138213</v>
      </c>
      <c r="B485" s="4" t="s">
        <v>900</v>
      </c>
      <c r="C485" s="4" t="s">
        <v>901</v>
      </c>
      <c r="D485" s="4" t="s">
        <v>24</v>
      </c>
      <c r="E485" s="5">
        <v>26893</v>
      </c>
      <c r="F485" s="4" t="s">
        <v>170</v>
      </c>
      <c r="G485" s="4" t="s">
        <v>26</v>
      </c>
      <c r="H485" s="4" t="s">
        <v>23</v>
      </c>
      <c r="I485" s="6">
        <v>126</v>
      </c>
      <c r="J485" s="7">
        <v>12600</v>
      </c>
    </row>
    <row r="486" spans="1:10" ht="15.75" customHeight="1" x14ac:dyDescent="0.25">
      <c r="A486" s="4">
        <v>21134</v>
      </c>
      <c r="B486" s="4" t="s">
        <v>898</v>
      </c>
      <c r="C486" s="4" t="s">
        <v>919</v>
      </c>
      <c r="D486" s="4" t="s">
        <v>12</v>
      </c>
      <c r="E486" s="5">
        <v>24629</v>
      </c>
      <c r="F486" s="4" t="s">
        <v>66</v>
      </c>
      <c r="G486" s="4" t="s">
        <v>26</v>
      </c>
      <c r="H486" s="4" t="s">
        <v>23</v>
      </c>
      <c r="I486" s="6">
        <v>109.45</v>
      </c>
      <c r="J486" s="7">
        <v>10945</v>
      </c>
    </row>
    <row r="487" spans="1:10" ht="15.75" customHeight="1" x14ac:dyDescent="0.25">
      <c r="A487" s="4">
        <v>24986</v>
      </c>
      <c r="B487" s="4" t="s">
        <v>917</v>
      </c>
      <c r="C487" s="4" t="s">
        <v>918</v>
      </c>
      <c r="D487" s="4" t="s">
        <v>12</v>
      </c>
      <c r="E487" s="5">
        <v>27796</v>
      </c>
      <c r="F487" s="4" t="s">
        <v>109</v>
      </c>
      <c r="G487" s="4" t="s">
        <v>26</v>
      </c>
      <c r="H487" s="4" t="s">
        <v>23</v>
      </c>
      <c r="I487" s="6">
        <v>109.8</v>
      </c>
      <c r="J487" s="7">
        <v>10980</v>
      </c>
    </row>
    <row r="488" spans="1:10" ht="15.75" customHeight="1" x14ac:dyDescent="0.25">
      <c r="A488" s="4">
        <v>26352</v>
      </c>
      <c r="B488" s="4" t="s">
        <v>947</v>
      </c>
      <c r="C488" s="4" t="s">
        <v>948</v>
      </c>
      <c r="D488" s="4" t="s">
        <v>12</v>
      </c>
      <c r="E488" s="5">
        <v>31907</v>
      </c>
      <c r="F488" s="4" t="s">
        <v>97</v>
      </c>
      <c r="G488" s="4" t="s">
        <v>26</v>
      </c>
      <c r="H488" s="4" t="s">
        <v>23</v>
      </c>
      <c r="I488" s="6">
        <v>84</v>
      </c>
      <c r="J488" s="7">
        <v>8400</v>
      </c>
    </row>
    <row r="489" spans="1:10" ht="15.75" customHeight="1" x14ac:dyDescent="0.25">
      <c r="A489" s="4">
        <v>129265</v>
      </c>
      <c r="B489" s="4" t="s">
        <v>933</v>
      </c>
      <c r="C489" s="4" t="s">
        <v>449</v>
      </c>
      <c r="D489" s="4" t="s">
        <v>12</v>
      </c>
      <c r="E489" s="5">
        <v>31477</v>
      </c>
      <c r="F489" s="4" t="s">
        <v>165</v>
      </c>
      <c r="G489" s="4" t="s">
        <v>26</v>
      </c>
      <c r="H489" s="4" t="s">
        <v>23</v>
      </c>
      <c r="I489" s="6">
        <v>83.44</v>
      </c>
      <c r="J489" s="7">
        <v>8344</v>
      </c>
    </row>
    <row r="490" spans="1:10" ht="15.75" customHeight="1" x14ac:dyDescent="0.25">
      <c r="A490" s="4">
        <v>140709</v>
      </c>
      <c r="B490" s="4" t="s">
        <v>933</v>
      </c>
      <c r="C490" s="4" t="s">
        <v>406</v>
      </c>
      <c r="D490" s="4" t="s">
        <v>12</v>
      </c>
      <c r="E490" s="5">
        <v>24654</v>
      </c>
      <c r="F490" s="4" t="s">
        <v>178</v>
      </c>
      <c r="G490" s="4" t="s">
        <v>26</v>
      </c>
      <c r="H490" s="4" t="s">
        <v>23</v>
      </c>
      <c r="I490" s="6">
        <v>98.34</v>
      </c>
      <c r="J490" s="7">
        <v>9834</v>
      </c>
    </row>
    <row r="491" spans="1:10" ht="15.75" customHeight="1" x14ac:dyDescent="0.25">
      <c r="A491" s="4">
        <v>36155</v>
      </c>
      <c r="B491" s="4" t="s">
        <v>949</v>
      </c>
      <c r="C491" s="4" t="s">
        <v>966</v>
      </c>
      <c r="D491" s="4" t="s">
        <v>12</v>
      </c>
      <c r="E491" s="5">
        <v>25240</v>
      </c>
      <c r="F491" s="4" t="s">
        <v>61</v>
      </c>
      <c r="G491" s="4" t="s">
        <v>26</v>
      </c>
      <c r="H491" s="4" t="s">
        <v>23</v>
      </c>
      <c r="I491" s="6">
        <v>62.4</v>
      </c>
      <c r="J491" s="7">
        <v>6240</v>
      </c>
    </row>
    <row r="492" spans="1:10" ht="15.75" customHeight="1" x14ac:dyDescent="0.25">
      <c r="A492" s="4">
        <v>120375</v>
      </c>
      <c r="B492" s="4" t="s">
        <v>957</v>
      </c>
      <c r="C492" s="4" t="s">
        <v>600</v>
      </c>
      <c r="D492" s="4" t="s">
        <v>24</v>
      </c>
      <c r="E492" s="5">
        <v>28741</v>
      </c>
      <c r="F492" s="4" t="s">
        <v>68</v>
      </c>
      <c r="G492" s="4" t="s">
        <v>28</v>
      </c>
      <c r="H492" s="4" t="s">
        <v>23</v>
      </c>
      <c r="I492" s="6">
        <v>66.66</v>
      </c>
      <c r="J492" s="7">
        <v>6666</v>
      </c>
    </row>
    <row r="493" spans="1:10" ht="15.75" customHeight="1" x14ac:dyDescent="0.25">
      <c r="A493" s="4">
        <v>140169</v>
      </c>
      <c r="B493" s="4" t="s">
        <v>957</v>
      </c>
      <c r="C493" s="4" t="s">
        <v>967</v>
      </c>
      <c r="D493" s="4" t="s">
        <v>24</v>
      </c>
      <c r="E493" s="5">
        <v>21825</v>
      </c>
      <c r="F493" s="4" t="s">
        <v>178</v>
      </c>
      <c r="G493" s="4" t="s">
        <v>26</v>
      </c>
      <c r="H493" s="4" t="s">
        <v>23</v>
      </c>
      <c r="I493" s="6">
        <v>60</v>
      </c>
      <c r="J493" s="7">
        <v>6000</v>
      </c>
    </row>
    <row r="494" spans="1:10" ht="15.75" customHeight="1" x14ac:dyDescent="0.25">
      <c r="A494" s="4">
        <v>128689</v>
      </c>
      <c r="B494" s="4" t="s">
        <v>968</v>
      </c>
      <c r="C494" s="4" t="s">
        <v>969</v>
      </c>
      <c r="D494" s="4" t="s">
        <v>12</v>
      </c>
      <c r="E494" s="5">
        <v>23864</v>
      </c>
      <c r="F494" s="4" t="s">
        <v>184</v>
      </c>
      <c r="G494" s="4" t="s">
        <v>26</v>
      </c>
      <c r="H494" s="4" t="s">
        <v>23</v>
      </c>
      <c r="I494" s="6">
        <v>60</v>
      </c>
      <c r="J494" s="7">
        <v>6000</v>
      </c>
    </row>
    <row r="495" spans="1:10" ht="15.75" customHeight="1" x14ac:dyDescent="0.25">
      <c r="A495" s="4">
        <v>37310</v>
      </c>
      <c r="B495" s="4" t="s">
        <v>964</v>
      </c>
      <c r="C495" s="4" t="s">
        <v>425</v>
      </c>
      <c r="D495" s="4" t="s">
        <v>12</v>
      </c>
      <c r="E495" s="5">
        <v>30067</v>
      </c>
      <c r="F495" s="4" t="s">
        <v>109</v>
      </c>
      <c r="G495" s="4" t="s">
        <v>26</v>
      </c>
      <c r="H495" s="4" t="s">
        <v>23</v>
      </c>
      <c r="I495" s="6">
        <v>67</v>
      </c>
      <c r="J495" s="7">
        <v>6700</v>
      </c>
    </row>
    <row r="496" spans="1:10" ht="15.75" customHeight="1" x14ac:dyDescent="0.25">
      <c r="A496" s="4">
        <v>30474</v>
      </c>
      <c r="B496" s="4" t="s">
        <v>965</v>
      </c>
      <c r="C496" s="4" t="s">
        <v>980</v>
      </c>
      <c r="D496" s="4" t="s">
        <v>12</v>
      </c>
      <c r="E496" s="5">
        <v>27902</v>
      </c>
      <c r="F496" s="4" t="s">
        <v>97</v>
      </c>
      <c r="G496" s="4" t="s">
        <v>26</v>
      </c>
      <c r="H496" s="4" t="s">
        <v>23</v>
      </c>
      <c r="I496" s="6">
        <v>45.9</v>
      </c>
      <c r="J496" s="7">
        <v>4590</v>
      </c>
    </row>
    <row r="497" spans="1:10" ht="15.75" customHeight="1" x14ac:dyDescent="0.25">
      <c r="A497" s="4">
        <v>129154</v>
      </c>
      <c r="B497" s="4" t="s">
        <v>981</v>
      </c>
      <c r="C497" s="4" t="s">
        <v>982</v>
      </c>
      <c r="D497" s="4" t="s">
        <v>12</v>
      </c>
      <c r="E497" s="5">
        <v>17249</v>
      </c>
      <c r="F497" s="4" t="s">
        <v>66</v>
      </c>
      <c r="G497" s="4" t="s">
        <v>26</v>
      </c>
      <c r="H497" s="4" t="s">
        <v>23</v>
      </c>
      <c r="I497" s="6">
        <v>42.75</v>
      </c>
      <c r="J497" s="7">
        <v>4275</v>
      </c>
    </row>
    <row r="498" spans="1:10" ht="15.75" customHeight="1" x14ac:dyDescent="0.25">
      <c r="A498" s="4">
        <v>22414</v>
      </c>
      <c r="B498" s="4" t="s">
        <v>986</v>
      </c>
      <c r="C498" s="4" t="s">
        <v>987</v>
      </c>
      <c r="D498" s="4" t="s">
        <v>12</v>
      </c>
      <c r="E498" s="5">
        <v>30035</v>
      </c>
      <c r="F498" s="4" t="s">
        <v>170</v>
      </c>
      <c r="G498" s="4" t="s">
        <v>26</v>
      </c>
      <c r="H498" s="4" t="s">
        <v>23</v>
      </c>
      <c r="I498" s="6">
        <v>30.82</v>
      </c>
      <c r="J498" s="7">
        <v>3082</v>
      </c>
    </row>
    <row r="499" spans="1:10" ht="15.75" customHeight="1" x14ac:dyDescent="0.25">
      <c r="A499" s="4">
        <v>125064</v>
      </c>
      <c r="B499" s="4" t="s">
        <v>991</v>
      </c>
      <c r="C499" s="4" t="s">
        <v>995</v>
      </c>
      <c r="D499" s="4" t="s">
        <v>12</v>
      </c>
      <c r="E499" s="5">
        <v>25720</v>
      </c>
      <c r="F499" s="4" t="s">
        <v>73</v>
      </c>
      <c r="G499" s="4" t="s">
        <v>74</v>
      </c>
      <c r="H499" s="4" t="s">
        <v>23</v>
      </c>
      <c r="I499" s="6">
        <v>11.76</v>
      </c>
      <c r="J499" s="7">
        <v>1176</v>
      </c>
    </row>
    <row r="500" spans="1:10" ht="15.75" customHeight="1" x14ac:dyDescent="0.25">
      <c r="A500" s="4">
        <v>22299</v>
      </c>
      <c r="B500" s="4" t="s">
        <v>991</v>
      </c>
      <c r="C500" s="4" t="s">
        <v>994</v>
      </c>
      <c r="D500" s="4" t="s">
        <v>12</v>
      </c>
      <c r="E500" s="5">
        <v>31955</v>
      </c>
      <c r="F500" s="4" t="s">
        <v>45</v>
      </c>
      <c r="G500" s="4" t="s">
        <v>28</v>
      </c>
      <c r="H500" s="4" t="s">
        <v>23</v>
      </c>
      <c r="I500" s="6">
        <v>12.2</v>
      </c>
      <c r="J500" s="7">
        <v>1220</v>
      </c>
    </row>
    <row r="501" spans="1:10" ht="15.75" customHeight="1" x14ac:dyDescent="0.25">
      <c r="A501" s="4">
        <v>27411</v>
      </c>
      <c r="B501" s="4" t="s">
        <v>996</v>
      </c>
      <c r="C501" s="4" t="s">
        <v>997</v>
      </c>
      <c r="D501" s="4" t="s">
        <v>12</v>
      </c>
      <c r="E501" s="5">
        <v>30051</v>
      </c>
      <c r="F501" s="4" t="s">
        <v>59</v>
      </c>
      <c r="G501" s="4" t="s">
        <v>28</v>
      </c>
      <c r="H501" s="4" t="s">
        <v>23</v>
      </c>
      <c r="I501" s="6">
        <v>5.9</v>
      </c>
      <c r="J501" s="7">
        <v>590</v>
      </c>
    </row>
    <row r="502" spans="1:10" ht="15.75" customHeight="1" x14ac:dyDescent="0.25"/>
    <row r="503" spans="1:10" ht="15.75" customHeight="1" x14ac:dyDescent="0.25"/>
    <row r="504" spans="1:10" ht="15.75" customHeight="1" x14ac:dyDescent="0.25"/>
    <row r="505" spans="1:10" ht="15.75" customHeight="1" x14ac:dyDescent="0.25"/>
    <row r="506" spans="1:10" ht="15.75" customHeight="1" x14ac:dyDescent="0.25"/>
    <row r="507" spans="1:10" ht="15.75" customHeight="1" x14ac:dyDescent="0.25"/>
    <row r="508" spans="1:10" ht="15.75" customHeight="1" x14ac:dyDescent="0.25"/>
    <row r="509" spans="1:10" ht="15.75" customHeight="1" x14ac:dyDescent="0.25"/>
    <row r="510" spans="1:10" ht="15.75" customHeight="1" x14ac:dyDescent="0.25"/>
    <row r="511" spans="1:10" ht="15.75" customHeight="1" x14ac:dyDescent="0.25"/>
    <row r="512" spans="1:10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K1000"/>
  <sheetViews>
    <sheetView showGridLines="0" workbookViewId="0"/>
  </sheetViews>
  <sheetFormatPr defaultColWidth="14.42578125" defaultRowHeight="15" customHeight="1" x14ac:dyDescent="0.25"/>
  <cols>
    <col min="1" max="1" width="8.7109375" customWidth="1"/>
    <col min="2" max="2" width="15.85546875" customWidth="1"/>
    <col min="3" max="3" width="11.7109375" customWidth="1"/>
    <col min="4" max="4" width="25.140625" customWidth="1"/>
    <col min="5" max="5" width="8.5703125" customWidth="1"/>
    <col min="6" max="6" width="13.5703125" customWidth="1"/>
    <col min="7" max="7" width="18.85546875" customWidth="1"/>
    <col min="8" max="8" width="21" customWidth="1"/>
    <col min="9" max="9" width="8" customWidth="1"/>
    <col min="10" max="10" width="15.7109375" customWidth="1"/>
    <col min="11" max="11" width="13.85546875" customWidth="1"/>
    <col min="12" max="26" width="8.7109375" customWidth="1"/>
  </cols>
  <sheetData>
    <row r="2" spans="2:11" x14ac:dyDescent="0.25">
      <c r="B2" s="136" t="s">
        <v>0</v>
      </c>
      <c r="C2" s="136" t="s">
        <v>297</v>
      </c>
      <c r="D2" s="136" t="s">
        <v>298</v>
      </c>
      <c r="E2" s="136" t="s">
        <v>1</v>
      </c>
      <c r="F2" s="136" t="s">
        <v>2</v>
      </c>
      <c r="G2" s="136" t="s">
        <v>3</v>
      </c>
      <c r="H2" s="136" t="s">
        <v>4</v>
      </c>
      <c r="I2" s="136" t="s">
        <v>5</v>
      </c>
      <c r="J2" s="136" t="s">
        <v>6</v>
      </c>
      <c r="K2" s="136" t="s">
        <v>7</v>
      </c>
    </row>
    <row r="3" spans="2:11" x14ac:dyDescent="0.25">
      <c r="B3" s="8">
        <v>25778</v>
      </c>
      <c r="C3" s="8" t="s">
        <v>405</v>
      </c>
      <c r="D3" s="8" t="s">
        <v>358</v>
      </c>
      <c r="E3" s="8" t="s">
        <v>12</v>
      </c>
      <c r="F3" s="8">
        <v>32861</v>
      </c>
      <c r="G3" s="8" t="s">
        <v>78</v>
      </c>
      <c r="H3" s="8" t="s">
        <v>74</v>
      </c>
      <c r="I3" s="8" t="s">
        <v>1001</v>
      </c>
      <c r="J3" s="7">
        <v>2194.1799999999998</v>
      </c>
      <c r="K3" s="7">
        <v>219418</v>
      </c>
    </row>
    <row r="4" spans="2:11" x14ac:dyDescent="0.25">
      <c r="B4" s="8">
        <v>32475</v>
      </c>
      <c r="C4" s="8" t="s">
        <v>457</v>
      </c>
      <c r="D4" s="8" t="s">
        <v>458</v>
      </c>
      <c r="E4" s="8" t="s">
        <v>12</v>
      </c>
      <c r="F4" s="8">
        <v>29500</v>
      </c>
      <c r="G4" s="8" t="s">
        <v>99</v>
      </c>
      <c r="H4" s="8" t="s">
        <v>74</v>
      </c>
      <c r="I4" s="8" t="s">
        <v>1001</v>
      </c>
      <c r="J4" s="7">
        <v>1430.4</v>
      </c>
      <c r="K4" s="7">
        <v>143040</v>
      </c>
    </row>
    <row r="5" spans="2:11" x14ac:dyDescent="0.25">
      <c r="B5" s="8">
        <v>21374</v>
      </c>
      <c r="C5" s="8" t="s">
        <v>491</v>
      </c>
      <c r="D5" s="8" t="s">
        <v>492</v>
      </c>
      <c r="E5" s="8" t="s">
        <v>12</v>
      </c>
      <c r="F5" s="8">
        <v>30274</v>
      </c>
      <c r="G5" s="8" t="s">
        <v>108</v>
      </c>
      <c r="H5" s="8" t="s">
        <v>74</v>
      </c>
      <c r="I5" s="8" t="s">
        <v>1001</v>
      </c>
      <c r="J5" s="7">
        <v>1223.5999999999999</v>
      </c>
      <c r="K5" s="7">
        <v>122360</v>
      </c>
    </row>
    <row r="6" spans="2:11" x14ac:dyDescent="0.25">
      <c r="B6" s="8">
        <v>33701</v>
      </c>
      <c r="C6" s="8" t="s">
        <v>467</v>
      </c>
      <c r="D6" s="8" t="s">
        <v>468</v>
      </c>
      <c r="E6" s="8" t="s">
        <v>12</v>
      </c>
      <c r="F6" s="8">
        <v>30803</v>
      </c>
      <c r="G6" s="8" t="s">
        <v>101</v>
      </c>
      <c r="H6" s="8" t="s">
        <v>39</v>
      </c>
      <c r="I6" s="8" t="s">
        <v>1001</v>
      </c>
      <c r="J6" s="7">
        <v>1385.56</v>
      </c>
      <c r="K6" s="7">
        <v>138556</v>
      </c>
    </row>
    <row r="7" spans="2:11" x14ac:dyDescent="0.25">
      <c r="B7" s="8">
        <v>21159</v>
      </c>
      <c r="C7" s="8" t="s">
        <v>581</v>
      </c>
      <c r="D7" s="8" t="s">
        <v>586</v>
      </c>
      <c r="E7" s="8" t="s">
        <v>12</v>
      </c>
      <c r="F7" s="8">
        <v>30231</v>
      </c>
      <c r="G7" s="8" t="s">
        <v>78</v>
      </c>
      <c r="H7" s="8" t="s">
        <v>74</v>
      </c>
      <c r="I7" s="8" t="s">
        <v>1001</v>
      </c>
      <c r="J7" s="7">
        <v>714.6</v>
      </c>
      <c r="K7" s="7">
        <v>71460</v>
      </c>
    </row>
    <row r="8" spans="2:11" x14ac:dyDescent="0.25">
      <c r="B8" s="8">
        <v>21190</v>
      </c>
      <c r="C8" s="8" t="s">
        <v>612</v>
      </c>
      <c r="D8" s="8" t="s">
        <v>538</v>
      </c>
      <c r="E8" s="8" t="s">
        <v>12</v>
      </c>
      <c r="F8" s="8">
        <v>30257</v>
      </c>
      <c r="G8" s="8" t="s">
        <v>131</v>
      </c>
      <c r="H8" s="8" t="s">
        <v>74</v>
      </c>
      <c r="I8" s="8" t="s">
        <v>1001</v>
      </c>
      <c r="J8" s="7">
        <v>616</v>
      </c>
      <c r="K8" s="7">
        <v>61600</v>
      </c>
    </row>
    <row r="9" spans="2:11" x14ac:dyDescent="0.25">
      <c r="B9" s="8">
        <v>122961</v>
      </c>
      <c r="C9" s="8" t="s">
        <v>605</v>
      </c>
      <c r="D9" s="8" t="s">
        <v>625</v>
      </c>
      <c r="E9" s="8" t="s">
        <v>24</v>
      </c>
      <c r="F9" s="8">
        <v>18917</v>
      </c>
      <c r="G9" s="8" t="s">
        <v>108</v>
      </c>
      <c r="H9" s="8" t="s">
        <v>74</v>
      </c>
      <c r="I9" s="8" t="s">
        <v>1001</v>
      </c>
      <c r="J9" s="7">
        <v>580</v>
      </c>
      <c r="K9" s="7">
        <v>58000</v>
      </c>
    </row>
    <row r="10" spans="2:11" x14ac:dyDescent="0.25">
      <c r="B10" s="8">
        <v>23590</v>
      </c>
      <c r="C10" s="8" t="s">
        <v>641</v>
      </c>
      <c r="D10" s="8" t="s">
        <v>675</v>
      </c>
      <c r="E10" s="8" t="s">
        <v>12</v>
      </c>
      <c r="F10" s="8">
        <v>30982</v>
      </c>
      <c r="G10" s="8" t="s">
        <v>146</v>
      </c>
      <c r="H10" s="8" t="s">
        <v>74</v>
      </c>
      <c r="I10" s="8" t="s">
        <v>1001</v>
      </c>
      <c r="J10" s="7">
        <v>456.33</v>
      </c>
      <c r="K10" s="7">
        <v>45633</v>
      </c>
    </row>
    <row r="11" spans="2:11" x14ac:dyDescent="0.25">
      <c r="B11" s="8">
        <v>122029</v>
      </c>
      <c r="C11" s="8" t="s">
        <v>656</v>
      </c>
      <c r="D11" s="8" t="s">
        <v>657</v>
      </c>
      <c r="E11" s="8" t="s">
        <v>24</v>
      </c>
      <c r="F11" s="8">
        <v>33400</v>
      </c>
      <c r="G11" s="8" t="s">
        <v>99</v>
      </c>
      <c r="H11" s="8" t="s">
        <v>74</v>
      </c>
      <c r="I11" s="8" t="s">
        <v>1001</v>
      </c>
      <c r="J11" s="7">
        <v>500.85</v>
      </c>
      <c r="K11" s="7">
        <v>50085</v>
      </c>
    </row>
    <row r="12" spans="2:11" x14ac:dyDescent="0.25">
      <c r="B12" s="8">
        <v>20920</v>
      </c>
      <c r="C12" s="8" t="s">
        <v>660</v>
      </c>
      <c r="D12" s="8" t="s">
        <v>661</v>
      </c>
      <c r="E12" s="8" t="s">
        <v>24</v>
      </c>
      <c r="F12" s="8">
        <v>23538</v>
      </c>
      <c r="G12" s="8" t="s">
        <v>140</v>
      </c>
      <c r="H12" s="8" t="s">
        <v>74</v>
      </c>
      <c r="I12" s="8" t="s">
        <v>1001</v>
      </c>
      <c r="J12" s="7">
        <v>493.29</v>
      </c>
      <c r="K12" s="7">
        <v>49329</v>
      </c>
    </row>
    <row r="13" spans="2:11" x14ac:dyDescent="0.25">
      <c r="B13" s="8">
        <v>128890</v>
      </c>
      <c r="C13" s="8" t="s">
        <v>654</v>
      </c>
      <c r="D13" s="8" t="s">
        <v>655</v>
      </c>
      <c r="E13" s="8" t="s">
        <v>12</v>
      </c>
      <c r="F13" s="8">
        <v>25569</v>
      </c>
      <c r="G13" s="8" t="s">
        <v>139</v>
      </c>
      <c r="H13" s="8" t="s">
        <v>74</v>
      </c>
      <c r="I13" s="8" t="s">
        <v>1001</v>
      </c>
      <c r="J13" s="7">
        <v>509.87</v>
      </c>
      <c r="K13" s="7">
        <v>50987</v>
      </c>
    </row>
    <row r="14" spans="2:11" x14ac:dyDescent="0.25">
      <c r="B14" s="8">
        <v>23508</v>
      </c>
      <c r="C14" s="8" t="s">
        <v>700</v>
      </c>
      <c r="D14" s="8" t="s">
        <v>701</v>
      </c>
      <c r="E14" s="8" t="s">
        <v>24</v>
      </c>
      <c r="F14" s="8">
        <v>30814</v>
      </c>
      <c r="G14" s="8" t="s">
        <v>152</v>
      </c>
      <c r="H14" s="8" t="s">
        <v>74</v>
      </c>
      <c r="I14" s="8" t="s">
        <v>1001</v>
      </c>
      <c r="J14" s="7">
        <v>365.21</v>
      </c>
      <c r="K14" s="7">
        <v>36521</v>
      </c>
    </row>
    <row r="15" spans="2:11" x14ac:dyDescent="0.25">
      <c r="B15" s="8">
        <v>44204</v>
      </c>
      <c r="C15" s="8" t="s">
        <v>714</v>
      </c>
      <c r="D15" s="8" t="s">
        <v>715</v>
      </c>
      <c r="E15" s="8" t="s">
        <v>12</v>
      </c>
      <c r="F15" s="8">
        <v>19827</v>
      </c>
      <c r="G15" s="8" t="s">
        <v>108</v>
      </c>
      <c r="H15" s="8" t="s">
        <v>74</v>
      </c>
      <c r="I15" s="8" t="s">
        <v>1001</v>
      </c>
      <c r="J15" s="7">
        <v>342</v>
      </c>
      <c r="K15" s="7">
        <v>34200</v>
      </c>
    </row>
    <row r="16" spans="2:11" x14ac:dyDescent="0.25">
      <c r="B16" s="8">
        <v>124153</v>
      </c>
      <c r="C16" s="8" t="s">
        <v>763</v>
      </c>
      <c r="D16" s="8" t="s">
        <v>764</v>
      </c>
      <c r="E16" s="8" t="s">
        <v>24</v>
      </c>
      <c r="F16" s="8">
        <v>27369</v>
      </c>
      <c r="G16" s="8" t="s">
        <v>139</v>
      </c>
      <c r="H16" s="8" t="s">
        <v>74</v>
      </c>
      <c r="I16" s="8" t="s">
        <v>1001</v>
      </c>
      <c r="J16" s="7">
        <v>287.85000000000002</v>
      </c>
      <c r="K16" s="7">
        <v>28785</v>
      </c>
    </row>
    <row r="17" spans="2:11" x14ac:dyDescent="0.25">
      <c r="B17" s="8">
        <v>22515</v>
      </c>
      <c r="C17" s="8" t="s">
        <v>861</v>
      </c>
      <c r="D17" s="8" t="s">
        <v>862</v>
      </c>
      <c r="E17" s="8" t="s">
        <v>12</v>
      </c>
      <c r="F17" s="8">
        <v>30882</v>
      </c>
      <c r="G17" s="8" t="s">
        <v>169</v>
      </c>
      <c r="H17" s="8" t="s">
        <v>74</v>
      </c>
      <c r="I17" s="8" t="s">
        <v>1001</v>
      </c>
      <c r="J17" s="7">
        <v>174.37</v>
      </c>
      <c r="K17" s="7">
        <v>17437</v>
      </c>
    </row>
    <row r="18" spans="2:11" x14ac:dyDescent="0.25">
      <c r="B18" s="8">
        <v>21756</v>
      </c>
      <c r="C18" s="8" t="s">
        <v>842</v>
      </c>
      <c r="D18" s="8" t="s">
        <v>843</v>
      </c>
      <c r="E18" s="8" t="s">
        <v>12</v>
      </c>
      <c r="F18" s="8">
        <v>21739</v>
      </c>
      <c r="G18" s="8" t="s">
        <v>167</v>
      </c>
      <c r="H18" s="8" t="s">
        <v>74</v>
      </c>
      <c r="I18" s="8" t="s">
        <v>1001</v>
      </c>
      <c r="J18" s="7">
        <v>198</v>
      </c>
      <c r="K18" s="7">
        <v>19800</v>
      </c>
    </row>
    <row r="19" spans="2:11" x14ac:dyDescent="0.25">
      <c r="B19" s="8">
        <v>94307</v>
      </c>
      <c r="C19" s="8" t="s">
        <v>933</v>
      </c>
      <c r="D19" s="8" t="s">
        <v>934</v>
      </c>
      <c r="E19" s="8" t="s">
        <v>12</v>
      </c>
      <c r="F19" s="8">
        <v>24171</v>
      </c>
      <c r="G19" s="8" t="s">
        <v>177</v>
      </c>
      <c r="H19" s="8" t="s">
        <v>74</v>
      </c>
      <c r="I19" s="8" t="s">
        <v>1001</v>
      </c>
      <c r="J19" s="7">
        <v>99</v>
      </c>
      <c r="K19" s="7">
        <v>9900</v>
      </c>
    </row>
    <row r="20" spans="2:11" x14ac:dyDescent="0.25">
      <c r="B20" s="8">
        <v>130192</v>
      </c>
      <c r="C20" s="8" t="s">
        <v>965</v>
      </c>
      <c r="D20" s="8" t="s">
        <v>780</v>
      </c>
      <c r="E20" s="8" t="s">
        <v>12</v>
      </c>
      <c r="F20" s="8">
        <v>24236</v>
      </c>
      <c r="G20" s="8" t="s">
        <v>152</v>
      </c>
      <c r="H20" s="8" t="s">
        <v>74</v>
      </c>
      <c r="I20" s="8" t="s">
        <v>1001</v>
      </c>
      <c r="J20" s="7">
        <v>54</v>
      </c>
      <c r="K20" s="7">
        <v>5400</v>
      </c>
    </row>
    <row r="21" spans="2:11" ht="15.75" customHeight="1" x14ac:dyDescent="0.25">
      <c r="B21" s="8">
        <v>27392</v>
      </c>
      <c r="C21" s="8" t="s">
        <v>965</v>
      </c>
      <c r="D21" s="8" t="s">
        <v>358</v>
      </c>
      <c r="E21" s="8" t="s">
        <v>12</v>
      </c>
      <c r="F21" s="8">
        <v>30945</v>
      </c>
      <c r="G21" s="8" t="s">
        <v>183</v>
      </c>
      <c r="H21" s="8" t="s">
        <v>39</v>
      </c>
      <c r="I21" s="8" t="s">
        <v>1001</v>
      </c>
      <c r="J21" s="7">
        <v>64.349999999999994</v>
      </c>
      <c r="K21" s="7">
        <v>6435</v>
      </c>
    </row>
    <row r="22" spans="2:11" ht="15.75" customHeight="1" x14ac:dyDescent="0.25">
      <c r="B22" s="8">
        <v>21547</v>
      </c>
      <c r="C22" s="8" t="s">
        <v>986</v>
      </c>
      <c r="D22" s="8" t="s">
        <v>339</v>
      </c>
      <c r="E22" s="8" t="s">
        <v>12</v>
      </c>
      <c r="F22" s="8">
        <v>30177</v>
      </c>
      <c r="G22" s="8" t="s">
        <v>108</v>
      </c>
      <c r="H22" s="8" t="s">
        <v>74</v>
      </c>
      <c r="I22" s="8" t="s">
        <v>1001</v>
      </c>
      <c r="J22" s="7">
        <v>31.85</v>
      </c>
      <c r="K22" s="7">
        <v>3185</v>
      </c>
    </row>
    <row r="23" spans="2:11" ht="15.75" customHeight="1" x14ac:dyDescent="0.25">
      <c r="B23" s="8">
        <v>132808</v>
      </c>
      <c r="C23" s="8" t="s">
        <v>303</v>
      </c>
      <c r="D23" s="8" t="s">
        <v>304</v>
      </c>
      <c r="E23" s="8" t="s">
        <v>12</v>
      </c>
      <c r="F23" s="8">
        <v>31200</v>
      </c>
      <c r="G23" s="8" t="s">
        <v>16</v>
      </c>
      <c r="H23" s="8" t="s">
        <v>17</v>
      </c>
      <c r="I23" s="8" t="s">
        <v>18</v>
      </c>
      <c r="J23" s="7">
        <v>24441.64</v>
      </c>
      <c r="K23" s="7">
        <v>2444164</v>
      </c>
    </row>
    <row r="24" spans="2:11" ht="15.75" customHeight="1" x14ac:dyDescent="0.25">
      <c r="B24" s="8">
        <v>22328</v>
      </c>
      <c r="C24" s="8" t="s">
        <v>328</v>
      </c>
      <c r="D24" s="8" t="s">
        <v>330</v>
      </c>
      <c r="E24" s="8" t="s">
        <v>12</v>
      </c>
      <c r="F24" s="8">
        <v>28856</v>
      </c>
      <c r="G24" s="8" t="s">
        <v>36</v>
      </c>
      <c r="H24" s="8" t="s">
        <v>37</v>
      </c>
      <c r="I24" s="8" t="s">
        <v>18</v>
      </c>
      <c r="J24" s="7">
        <v>7228</v>
      </c>
      <c r="K24" s="7">
        <v>722800</v>
      </c>
    </row>
    <row r="25" spans="2:11" ht="15.75" customHeight="1" x14ac:dyDescent="0.25">
      <c r="B25" s="8">
        <v>132808</v>
      </c>
      <c r="C25" s="8" t="s">
        <v>334</v>
      </c>
      <c r="D25" s="8" t="s">
        <v>335</v>
      </c>
      <c r="E25" s="8" t="s">
        <v>24</v>
      </c>
      <c r="F25" s="8">
        <v>28312</v>
      </c>
      <c r="G25" s="8" t="s">
        <v>42</v>
      </c>
      <c r="H25" s="8" t="s">
        <v>17</v>
      </c>
      <c r="I25" s="8" t="s">
        <v>18</v>
      </c>
      <c r="J25" s="7">
        <v>6100</v>
      </c>
      <c r="K25" s="7">
        <v>610000</v>
      </c>
    </row>
    <row r="26" spans="2:11" ht="15.75" customHeight="1" x14ac:dyDescent="0.25">
      <c r="B26" s="8">
        <v>26219</v>
      </c>
      <c r="C26" s="8" t="s">
        <v>356</v>
      </c>
      <c r="D26" s="8" t="s">
        <v>357</v>
      </c>
      <c r="E26" s="8" t="s">
        <v>24</v>
      </c>
      <c r="F26" s="8">
        <v>25310</v>
      </c>
      <c r="G26" s="8" t="s">
        <v>53</v>
      </c>
      <c r="H26" s="8" t="s">
        <v>37</v>
      </c>
      <c r="I26" s="8" t="s">
        <v>18</v>
      </c>
      <c r="J26" s="7">
        <v>4465.4399999999996</v>
      </c>
      <c r="K26" s="7">
        <v>446544</v>
      </c>
    </row>
    <row r="27" spans="2:11" ht="15.75" customHeight="1" x14ac:dyDescent="0.25">
      <c r="B27" s="8">
        <v>119941</v>
      </c>
      <c r="C27" s="8" t="s">
        <v>351</v>
      </c>
      <c r="D27" s="8" t="s">
        <v>354</v>
      </c>
      <c r="E27" s="8" t="s">
        <v>12</v>
      </c>
      <c r="F27" s="8">
        <v>21294</v>
      </c>
      <c r="G27" s="8" t="s">
        <v>54</v>
      </c>
      <c r="H27" s="8" t="s">
        <v>55</v>
      </c>
      <c r="I27" s="8" t="s">
        <v>18</v>
      </c>
      <c r="J27" s="7">
        <v>3987.19</v>
      </c>
      <c r="K27" s="7">
        <v>398719</v>
      </c>
    </row>
    <row r="28" spans="2:11" ht="15.75" customHeight="1" x14ac:dyDescent="0.25">
      <c r="B28" s="8">
        <v>38293</v>
      </c>
      <c r="C28" s="8" t="s">
        <v>359</v>
      </c>
      <c r="D28" s="8" t="s">
        <v>369</v>
      </c>
      <c r="E28" s="8" t="s">
        <v>12</v>
      </c>
      <c r="F28" s="8">
        <v>20961</v>
      </c>
      <c r="G28" s="8" t="s">
        <v>54</v>
      </c>
      <c r="H28" s="8" t="s">
        <v>55</v>
      </c>
      <c r="I28" s="8" t="s">
        <v>18</v>
      </c>
      <c r="J28" s="7">
        <v>3532.1</v>
      </c>
      <c r="K28" s="7">
        <v>353210</v>
      </c>
    </row>
    <row r="29" spans="2:11" ht="15.75" customHeight="1" x14ac:dyDescent="0.25">
      <c r="B29" s="8">
        <v>23067</v>
      </c>
      <c r="C29" s="8" t="s">
        <v>316</v>
      </c>
      <c r="D29" s="8" t="s">
        <v>374</v>
      </c>
      <c r="E29" s="8" t="s">
        <v>12</v>
      </c>
      <c r="F29" s="8">
        <v>32539</v>
      </c>
      <c r="G29" s="8" t="s">
        <v>36</v>
      </c>
      <c r="H29" s="8" t="s">
        <v>37</v>
      </c>
      <c r="I29" s="8" t="s">
        <v>18</v>
      </c>
      <c r="J29" s="7">
        <v>3180</v>
      </c>
      <c r="K29" s="7">
        <v>318000</v>
      </c>
    </row>
    <row r="30" spans="2:11" ht="15.75" customHeight="1" x14ac:dyDescent="0.25">
      <c r="B30" s="8">
        <v>22104</v>
      </c>
      <c r="C30" s="8" t="s">
        <v>316</v>
      </c>
      <c r="D30" s="8" t="s">
        <v>370</v>
      </c>
      <c r="E30" s="8" t="s">
        <v>12</v>
      </c>
      <c r="F30" s="8">
        <v>23776</v>
      </c>
      <c r="G30" s="8" t="s">
        <v>64</v>
      </c>
      <c r="H30" s="8" t="s">
        <v>37</v>
      </c>
      <c r="I30" s="8" t="s">
        <v>18</v>
      </c>
      <c r="J30" s="7">
        <v>3436.75</v>
      </c>
      <c r="K30" s="7">
        <v>343675</v>
      </c>
    </row>
    <row r="31" spans="2:11" ht="15.75" customHeight="1" x14ac:dyDescent="0.25">
      <c r="B31" s="8">
        <v>124124</v>
      </c>
      <c r="C31" s="8" t="s">
        <v>316</v>
      </c>
      <c r="D31" s="8" t="s">
        <v>375</v>
      </c>
      <c r="E31" s="8" t="s">
        <v>12</v>
      </c>
      <c r="F31" s="8">
        <v>32139</v>
      </c>
      <c r="G31" s="8" t="s">
        <v>54</v>
      </c>
      <c r="H31" s="8" t="s">
        <v>55</v>
      </c>
      <c r="I31" s="8" t="s">
        <v>18</v>
      </c>
      <c r="J31" s="7">
        <v>3141.6</v>
      </c>
      <c r="K31" s="7">
        <v>314160</v>
      </c>
    </row>
    <row r="32" spans="2:11" ht="15.75" customHeight="1" x14ac:dyDescent="0.25">
      <c r="B32" s="8">
        <v>124772</v>
      </c>
      <c r="C32" s="8" t="s">
        <v>316</v>
      </c>
      <c r="D32" s="8" t="s">
        <v>385</v>
      </c>
      <c r="E32" s="8" t="s">
        <v>12</v>
      </c>
      <c r="F32" s="8">
        <v>28741</v>
      </c>
      <c r="G32" s="8" t="s">
        <v>70</v>
      </c>
      <c r="H32" s="8" t="s">
        <v>55</v>
      </c>
      <c r="I32" s="8" t="s">
        <v>18</v>
      </c>
      <c r="J32" s="7">
        <v>2704</v>
      </c>
      <c r="K32" s="7">
        <v>270400</v>
      </c>
    </row>
    <row r="33" spans="2:11" ht="15.75" customHeight="1" x14ac:dyDescent="0.25">
      <c r="B33" s="8">
        <v>132656</v>
      </c>
      <c r="C33" s="8" t="s">
        <v>386</v>
      </c>
      <c r="D33" s="8" t="s">
        <v>387</v>
      </c>
      <c r="E33" s="8" t="s">
        <v>12</v>
      </c>
      <c r="F33" s="8">
        <v>21916</v>
      </c>
      <c r="G33" s="8" t="s">
        <v>42</v>
      </c>
      <c r="H33" s="8" t="s">
        <v>17</v>
      </c>
      <c r="I33" s="8" t="s">
        <v>18</v>
      </c>
      <c r="J33" s="7">
        <v>2704</v>
      </c>
      <c r="K33" s="7">
        <v>270400</v>
      </c>
    </row>
    <row r="34" spans="2:11" ht="15.75" customHeight="1" x14ac:dyDescent="0.25">
      <c r="B34" s="8">
        <v>20770</v>
      </c>
      <c r="C34" s="8" t="s">
        <v>371</v>
      </c>
      <c r="D34" s="8" t="s">
        <v>372</v>
      </c>
      <c r="E34" s="8" t="s">
        <v>12</v>
      </c>
      <c r="F34" s="8">
        <v>25568</v>
      </c>
      <c r="G34" s="8" t="s">
        <v>54</v>
      </c>
      <c r="H34" s="8" t="s">
        <v>55</v>
      </c>
      <c r="I34" s="8" t="s">
        <v>18</v>
      </c>
      <c r="J34" s="7">
        <v>3417.67</v>
      </c>
      <c r="K34" s="7">
        <v>341767</v>
      </c>
    </row>
    <row r="35" spans="2:11" ht="15.75" customHeight="1" x14ac:dyDescent="0.25">
      <c r="B35" s="8">
        <v>26467</v>
      </c>
      <c r="C35" s="8" t="s">
        <v>378</v>
      </c>
      <c r="D35" s="8" t="s">
        <v>388</v>
      </c>
      <c r="E35" s="8" t="s">
        <v>12</v>
      </c>
      <c r="F35" s="8">
        <v>30736</v>
      </c>
      <c r="G35" s="8" t="s">
        <v>71</v>
      </c>
      <c r="H35" s="8" t="s">
        <v>72</v>
      </c>
      <c r="I35" s="8" t="s">
        <v>18</v>
      </c>
      <c r="J35" s="7">
        <v>2560.6</v>
      </c>
      <c r="K35" s="7">
        <v>256060</v>
      </c>
    </row>
    <row r="36" spans="2:11" ht="15.75" customHeight="1" x14ac:dyDescent="0.25">
      <c r="B36" s="8">
        <v>35721</v>
      </c>
      <c r="C36" s="8" t="s">
        <v>399</v>
      </c>
      <c r="D36" s="8" t="s">
        <v>358</v>
      </c>
      <c r="E36" s="8" t="s">
        <v>12</v>
      </c>
      <c r="F36" s="8">
        <v>26058</v>
      </c>
      <c r="G36" s="8" t="s">
        <v>76</v>
      </c>
      <c r="H36" s="8" t="s">
        <v>55</v>
      </c>
      <c r="I36" s="8" t="s">
        <v>18</v>
      </c>
      <c r="J36" s="7">
        <v>2307.5</v>
      </c>
      <c r="K36" s="7">
        <v>230750</v>
      </c>
    </row>
    <row r="37" spans="2:11" ht="15.75" customHeight="1" x14ac:dyDescent="0.25">
      <c r="B37" s="8">
        <v>140452</v>
      </c>
      <c r="C37" s="8" t="s">
        <v>405</v>
      </c>
      <c r="D37" s="8" t="s">
        <v>366</v>
      </c>
      <c r="E37" s="8" t="s">
        <v>12</v>
      </c>
      <c r="F37" s="8">
        <v>28949</v>
      </c>
      <c r="G37" s="8" t="s">
        <v>54</v>
      </c>
      <c r="H37" s="8" t="s">
        <v>55</v>
      </c>
      <c r="I37" s="8" t="s">
        <v>18</v>
      </c>
      <c r="J37" s="7">
        <v>2122.56</v>
      </c>
      <c r="K37" s="7">
        <v>212256</v>
      </c>
    </row>
    <row r="38" spans="2:11" ht="15.75" customHeight="1" x14ac:dyDescent="0.25">
      <c r="B38" s="8">
        <v>22993</v>
      </c>
      <c r="C38" s="8" t="s">
        <v>421</v>
      </c>
      <c r="D38" s="8" t="s">
        <v>422</v>
      </c>
      <c r="E38" s="8" t="s">
        <v>12</v>
      </c>
      <c r="F38" s="8">
        <v>16695</v>
      </c>
      <c r="G38" s="8" t="s">
        <v>54</v>
      </c>
      <c r="H38" s="8" t="s">
        <v>55</v>
      </c>
      <c r="I38" s="8" t="s">
        <v>18</v>
      </c>
      <c r="J38" s="7">
        <v>1775.68</v>
      </c>
      <c r="K38" s="7">
        <v>177568</v>
      </c>
    </row>
    <row r="39" spans="2:11" ht="15.75" customHeight="1" x14ac:dyDescent="0.25">
      <c r="B39" s="8">
        <v>21202</v>
      </c>
      <c r="C39" s="8" t="s">
        <v>490</v>
      </c>
      <c r="D39" s="8" t="s">
        <v>406</v>
      </c>
      <c r="E39" s="8" t="s">
        <v>24</v>
      </c>
      <c r="F39" s="8">
        <v>31845</v>
      </c>
      <c r="G39" s="8" t="s">
        <v>107</v>
      </c>
      <c r="H39" s="8" t="s">
        <v>55</v>
      </c>
      <c r="I39" s="8" t="s">
        <v>18</v>
      </c>
      <c r="J39" s="7">
        <v>1239.7</v>
      </c>
      <c r="K39" s="7">
        <v>123970</v>
      </c>
    </row>
    <row r="40" spans="2:11" ht="15.75" customHeight="1" x14ac:dyDescent="0.25">
      <c r="B40" s="8">
        <v>27533</v>
      </c>
      <c r="C40" s="8" t="s">
        <v>483</v>
      </c>
      <c r="D40" s="8" t="s">
        <v>360</v>
      </c>
      <c r="E40" s="8" t="s">
        <v>12</v>
      </c>
      <c r="F40" s="8">
        <v>29792</v>
      </c>
      <c r="G40" s="8" t="s">
        <v>104</v>
      </c>
      <c r="H40" s="8" t="s">
        <v>55</v>
      </c>
      <c r="I40" s="8" t="s">
        <v>18</v>
      </c>
      <c r="J40" s="7">
        <v>1251.3900000000001</v>
      </c>
      <c r="K40" s="7">
        <v>125139</v>
      </c>
    </row>
    <row r="41" spans="2:11" ht="15.75" customHeight="1" x14ac:dyDescent="0.25">
      <c r="B41" s="8">
        <v>126990</v>
      </c>
      <c r="C41" s="8" t="s">
        <v>494</v>
      </c>
      <c r="D41" s="8" t="s">
        <v>495</v>
      </c>
      <c r="E41" s="8" t="s">
        <v>12</v>
      </c>
      <c r="F41" s="8">
        <v>30956</v>
      </c>
      <c r="G41" s="8" t="s">
        <v>36</v>
      </c>
      <c r="H41" s="8" t="s">
        <v>37</v>
      </c>
      <c r="I41" s="8" t="s">
        <v>18</v>
      </c>
      <c r="J41" s="7">
        <v>1218</v>
      </c>
      <c r="K41" s="7">
        <v>121800</v>
      </c>
    </row>
    <row r="42" spans="2:11" ht="15.75" customHeight="1" x14ac:dyDescent="0.25">
      <c r="B42" s="8">
        <v>23197</v>
      </c>
      <c r="C42" s="8" t="s">
        <v>488</v>
      </c>
      <c r="D42" s="8" t="s">
        <v>489</v>
      </c>
      <c r="E42" s="8" t="s">
        <v>12</v>
      </c>
      <c r="F42" s="8">
        <v>32143</v>
      </c>
      <c r="G42" s="8" t="s">
        <v>106</v>
      </c>
      <c r="H42" s="8" t="s">
        <v>55</v>
      </c>
      <c r="I42" s="8" t="s">
        <v>18</v>
      </c>
      <c r="J42" s="7">
        <v>1240</v>
      </c>
      <c r="K42" s="7">
        <v>124000</v>
      </c>
    </row>
    <row r="43" spans="2:11" ht="15.75" customHeight="1" x14ac:dyDescent="0.25">
      <c r="B43" s="8">
        <v>137759</v>
      </c>
      <c r="C43" s="8" t="s">
        <v>521</v>
      </c>
      <c r="D43" s="8" t="s">
        <v>522</v>
      </c>
      <c r="E43" s="8" t="s">
        <v>12</v>
      </c>
      <c r="F43" s="8">
        <v>28857</v>
      </c>
      <c r="G43" s="8" t="s">
        <v>114</v>
      </c>
      <c r="H43" s="8" t="s">
        <v>17</v>
      </c>
      <c r="I43" s="8" t="s">
        <v>18</v>
      </c>
      <c r="J43" s="7">
        <v>1062.18</v>
      </c>
      <c r="K43" s="7">
        <v>106218</v>
      </c>
    </row>
    <row r="44" spans="2:11" ht="15.75" customHeight="1" x14ac:dyDescent="0.25">
      <c r="B44" s="8">
        <v>22394</v>
      </c>
      <c r="C44" s="8" t="s">
        <v>499</v>
      </c>
      <c r="D44" s="8" t="s">
        <v>500</v>
      </c>
      <c r="E44" s="8" t="s">
        <v>12</v>
      </c>
      <c r="F44" s="8">
        <v>24474</v>
      </c>
      <c r="G44" s="8" t="s">
        <v>110</v>
      </c>
      <c r="H44" s="8" t="s">
        <v>111</v>
      </c>
      <c r="I44" s="8" t="s">
        <v>18</v>
      </c>
      <c r="J44" s="7">
        <v>1197</v>
      </c>
      <c r="K44" s="7">
        <v>119700</v>
      </c>
    </row>
    <row r="45" spans="2:11" ht="15.75" customHeight="1" x14ac:dyDescent="0.25">
      <c r="B45" s="8">
        <v>20646</v>
      </c>
      <c r="C45" s="8" t="s">
        <v>551</v>
      </c>
      <c r="D45" s="8" t="s">
        <v>552</v>
      </c>
      <c r="E45" s="8" t="s">
        <v>12</v>
      </c>
      <c r="F45" s="8">
        <v>23136</v>
      </c>
      <c r="G45" s="8" t="s">
        <v>54</v>
      </c>
      <c r="H45" s="8" t="s">
        <v>55</v>
      </c>
      <c r="I45" s="8" t="s">
        <v>18</v>
      </c>
      <c r="J45" s="7">
        <v>894</v>
      </c>
      <c r="K45" s="7">
        <v>89400</v>
      </c>
    </row>
    <row r="46" spans="2:11" ht="15.75" customHeight="1" x14ac:dyDescent="0.25">
      <c r="B46" s="8">
        <v>21960</v>
      </c>
      <c r="C46" s="8" t="s">
        <v>529</v>
      </c>
      <c r="D46" s="8" t="s">
        <v>530</v>
      </c>
      <c r="E46" s="8" t="s">
        <v>24</v>
      </c>
      <c r="F46" s="8">
        <v>32348</v>
      </c>
      <c r="G46" s="8" t="s">
        <v>115</v>
      </c>
      <c r="H46" s="8" t="s">
        <v>116</v>
      </c>
      <c r="I46" s="8" t="s">
        <v>18</v>
      </c>
      <c r="J46" s="7">
        <v>1015.3</v>
      </c>
      <c r="K46" s="7">
        <v>101530</v>
      </c>
    </row>
    <row r="47" spans="2:11" ht="15.75" customHeight="1" x14ac:dyDescent="0.25">
      <c r="B47" s="8">
        <v>20928</v>
      </c>
      <c r="C47" s="8" t="s">
        <v>548</v>
      </c>
      <c r="D47" s="8" t="s">
        <v>549</v>
      </c>
      <c r="E47" s="8" t="s">
        <v>24</v>
      </c>
      <c r="F47" s="8">
        <v>27537</v>
      </c>
      <c r="G47" s="8" t="s">
        <v>70</v>
      </c>
      <c r="H47" s="8" t="s">
        <v>55</v>
      </c>
      <c r="I47" s="8" t="s">
        <v>18</v>
      </c>
      <c r="J47" s="7">
        <v>914.39</v>
      </c>
      <c r="K47" s="7">
        <v>91439</v>
      </c>
    </row>
    <row r="48" spans="2:11" ht="15.75" customHeight="1" x14ac:dyDescent="0.25">
      <c r="B48" s="8">
        <v>47952</v>
      </c>
      <c r="C48" s="8" t="s">
        <v>546</v>
      </c>
      <c r="D48" s="8" t="s">
        <v>547</v>
      </c>
      <c r="E48" s="8" t="s">
        <v>12</v>
      </c>
      <c r="F48" s="8">
        <v>35079</v>
      </c>
      <c r="G48" s="8" t="s">
        <v>54</v>
      </c>
      <c r="H48" s="8" t="s">
        <v>55</v>
      </c>
      <c r="I48" s="8" t="s">
        <v>18</v>
      </c>
      <c r="J48" s="7">
        <v>923.18</v>
      </c>
      <c r="K48" s="7">
        <v>92318</v>
      </c>
    </row>
    <row r="49" spans="2:11" ht="15.75" customHeight="1" x14ac:dyDescent="0.25">
      <c r="B49" s="8">
        <v>20908</v>
      </c>
      <c r="C49" s="8" t="s">
        <v>556</v>
      </c>
      <c r="D49" s="8" t="s">
        <v>583</v>
      </c>
      <c r="E49" s="8" t="s">
        <v>24</v>
      </c>
      <c r="F49" s="8">
        <v>23768</v>
      </c>
      <c r="G49" s="8" t="s">
        <v>114</v>
      </c>
      <c r="H49" s="8" t="s">
        <v>17</v>
      </c>
      <c r="I49" s="8" t="s">
        <v>18</v>
      </c>
      <c r="J49" s="7">
        <v>741.24</v>
      </c>
      <c r="K49" s="7">
        <v>74124</v>
      </c>
    </row>
    <row r="50" spans="2:11" ht="15.75" customHeight="1" x14ac:dyDescent="0.25">
      <c r="B50" s="8">
        <v>123387</v>
      </c>
      <c r="C50" s="8" t="s">
        <v>556</v>
      </c>
      <c r="D50" s="8" t="s">
        <v>339</v>
      </c>
      <c r="E50" s="8" t="s">
        <v>24</v>
      </c>
      <c r="F50" s="8">
        <v>24377</v>
      </c>
      <c r="G50" s="8" t="s">
        <v>54</v>
      </c>
      <c r="H50" s="8" t="s">
        <v>55</v>
      </c>
      <c r="I50" s="8" t="s">
        <v>18</v>
      </c>
      <c r="J50" s="7">
        <v>672.04</v>
      </c>
      <c r="K50" s="7">
        <v>67204</v>
      </c>
    </row>
    <row r="51" spans="2:11" ht="15.75" customHeight="1" x14ac:dyDescent="0.25">
      <c r="B51" s="8">
        <v>123434</v>
      </c>
      <c r="C51" s="8" t="s">
        <v>574</v>
      </c>
      <c r="D51" s="8" t="s">
        <v>575</v>
      </c>
      <c r="E51" s="8" t="s">
        <v>12</v>
      </c>
      <c r="F51" s="8">
        <v>26239</v>
      </c>
      <c r="G51" s="8" t="s">
        <v>70</v>
      </c>
      <c r="H51" s="8" t="s">
        <v>55</v>
      </c>
      <c r="I51" s="8" t="s">
        <v>18</v>
      </c>
      <c r="J51" s="7">
        <v>765.05</v>
      </c>
      <c r="K51" s="7">
        <v>76505</v>
      </c>
    </row>
    <row r="52" spans="2:11" ht="15.75" customHeight="1" x14ac:dyDescent="0.25">
      <c r="B52" s="8">
        <v>20618</v>
      </c>
      <c r="C52" s="8" t="s">
        <v>579</v>
      </c>
      <c r="D52" s="8" t="s">
        <v>600</v>
      </c>
      <c r="E52" s="8" t="s">
        <v>24</v>
      </c>
      <c r="F52" s="8">
        <v>19725</v>
      </c>
      <c r="G52" s="8" t="s">
        <v>127</v>
      </c>
      <c r="H52" s="8" t="s">
        <v>37</v>
      </c>
      <c r="I52" s="8" t="s">
        <v>18</v>
      </c>
      <c r="J52" s="7">
        <v>661.2</v>
      </c>
      <c r="K52" s="7">
        <v>66120</v>
      </c>
    </row>
    <row r="53" spans="2:11" ht="15.75" customHeight="1" x14ac:dyDescent="0.25">
      <c r="B53" s="8">
        <v>26437</v>
      </c>
      <c r="C53" s="8" t="s">
        <v>605</v>
      </c>
      <c r="D53" s="8" t="s">
        <v>585</v>
      </c>
      <c r="E53" s="8" t="s">
        <v>24</v>
      </c>
      <c r="F53" s="8">
        <v>27593</v>
      </c>
      <c r="G53" s="8" t="s">
        <v>128</v>
      </c>
      <c r="H53" s="8" t="s">
        <v>129</v>
      </c>
      <c r="I53" s="8" t="s">
        <v>18</v>
      </c>
      <c r="J53" s="7">
        <v>640</v>
      </c>
      <c r="K53" s="7">
        <v>64000</v>
      </c>
    </row>
    <row r="54" spans="2:11" ht="15.75" customHeight="1" x14ac:dyDescent="0.25">
      <c r="B54" s="8">
        <v>21767</v>
      </c>
      <c r="C54" s="8" t="s">
        <v>633</v>
      </c>
      <c r="D54" s="8" t="s">
        <v>634</v>
      </c>
      <c r="E54" s="8" t="s">
        <v>12</v>
      </c>
      <c r="F54" s="8">
        <v>33664</v>
      </c>
      <c r="G54" s="8" t="s">
        <v>134</v>
      </c>
      <c r="H54" s="8" t="s">
        <v>135</v>
      </c>
      <c r="I54" s="8" t="s">
        <v>18</v>
      </c>
      <c r="J54" s="7">
        <v>568.86</v>
      </c>
      <c r="K54" s="7">
        <v>56886</v>
      </c>
    </row>
    <row r="55" spans="2:11" ht="15.75" customHeight="1" x14ac:dyDescent="0.25">
      <c r="B55" s="8">
        <v>24918</v>
      </c>
      <c r="C55" s="8" t="s">
        <v>638</v>
      </c>
      <c r="D55" s="8" t="s">
        <v>416</v>
      </c>
      <c r="E55" s="8" t="s">
        <v>12</v>
      </c>
      <c r="F55" s="8">
        <v>31048</v>
      </c>
      <c r="G55" s="8" t="s">
        <v>53</v>
      </c>
      <c r="H55" s="8" t="s">
        <v>37</v>
      </c>
      <c r="I55" s="8" t="s">
        <v>18</v>
      </c>
      <c r="J55" s="7">
        <v>497.14</v>
      </c>
      <c r="K55" s="7">
        <v>49714</v>
      </c>
    </row>
    <row r="56" spans="2:11" ht="15.75" customHeight="1" x14ac:dyDescent="0.25">
      <c r="B56" s="8">
        <v>20784</v>
      </c>
      <c r="C56" s="8" t="s">
        <v>638</v>
      </c>
      <c r="D56" s="8" t="s">
        <v>559</v>
      </c>
      <c r="E56" s="8" t="s">
        <v>12</v>
      </c>
      <c r="F56" s="8">
        <v>30683</v>
      </c>
      <c r="G56" s="8" t="s">
        <v>54</v>
      </c>
      <c r="H56" s="8" t="s">
        <v>55</v>
      </c>
      <c r="I56" s="8" t="s">
        <v>18</v>
      </c>
      <c r="J56" s="7">
        <v>551.4</v>
      </c>
      <c r="K56" s="7">
        <v>55140</v>
      </c>
    </row>
    <row r="57" spans="2:11" ht="15.75" customHeight="1" x14ac:dyDescent="0.25">
      <c r="B57" s="8">
        <v>136793</v>
      </c>
      <c r="C57" s="8" t="s">
        <v>650</v>
      </c>
      <c r="D57" s="8" t="s">
        <v>651</v>
      </c>
      <c r="E57" s="8" t="s">
        <v>24</v>
      </c>
      <c r="F57" s="8">
        <v>18964</v>
      </c>
      <c r="G57" s="8" t="s">
        <v>138</v>
      </c>
      <c r="H57" s="8" t="s">
        <v>55</v>
      </c>
      <c r="I57" s="8" t="s">
        <v>18</v>
      </c>
      <c r="J57" s="7">
        <v>516.41999999999996</v>
      </c>
      <c r="K57" s="7">
        <v>51642</v>
      </c>
    </row>
    <row r="58" spans="2:11" ht="15.75" customHeight="1" x14ac:dyDescent="0.25">
      <c r="B58" s="8">
        <v>26583</v>
      </c>
      <c r="C58" s="8" t="s">
        <v>647</v>
      </c>
      <c r="D58" s="8" t="s">
        <v>648</v>
      </c>
      <c r="E58" s="8" t="s">
        <v>24</v>
      </c>
      <c r="F58" s="8">
        <v>23569</v>
      </c>
      <c r="G58" s="8" t="s">
        <v>138</v>
      </c>
      <c r="H58" s="8" t="s">
        <v>55</v>
      </c>
      <c r="I58" s="8" t="s">
        <v>18</v>
      </c>
      <c r="J58" s="7">
        <v>525.44000000000005</v>
      </c>
      <c r="K58" s="7">
        <v>52544</v>
      </c>
    </row>
    <row r="59" spans="2:11" ht="15.75" customHeight="1" x14ac:dyDescent="0.25">
      <c r="B59" s="8">
        <v>23650</v>
      </c>
      <c r="C59" s="8" t="s">
        <v>676</v>
      </c>
      <c r="D59" s="8" t="s">
        <v>677</v>
      </c>
      <c r="E59" s="8" t="s">
        <v>12</v>
      </c>
      <c r="F59" s="8">
        <v>26306</v>
      </c>
      <c r="G59" s="8" t="s">
        <v>54</v>
      </c>
      <c r="H59" s="8" t="s">
        <v>55</v>
      </c>
      <c r="I59" s="8" t="s">
        <v>18</v>
      </c>
      <c r="J59" s="7">
        <v>446.32</v>
      </c>
      <c r="K59" s="7">
        <v>44632</v>
      </c>
    </row>
    <row r="60" spans="2:11" ht="15.75" customHeight="1" x14ac:dyDescent="0.25">
      <c r="B60" s="8">
        <v>138474</v>
      </c>
      <c r="C60" s="8" t="s">
        <v>683</v>
      </c>
      <c r="D60" s="8" t="s">
        <v>690</v>
      </c>
      <c r="E60" s="8" t="s">
        <v>24</v>
      </c>
      <c r="F60" s="8">
        <v>23941</v>
      </c>
      <c r="G60" s="8" t="s">
        <v>104</v>
      </c>
      <c r="H60" s="8" t="s">
        <v>55</v>
      </c>
      <c r="I60" s="8" t="s">
        <v>18</v>
      </c>
      <c r="J60" s="7">
        <v>405.6</v>
      </c>
      <c r="K60" s="7">
        <v>40560</v>
      </c>
    </row>
    <row r="61" spans="2:11" ht="15.75" customHeight="1" x14ac:dyDescent="0.25">
      <c r="B61" s="8">
        <v>94376</v>
      </c>
      <c r="C61" s="8" t="s">
        <v>710</v>
      </c>
      <c r="D61" s="8" t="s">
        <v>711</v>
      </c>
      <c r="E61" s="8" t="s">
        <v>12</v>
      </c>
      <c r="F61" s="8">
        <v>32813</v>
      </c>
      <c r="G61" s="8" t="s">
        <v>36</v>
      </c>
      <c r="H61" s="8" t="s">
        <v>37</v>
      </c>
      <c r="I61" s="8" t="s">
        <v>18</v>
      </c>
      <c r="J61" s="7">
        <v>350</v>
      </c>
      <c r="K61" s="7">
        <v>35000</v>
      </c>
    </row>
    <row r="62" spans="2:11" ht="15.75" customHeight="1" x14ac:dyDescent="0.25">
      <c r="B62" s="8">
        <v>131043</v>
      </c>
      <c r="C62" s="8" t="s">
        <v>681</v>
      </c>
      <c r="D62" s="8" t="s">
        <v>682</v>
      </c>
      <c r="E62" s="8" t="s">
        <v>12</v>
      </c>
      <c r="F62" s="8">
        <v>27741</v>
      </c>
      <c r="G62" s="8" t="s">
        <v>54</v>
      </c>
      <c r="H62" s="8" t="s">
        <v>55</v>
      </c>
      <c r="I62" s="8" t="s">
        <v>18</v>
      </c>
      <c r="J62" s="7">
        <v>430.92</v>
      </c>
      <c r="K62" s="7">
        <v>43092</v>
      </c>
    </row>
    <row r="63" spans="2:11" ht="15.75" customHeight="1" x14ac:dyDescent="0.25">
      <c r="B63" s="8">
        <v>21415</v>
      </c>
      <c r="C63" s="8" t="s">
        <v>702</v>
      </c>
      <c r="D63" s="8" t="s">
        <v>703</v>
      </c>
      <c r="E63" s="8" t="s">
        <v>12</v>
      </c>
      <c r="F63" s="8">
        <v>29965</v>
      </c>
      <c r="G63" s="8" t="s">
        <v>128</v>
      </c>
      <c r="H63" s="8" t="s">
        <v>129</v>
      </c>
      <c r="I63" s="8" t="s">
        <v>18</v>
      </c>
      <c r="J63" s="7">
        <v>363.44</v>
      </c>
      <c r="K63" s="7">
        <v>36344</v>
      </c>
    </row>
    <row r="64" spans="2:11" ht="15.75" customHeight="1" x14ac:dyDescent="0.25">
      <c r="B64" s="8">
        <v>20752</v>
      </c>
      <c r="C64" s="8" t="s">
        <v>696</v>
      </c>
      <c r="D64" s="8" t="s">
        <v>563</v>
      </c>
      <c r="E64" s="8" t="s">
        <v>24</v>
      </c>
      <c r="F64" s="8">
        <v>17540</v>
      </c>
      <c r="G64" s="8" t="s">
        <v>54</v>
      </c>
      <c r="H64" s="8" t="s">
        <v>55</v>
      </c>
      <c r="I64" s="8" t="s">
        <v>18</v>
      </c>
      <c r="J64" s="7">
        <v>378.2</v>
      </c>
      <c r="K64" s="7">
        <v>37820</v>
      </c>
    </row>
    <row r="65" spans="2:11" ht="15.75" customHeight="1" x14ac:dyDescent="0.25">
      <c r="B65" s="8">
        <v>137477</v>
      </c>
      <c r="C65" s="8" t="s">
        <v>735</v>
      </c>
      <c r="D65" s="8" t="s">
        <v>736</v>
      </c>
      <c r="E65" s="8" t="s">
        <v>12</v>
      </c>
      <c r="F65" s="8">
        <v>25446</v>
      </c>
      <c r="G65" s="8" t="s">
        <v>154</v>
      </c>
      <c r="H65" s="8" t="s">
        <v>37</v>
      </c>
      <c r="I65" s="8" t="s">
        <v>18</v>
      </c>
      <c r="J65" s="7">
        <v>312</v>
      </c>
      <c r="K65" s="7">
        <v>31200</v>
      </c>
    </row>
    <row r="66" spans="2:11" ht="15.75" customHeight="1" x14ac:dyDescent="0.25">
      <c r="B66" s="8">
        <v>21389</v>
      </c>
      <c r="C66" s="8" t="s">
        <v>733</v>
      </c>
      <c r="D66" s="8" t="s">
        <v>734</v>
      </c>
      <c r="E66" s="8" t="s">
        <v>24</v>
      </c>
      <c r="F66" s="8">
        <v>32200</v>
      </c>
      <c r="G66" s="8" t="s">
        <v>115</v>
      </c>
      <c r="H66" s="8" t="s">
        <v>116</v>
      </c>
      <c r="I66" s="8" t="s">
        <v>18</v>
      </c>
      <c r="J66" s="7">
        <v>317.47000000000003</v>
      </c>
      <c r="K66" s="7">
        <v>31747</v>
      </c>
    </row>
    <row r="67" spans="2:11" ht="15.75" customHeight="1" x14ac:dyDescent="0.25">
      <c r="B67" s="8">
        <v>21954</v>
      </c>
      <c r="C67" s="8" t="s">
        <v>745</v>
      </c>
      <c r="D67" s="8" t="s">
        <v>746</v>
      </c>
      <c r="E67" s="8" t="s">
        <v>12</v>
      </c>
      <c r="F67" s="8">
        <v>24056</v>
      </c>
      <c r="G67" s="8" t="s">
        <v>138</v>
      </c>
      <c r="H67" s="8" t="s">
        <v>55</v>
      </c>
      <c r="I67" s="8" t="s">
        <v>18</v>
      </c>
      <c r="J67" s="7">
        <v>308</v>
      </c>
      <c r="K67" s="7">
        <v>30800</v>
      </c>
    </row>
    <row r="68" spans="2:11" ht="15.75" customHeight="1" x14ac:dyDescent="0.25">
      <c r="B68" s="8">
        <v>20762</v>
      </c>
      <c r="C68" s="8" t="s">
        <v>769</v>
      </c>
      <c r="D68" s="8" t="s">
        <v>770</v>
      </c>
      <c r="E68" s="8" t="s">
        <v>12</v>
      </c>
      <c r="F68" s="8">
        <v>32390</v>
      </c>
      <c r="G68" s="8" t="s">
        <v>127</v>
      </c>
      <c r="H68" s="8" t="s">
        <v>37</v>
      </c>
      <c r="I68" s="8" t="s">
        <v>18</v>
      </c>
      <c r="J68" s="7">
        <v>274.86</v>
      </c>
      <c r="K68" s="7">
        <v>27486</v>
      </c>
    </row>
    <row r="69" spans="2:11" ht="15.75" customHeight="1" x14ac:dyDescent="0.25">
      <c r="B69" s="8">
        <v>20697</v>
      </c>
      <c r="C69" s="8" t="s">
        <v>791</v>
      </c>
      <c r="D69" s="8" t="s">
        <v>792</v>
      </c>
      <c r="E69" s="8" t="s">
        <v>24</v>
      </c>
      <c r="F69" s="8">
        <v>29842</v>
      </c>
      <c r="G69" s="8" t="s">
        <v>16</v>
      </c>
      <c r="H69" s="8" t="s">
        <v>17</v>
      </c>
      <c r="I69" s="8" t="s">
        <v>18</v>
      </c>
      <c r="J69" s="7">
        <v>250</v>
      </c>
      <c r="K69" s="7">
        <v>25000</v>
      </c>
    </row>
    <row r="70" spans="2:11" ht="15.75" customHeight="1" x14ac:dyDescent="0.25">
      <c r="B70" s="8">
        <v>21608</v>
      </c>
      <c r="C70" s="8" t="s">
        <v>774</v>
      </c>
      <c r="D70" s="8" t="s">
        <v>775</v>
      </c>
      <c r="E70" s="8" t="s">
        <v>24</v>
      </c>
      <c r="F70" s="8">
        <v>30682</v>
      </c>
      <c r="G70" s="8" t="s">
        <v>53</v>
      </c>
      <c r="H70" s="8" t="s">
        <v>37</v>
      </c>
      <c r="I70" s="8" t="s">
        <v>18</v>
      </c>
      <c r="J70" s="7">
        <v>270</v>
      </c>
      <c r="K70" s="7">
        <v>27000</v>
      </c>
    </row>
    <row r="71" spans="2:11" ht="15.75" customHeight="1" x14ac:dyDescent="0.25">
      <c r="B71" s="8">
        <v>140018</v>
      </c>
      <c r="C71" s="8" t="s">
        <v>776</v>
      </c>
      <c r="D71" s="8" t="s">
        <v>794</v>
      </c>
      <c r="E71" s="8" t="s">
        <v>24</v>
      </c>
      <c r="F71" s="8">
        <v>24473</v>
      </c>
      <c r="G71" s="8" t="s">
        <v>162</v>
      </c>
      <c r="H71" s="8" t="s">
        <v>17</v>
      </c>
      <c r="I71" s="8" t="s">
        <v>18</v>
      </c>
      <c r="J71" s="7">
        <v>248.04</v>
      </c>
      <c r="K71" s="7">
        <v>24804</v>
      </c>
    </row>
    <row r="72" spans="2:11" ht="15.75" customHeight="1" x14ac:dyDescent="0.25">
      <c r="B72" s="8">
        <v>20921</v>
      </c>
      <c r="C72" s="8" t="s">
        <v>781</v>
      </c>
      <c r="D72" s="8" t="s">
        <v>366</v>
      </c>
      <c r="E72" s="8" t="s">
        <v>12</v>
      </c>
      <c r="F72" s="8">
        <v>27420</v>
      </c>
      <c r="G72" s="8" t="s">
        <v>54</v>
      </c>
      <c r="H72" s="8" t="s">
        <v>55</v>
      </c>
      <c r="I72" s="8" t="s">
        <v>18</v>
      </c>
      <c r="J72" s="7">
        <v>258.72000000000003</v>
      </c>
      <c r="K72" s="7">
        <v>25872</v>
      </c>
    </row>
    <row r="73" spans="2:11" ht="15.75" customHeight="1" x14ac:dyDescent="0.25">
      <c r="B73" s="8">
        <v>21135</v>
      </c>
      <c r="C73" s="8" t="s">
        <v>782</v>
      </c>
      <c r="D73" s="8" t="s">
        <v>809</v>
      </c>
      <c r="E73" s="8" t="s">
        <v>12</v>
      </c>
      <c r="F73" s="8">
        <v>24472</v>
      </c>
      <c r="G73" s="8" t="s">
        <v>76</v>
      </c>
      <c r="H73" s="8" t="s">
        <v>55</v>
      </c>
      <c r="I73" s="8" t="s">
        <v>18</v>
      </c>
      <c r="J73" s="7">
        <v>223.44</v>
      </c>
      <c r="K73" s="7">
        <v>22344</v>
      </c>
    </row>
    <row r="74" spans="2:11" ht="15.75" customHeight="1" x14ac:dyDescent="0.25">
      <c r="B74" s="8">
        <v>126215</v>
      </c>
      <c r="C74" s="8" t="s">
        <v>821</v>
      </c>
      <c r="D74" s="8" t="s">
        <v>636</v>
      </c>
      <c r="E74" s="8" t="s">
        <v>12</v>
      </c>
      <c r="F74" s="8">
        <v>30022</v>
      </c>
      <c r="G74" s="8" t="s">
        <v>128</v>
      </c>
      <c r="H74" s="8" t="s">
        <v>129</v>
      </c>
      <c r="I74" s="8" t="s">
        <v>18</v>
      </c>
      <c r="J74" s="7">
        <v>199.5</v>
      </c>
      <c r="K74" s="7">
        <v>19950</v>
      </c>
    </row>
    <row r="75" spans="2:11" ht="15.75" customHeight="1" x14ac:dyDescent="0.25">
      <c r="B75" s="8">
        <v>21080</v>
      </c>
      <c r="C75" s="8" t="s">
        <v>842</v>
      </c>
      <c r="D75" s="8" t="s">
        <v>497</v>
      </c>
      <c r="E75" s="8" t="s">
        <v>12</v>
      </c>
      <c r="F75" s="8">
        <v>27452</v>
      </c>
      <c r="G75" s="8" t="s">
        <v>154</v>
      </c>
      <c r="H75" s="8" t="s">
        <v>37</v>
      </c>
      <c r="I75" s="8" t="s">
        <v>18</v>
      </c>
      <c r="J75" s="7">
        <v>153</v>
      </c>
      <c r="K75" s="7">
        <v>15300</v>
      </c>
    </row>
    <row r="76" spans="2:11" ht="15.75" customHeight="1" x14ac:dyDescent="0.25">
      <c r="B76" s="8">
        <v>22905</v>
      </c>
      <c r="C76" s="8" t="s">
        <v>883</v>
      </c>
      <c r="D76" s="8" t="s">
        <v>884</v>
      </c>
      <c r="E76" s="8" t="s">
        <v>12</v>
      </c>
      <c r="F76" s="8">
        <v>32695</v>
      </c>
      <c r="G76" s="8" t="s">
        <v>70</v>
      </c>
      <c r="H76" s="8" t="s">
        <v>55</v>
      </c>
      <c r="I76" s="8" t="s">
        <v>18</v>
      </c>
      <c r="J76" s="7">
        <v>147.41999999999999</v>
      </c>
      <c r="K76" s="7">
        <v>14742</v>
      </c>
    </row>
    <row r="77" spans="2:11" ht="15.75" customHeight="1" x14ac:dyDescent="0.25">
      <c r="B77" s="8">
        <v>24012</v>
      </c>
      <c r="C77" s="8" t="s">
        <v>889</v>
      </c>
      <c r="D77" s="8" t="s">
        <v>890</v>
      </c>
      <c r="E77" s="8" t="s">
        <v>12</v>
      </c>
      <c r="F77" s="8">
        <v>33596</v>
      </c>
      <c r="G77" s="8" t="s">
        <v>54</v>
      </c>
      <c r="H77" s="8" t="s">
        <v>55</v>
      </c>
      <c r="I77" s="8" t="s">
        <v>18</v>
      </c>
      <c r="J77" s="7">
        <v>140.4</v>
      </c>
      <c r="K77" s="7">
        <v>14040</v>
      </c>
    </row>
    <row r="78" spans="2:11" ht="15.75" customHeight="1" x14ac:dyDescent="0.25">
      <c r="B78" s="8">
        <v>140105</v>
      </c>
      <c r="C78" s="8" t="s">
        <v>898</v>
      </c>
      <c r="D78" s="8" t="s">
        <v>339</v>
      </c>
      <c r="E78" s="8" t="s">
        <v>12</v>
      </c>
      <c r="F78" s="8">
        <v>30150</v>
      </c>
      <c r="G78" s="8" t="s">
        <v>171</v>
      </c>
      <c r="H78" s="8" t="s">
        <v>55</v>
      </c>
      <c r="I78" s="8" t="s">
        <v>18</v>
      </c>
      <c r="J78" s="7">
        <v>118</v>
      </c>
      <c r="K78" s="7">
        <v>11800</v>
      </c>
    </row>
    <row r="79" spans="2:11" ht="15.75" customHeight="1" x14ac:dyDescent="0.25">
      <c r="B79" s="8">
        <v>121138</v>
      </c>
      <c r="C79" s="8" t="s">
        <v>898</v>
      </c>
      <c r="D79" s="8" t="s">
        <v>923</v>
      </c>
      <c r="E79" s="8" t="s">
        <v>12</v>
      </c>
      <c r="F79" s="8">
        <v>31878</v>
      </c>
      <c r="G79" s="8" t="s">
        <v>71</v>
      </c>
      <c r="H79" s="8" t="s">
        <v>72</v>
      </c>
      <c r="I79" s="8" t="s">
        <v>18</v>
      </c>
      <c r="J79" s="7">
        <v>107.46</v>
      </c>
      <c r="K79" s="7">
        <v>10746</v>
      </c>
    </row>
    <row r="80" spans="2:11" ht="15.75" customHeight="1" x14ac:dyDescent="0.25">
      <c r="B80" s="8">
        <v>121576</v>
      </c>
      <c r="C80" s="8" t="s">
        <v>898</v>
      </c>
      <c r="D80" s="8" t="s">
        <v>903</v>
      </c>
      <c r="E80" s="8" t="s">
        <v>12</v>
      </c>
      <c r="F80" s="8">
        <v>31083</v>
      </c>
      <c r="G80" s="8" t="s">
        <v>114</v>
      </c>
      <c r="H80" s="8" t="s">
        <v>17</v>
      </c>
      <c r="I80" s="8" t="s">
        <v>18</v>
      </c>
      <c r="J80" s="7">
        <v>121.39</v>
      </c>
      <c r="K80" s="7">
        <v>12139</v>
      </c>
    </row>
    <row r="81" spans="2:11" ht="15.75" customHeight="1" x14ac:dyDescent="0.25">
      <c r="B81" s="8">
        <v>131558</v>
      </c>
      <c r="C81" s="8" t="s">
        <v>908</v>
      </c>
      <c r="D81" s="8" t="s">
        <v>680</v>
      </c>
      <c r="E81" s="8" t="s">
        <v>12</v>
      </c>
      <c r="F81" s="8">
        <v>29974</v>
      </c>
      <c r="G81" s="8" t="s">
        <v>76</v>
      </c>
      <c r="H81" s="8" t="s">
        <v>55</v>
      </c>
      <c r="I81" s="8" t="s">
        <v>18</v>
      </c>
      <c r="J81" s="7">
        <v>99.6</v>
      </c>
      <c r="K81" s="7">
        <v>9960</v>
      </c>
    </row>
    <row r="82" spans="2:11" ht="15.75" customHeight="1" x14ac:dyDescent="0.25">
      <c r="B82" s="8">
        <v>42271</v>
      </c>
      <c r="C82" s="8" t="s">
        <v>943</v>
      </c>
      <c r="D82" s="8" t="s">
        <v>944</v>
      </c>
      <c r="E82" s="8" t="s">
        <v>12</v>
      </c>
      <c r="F82" s="8">
        <v>32901</v>
      </c>
      <c r="G82" s="8" t="s">
        <v>76</v>
      </c>
      <c r="H82" s="8" t="s">
        <v>55</v>
      </c>
      <c r="I82" s="8" t="s">
        <v>18</v>
      </c>
      <c r="J82" s="7">
        <v>86.42</v>
      </c>
      <c r="K82" s="7">
        <v>8642</v>
      </c>
    </row>
    <row r="83" spans="2:11" ht="15.75" customHeight="1" x14ac:dyDescent="0.25">
      <c r="B83" s="8">
        <v>33416</v>
      </c>
      <c r="C83" s="8" t="s">
        <v>955</v>
      </c>
      <c r="D83" s="8" t="s">
        <v>956</v>
      </c>
      <c r="E83" s="8" t="s">
        <v>12</v>
      </c>
      <c r="F83" s="8">
        <v>27589</v>
      </c>
      <c r="G83" s="8" t="s">
        <v>181</v>
      </c>
      <c r="H83" s="8" t="s">
        <v>182</v>
      </c>
      <c r="I83" s="8" t="s">
        <v>18</v>
      </c>
      <c r="J83" s="7">
        <v>74.5</v>
      </c>
      <c r="K83" s="7">
        <v>7450</v>
      </c>
    </row>
    <row r="84" spans="2:11" ht="15.75" customHeight="1" x14ac:dyDescent="0.25">
      <c r="B84" s="8">
        <v>20789</v>
      </c>
      <c r="C84" s="8" t="s">
        <v>931</v>
      </c>
      <c r="D84" s="8" t="s">
        <v>932</v>
      </c>
      <c r="E84" s="8" t="s">
        <v>12</v>
      </c>
      <c r="F84" s="8">
        <v>27374</v>
      </c>
      <c r="G84" s="8" t="s">
        <v>162</v>
      </c>
      <c r="H84" s="8" t="s">
        <v>17</v>
      </c>
      <c r="I84" s="8" t="s">
        <v>18</v>
      </c>
      <c r="J84" s="7">
        <v>99.83</v>
      </c>
      <c r="K84" s="7">
        <v>9983</v>
      </c>
    </row>
    <row r="85" spans="2:11" ht="15.75" customHeight="1" x14ac:dyDescent="0.25">
      <c r="B85" s="8">
        <v>22053</v>
      </c>
      <c r="C85" s="8" t="s">
        <v>945</v>
      </c>
      <c r="D85" s="8" t="s">
        <v>946</v>
      </c>
      <c r="E85" s="8" t="s">
        <v>12</v>
      </c>
      <c r="F85" s="8">
        <v>19782</v>
      </c>
      <c r="G85" s="8" t="s">
        <v>107</v>
      </c>
      <c r="H85" s="8" t="s">
        <v>55</v>
      </c>
      <c r="I85" s="8" t="s">
        <v>18</v>
      </c>
      <c r="J85" s="7">
        <v>84.93</v>
      </c>
      <c r="K85" s="7">
        <v>8493</v>
      </c>
    </row>
    <row r="86" spans="2:11" ht="15.75" customHeight="1" x14ac:dyDescent="0.25">
      <c r="B86" s="8">
        <v>23633</v>
      </c>
      <c r="C86" s="8" t="s">
        <v>949</v>
      </c>
      <c r="D86" s="8" t="s">
        <v>847</v>
      </c>
      <c r="E86" s="8" t="s">
        <v>12</v>
      </c>
      <c r="F86" s="8">
        <v>30956</v>
      </c>
      <c r="G86" s="8" t="s">
        <v>127</v>
      </c>
      <c r="H86" s="8" t="s">
        <v>37</v>
      </c>
      <c r="I86" s="8" t="s">
        <v>18</v>
      </c>
      <c r="J86" s="7">
        <v>72.239999999999995</v>
      </c>
      <c r="K86" s="7">
        <v>7224</v>
      </c>
    </row>
    <row r="87" spans="2:11" ht="15.75" customHeight="1" x14ac:dyDescent="0.25">
      <c r="B87" s="8">
        <v>132997</v>
      </c>
      <c r="C87" s="8" t="s">
        <v>965</v>
      </c>
      <c r="D87" s="8" t="s">
        <v>977</v>
      </c>
      <c r="E87" s="8" t="s">
        <v>12</v>
      </c>
      <c r="F87" s="8">
        <v>28495</v>
      </c>
      <c r="G87" s="8" t="s">
        <v>185</v>
      </c>
      <c r="H87" s="8" t="s">
        <v>39</v>
      </c>
      <c r="I87" s="8" t="s">
        <v>18</v>
      </c>
      <c r="J87" s="7">
        <v>51</v>
      </c>
      <c r="K87" s="7">
        <v>5100</v>
      </c>
    </row>
    <row r="88" spans="2:11" ht="15.75" customHeight="1" x14ac:dyDescent="0.25">
      <c r="B88" s="8">
        <v>123608</v>
      </c>
      <c r="C88" s="8" t="s">
        <v>991</v>
      </c>
      <c r="D88" s="8" t="s">
        <v>992</v>
      </c>
      <c r="E88" s="8" t="s">
        <v>12</v>
      </c>
      <c r="F88" s="8">
        <v>32638</v>
      </c>
      <c r="G88" s="8" t="s">
        <v>127</v>
      </c>
      <c r="H88" s="8" t="s">
        <v>37</v>
      </c>
      <c r="I88" s="8" t="s">
        <v>18</v>
      </c>
      <c r="J88" s="7">
        <v>23.56</v>
      </c>
      <c r="K88" s="7">
        <v>2356</v>
      </c>
    </row>
    <row r="89" spans="2:11" ht="15.75" customHeight="1" x14ac:dyDescent="0.25">
      <c r="B89" s="8">
        <v>20598</v>
      </c>
      <c r="C89" s="8" t="s">
        <v>331</v>
      </c>
      <c r="D89" s="8" t="s">
        <v>332</v>
      </c>
      <c r="E89" s="8" t="s">
        <v>12</v>
      </c>
      <c r="F89" s="8">
        <v>25830</v>
      </c>
      <c r="G89" s="8" t="s">
        <v>38</v>
      </c>
      <c r="H89" s="8" t="s">
        <v>39</v>
      </c>
      <c r="I89" s="8" t="s">
        <v>40</v>
      </c>
      <c r="J89" s="7">
        <v>7205.18</v>
      </c>
      <c r="K89" s="7">
        <v>720518</v>
      </c>
    </row>
    <row r="90" spans="2:11" ht="15.75" customHeight="1" x14ac:dyDescent="0.25">
      <c r="B90" s="8">
        <v>20487</v>
      </c>
      <c r="C90" s="8" t="s">
        <v>378</v>
      </c>
      <c r="D90" s="8" t="s">
        <v>384</v>
      </c>
      <c r="E90" s="8" t="s">
        <v>12</v>
      </c>
      <c r="F90" s="8">
        <v>26659</v>
      </c>
      <c r="G90" s="8" t="s">
        <v>69</v>
      </c>
      <c r="H90" s="8" t="s">
        <v>39</v>
      </c>
      <c r="I90" s="8" t="s">
        <v>40</v>
      </c>
      <c r="J90" s="7">
        <v>2778.3</v>
      </c>
      <c r="K90" s="7">
        <v>277830</v>
      </c>
    </row>
    <row r="91" spans="2:11" ht="15.75" customHeight="1" x14ac:dyDescent="0.25">
      <c r="B91" s="8">
        <v>125733</v>
      </c>
      <c r="C91" s="8" t="s">
        <v>391</v>
      </c>
      <c r="D91" s="8" t="s">
        <v>406</v>
      </c>
      <c r="E91" s="8" t="s">
        <v>12</v>
      </c>
      <c r="F91" s="8">
        <v>32716</v>
      </c>
      <c r="G91" s="8" t="s">
        <v>69</v>
      </c>
      <c r="H91" s="8" t="s">
        <v>39</v>
      </c>
      <c r="I91" s="8" t="s">
        <v>40</v>
      </c>
      <c r="J91" s="7">
        <v>2172.5</v>
      </c>
      <c r="K91" s="7">
        <v>217250</v>
      </c>
    </row>
    <row r="92" spans="2:11" ht="15.75" customHeight="1" x14ac:dyDescent="0.25">
      <c r="B92" s="8">
        <v>20526</v>
      </c>
      <c r="C92" s="8" t="s">
        <v>405</v>
      </c>
      <c r="D92" s="8" t="s">
        <v>339</v>
      </c>
      <c r="E92" s="8" t="s">
        <v>12</v>
      </c>
      <c r="F92" s="8">
        <v>28730</v>
      </c>
      <c r="G92" s="8" t="s">
        <v>83</v>
      </c>
      <c r="H92" s="8" t="s">
        <v>84</v>
      </c>
      <c r="I92" s="8" t="s">
        <v>40</v>
      </c>
      <c r="J92" s="7">
        <v>1965.93</v>
      </c>
      <c r="K92" s="7">
        <v>196593</v>
      </c>
    </row>
    <row r="93" spans="2:11" ht="15.75" customHeight="1" x14ac:dyDescent="0.25">
      <c r="B93" s="8">
        <v>20603</v>
      </c>
      <c r="C93" s="8" t="s">
        <v>405</v>
      </c>
      <c r="D93" s="8" t="s">
        <v>339</v>
      </c>
      <c r="E93" s="8" t="s">
        <v>12</v>
      </c>
      <c r="F93" s="8">
        <v>27616</v>
      </c>
      <c r="G93" s="8" t="s">
        <v>81</v>
      </c>
      <c r="H93" s="8" t="s">
        <v>39</v>
      </c>
      <c r="I93" s="8" t="s">
        <v>40</v>
      </c>
      <c r="J93" s="7">
        <v>2040</v>
      </c>
      <c r="K93" s="7">
        <v>204000</v>
      </c>
    </row>
    <row r="94" spans="2:11" ht="15.75" customHeight="1" x14ac:dyDescent="0.25">
      <c r="B94" s="8">
        <v>123665</v>
      </c>
      <c r="C94" s="8" t="s">
        <v>424</v>
      </c>
      <c r="D94" s="8" t="s">
        <v>425</v>
      </c>
      <c r="E94" s="8" t="s">
        <v>12</v>
      </c>
      <c r="F94" s="8">
        <v>31413</v>
      </c>
      <c r="G94" s="8" t="s">
        <v>89</v>
      </c>
      <c r="H94" s="8" t="s">
        <v>39</v>
      </c>
      <c r="I94" s="8" t="s">
        <v>40</v>
      </c>
      <c r="J94" s="7">
        <v>1739.36</v>
      </c>
      <c r="K94" s="7">
        <v>173936</v>
      </c>
    </row>
    <row r="95" spans="2:11" ht="15.75" customHeight="1" x14ac:dyDescent="0.25">
      <c r="B95" s="8">
        <v>93908</v>
      </c>
      <c r="C95" s="8" t="s">
        <v>413</v>
      </c>
      <c r="D95" s="8" t="s">
        <v>414</v>
      </c>
      <c r="E95" s="8" t="s">
        <v>12</v>
      </c>
      <c r="F95" s="8">
        <v>25272</v>
      </c>
      <c r="G95" s="8" t="s">
        <v>85</v>
      </c>
      <c r="H95" s="8" t="s">
        <v>86</v>
      </c>
      <c r="I95" s="8" t="s">
        <v>40</v>
      </c>
      <c r="J95" s="7">
        <v>1942.33</v>
      </c>
      <c r="K95" s="7">
        <v>194233</v>
      </c>
    </row>
    <row r="96" spans="2:11" ht="15.75" customHeight="1" x14ac:dyDescent="0.25">
      <c r="B96" s="8">
        <v>22349</v>
      </c>
      <c r="C96" s="8" t="s">
        <v>463</v>
      </c>
      <c r="D96" s="8" t="s">
        <v>472</v>
      </c>
      <c r="E96" s="8" t="s">
        <v>12</v>
      </c>
      <c r="F96" s="8">
        <v>28350</v>
      </c>
      <c r="G96" s="8" t="s">
        <v>102</v>
      </c>
      <c r="H96" s="8" t="s">
        <v>84</v>
      </c>
      <c r="I96" s="8" t="s">
        <v>40</v>
      </c>
      <c r="J96" s="7">
        <v>1338.64</v>
      </c>
      <c r="K96" s="7">
        <v>133864</v>
      </c>
    </row>
    <row r="97" spans="2:11" ht="15.75" customHeight="1" x14ac:dyDescent="0.25">
      <c r="B97" s="8">
        <v>133051</v>
      </c>
      <c r="C97" s="8" t="s">
        <v>475</v>
      </c>
      <c r="D97" s="8" t="s">
        <v>476</v>
      </c>
      <c r="E97" s="8" t="s">
        <v>12</v>
      </c>
      <c r="F97" s="8">
        <v>26358</v>
      </c>
      <c r="G97" s="8" t="s">
        <v>103</v>
      </c>
      <c r="H97" s="8" t="s">
        <v>39</v>
      </c>
      <c r="I97" s="8" t="s">
        <v>40</v>
      </c>
      <c r="J97" s="7">
        <v>1320</v>
      </c>
      <c r="K97" s="7">
        <v>132000</v>
      </c>
    </row>
    <row r="98" spans="2:11" ht="15.75" customHeight="1" x14ac:dyDescent="0.25">
      <c r="B98" s="8">
        <v>133475</v>
      </c>
      <c r="C98" s="8" t="s">
        <v>512</v>
      </c>
      <c r="D98" s="8" t="s">
        <v>513</v>
      </c>
      <c r="E98" s="8" t="s">
        <v>12</v>
      </c>
      <c r="F98" s="8">
        <v>22923</v>
      </c>
      <c r="G98" s="8" t="s">
        <v>112</v>
      </c>
      <c r="H98" s="8" t="s">
        <v>86</v>
      </c>
      <c r="I98" s="8" t="s">
        <v>40</v>
      </c>
      <c r="J98" s="7">
        <v>1100</v>
      </c>
      <c r="K98" s="7">
        <v>110000</v>
      </c>
    </row>
    <row r="99" spans="2:11" ht="15.75" customHeight="1" x14ac:dyDescent="0.25">
      <c r="B99" s="8">
        <v>25925</v>
      </c>
      <c r="C99" s="8" t="s">
        <v>531</v>
      </c>
      <c r="D99" s="8" t="s">
        <v>532</v>
      </c>
      <c r="E99" s="8" t="s">
        <v>12</v>
      </c>
      <c r="F99" s="8">
        <v>32064</v>
      </c>
      <c r="G99" s="8" t="s">
        <v>117</v>
      </c>
      <c r="H99" s="8" t="s">
        <v>39</v>
      </c>
      <c r="I99" s="8" t="s">
        <v>40</v>
      </c>
      <c r="J99" s="7">
        <v>1014.66</v>
      </c>
      <c r="K99" s="7">
        <v>101466</v>
      </c>
    </row>
    <row r="100" spans="2:11" ht="15.75" customHeight="1" x14ac:dyDescent="0.25">
      <c r="B100" s="8">
        <v>128012</v>
      </c>
      <c r="C100" s="8" t="s">
        <v>516</v>
      </c>
      <c r="D100" s="8" t="s">
        <v>517</v>
      </c>
      <c r="E100" s="8" t="s">
        <v>12</v>
      </c>
      <c r="F100" s="8">
        <v>32936</v>
      </c>
      <c r="G100" s="8" t="s">
        <v>89</v>
      </c>
      <c r="H100" s="8" t="s">
        <v>39</v>
      </c>
      <c r="I100" s="8" t="s">
        <v>40</v>
      </c>
      <c r="J100" s="7">
        <v>1084.8</v>
      </c>
      <c r="K100" s="7">
        <v>108480</v>
      </c>
    </row>
    <row r="101" spans="2:11" ht="15.75" customHeight="1" x14ac:dyDescent="0.25">
      <c r="B101" s="8">
        <v>27415</v>
      </c>
      <c r="C101" s="8" t="s">
        <v>539</v>
      </c>
      <c r="D101" s="8" t="s">
        <v>335</v>
      </c>
      <c r="E101" s="8" t="s">
        <v>12</v>
      </c>
      <c r="F101" s="8">
        <v>31811</v>
      </c>
      <c r="G101" s="8" t="s">
        <v>122</v>
      </c>
      <c r="H101" s="8" t="s">
        <v>123</v>
      </c>
      <c r="I101" s="8" t="s">
        <v>40</v>
      </c>
      <c r="J101" s="7">
        <v>755</v>
      </c>
      <c r="K101" s="7">
        <v>75500</v>
      </c>
    </row>
    <row r="102" spans="2:11" ht="15.75" customHeight="1" x14ac:dyDescent="0.25">
      <c r="B102" s="8">
        <v>20512</v>
      </c>
      <c r="C102" s="8" t="s">
        <v>556</v>
      </c>
      <c r="D102" s="8" t="s">
        <v>573</v>
      </c>
      <c r="E102" s="8" t="s">
        <v>24</v>
      </c>
      <c r="F102" s="8">
        <v>32527</v>
      </c>
      <c r="G102" s="8" t="s">
        <v>81</v>
      </c>
      <c r="H102" s="8" t="s">
        <v>39</v>
      </c>
      <c r="I102" s="8" t="s">
        <v>40</v>
      </c>
      <c r="J102" s="7">
        <v>770</v>
      </c>
      <c r="K102" s="7">
        <v>77000</v>
      </c>
    </row>
    <row r="103" spans="2:11" ht="15.75" customHeight="1" x14ac:dyDescent="0.25">
      <c r="B103" s="8">
        <v>124350</v>
      </c>
      <c r="C103" s="8" t="s">
        <v>617</v>
      </c>
      <c r="D103" s="8" t="s">
        <v>618</v>
      </c>
      <c r="E103" s="8" t="s">
        <v>12</v>
      </c>
      <c r="F103" s="8">
        <v>31809</v>
      </c>
      <c r="G103" s="8" t="s">
        <v>132</v>
      </c>
      <c r="H103" s="8" t="s">
        <v>84</v>
      </c>
      <c r="I103" s="8" t="s">
        <v>40</v>
      </c>
      <c r="J103" s="7">
        <v>603.66999999999996</v>
      </c>
      <c r="K103" s="7">
        <v>60367</v>
      </c>
    </row>
    <row r="104" spans="2:11" ht="15.75" customHeight="1" x14ac:dyDescent="0.25">
      <c r="B104" s="8">
        <v>125612</v>
      </c>
      <c r="C104" s="8" t="s">
        <v>619</v>
      </c>
      <c r="D104" s="8" t="s">
        <v>620</v>
      </c>
      <c r="E104" s="8" t="s">
        <v>12</v>
      </c>
      <c r="F104" s="8">
        <v>22709</v>
      </c>
      <c r="G104" s="8" t="s">
        <v>103</v>
      </c>
      <c r="H104" s="8" t="s">
        <v>39</v>
      </c>
      <c r="I104" s="8" t="s">
        <v>40</v>
      </c>
      <c r="J104" s="7">
        <v>594</v>
      </c>
      <c r="K104" s="7">
        <v>59400</v>
      </c>
    </row>
    <row r="105" spans="2:11" ht="15.75" customHeight="1" x14ac:dyDescent="0.25">
      <c r="B105" s="8">
        <v>22758</v>
      </c>
      <c r="C105" s="8" t="s">
        <v>641</v>
      </c>
      <c r="D105" s="8" t="s">
        <v>642</v>
      </c>
      <c r="E105" s="8" t="s">
        <v>12</v>
      </c>
      <c r="F105" s="8">
        <v>32880</v>
      </c>
      <c r="G105" s="8" t="s">
        <v>137</v>
      </c>
      <c r="H105" s="8" t="s">
        <v>39</v>
      </c>
      <c r="I105" s="8" t="s">
        <v>40</v>
      </c>
      <c r="J105" s="7">
        <v>531</v>
      </c>
      <c r="K105" s="7">
        <v>53100</v>
      </c>
    </row>
    <row r="106" spans="2:11" ht="15.75" customHeight="1" x14ac:dyDescent="0.25">
      <c r="B106" s="8">
        <v>27051</v>
      </c>
      <c r="C106" s="8" t="s">
        <v>676</v>
      </c>
      <c r="D106" s="8" t="s">
        <v>480</v>
      </c>
      <c r="E106" s="8" t="s">
        <v>12</v>
      </c>
      <c r="F106" s="8">
        <v>26393</v>
      </c>
      <c r="G106" s="8" t="s">
        <v>149</v>
      </c>
      <c r="H106" s="8" t="s">
        <v>150</v>
      </c>
      <c r="I106" s="8" t="s">
        <v>40</v>
      </c>
      <c r="J106" s="7">
        <v>430.38</v>
      </c>
      <c r="K106" s="7">
        <v>43038</v>
      </c>
    </row>
    <row r="107" spans="2:11" ht="15.75" customHeight="1" x14ac:dyDescent="0.25">
      <c r="B107" s="8">
        <v>139711</v>
      </c>
      <c r="C107" s="8" t="s">
        <v>670</v>
      </c>
      <c r="D107" s="8" t="s">
        <v>671</v>
      </c>
      <c r="E107" s="8" t="s">
        <v>12</v>
      </c>
      <c r="F107" s="8">
        <v>24594</v>
      </c>
      <c r="G107" s="8" t="s">
        <v>144</v>
      </c>
      <c r="H107" s="8" t="s">
        <v>39</v>
      </c>
      <c r="I107" s="8" t="s">
        <v>40</v>
      </c>
      <c r="J107" s="7">
        <v>467.2</v>
      </c>
      <c r="K107" s="7">
        <v>46720</v>
      </c>
    </row>
    <row r="108" spans="2:11" ht="15.75" customHeight="1" x14ac:dyDescent="0.25">
      <c r="B108" s="8">
        <v>25977</v>
      </c>
      <c r="C108" s="8" t="s">
        <v>673</v>
      </c>
      <c r="D108" s="8" t="s">
        <v>674</v>
      </c>
      <c r="E108" s="8" t="s">
        <v>24</v>
      </c>
      <c r="F108" s="8">
        <v>18540</v>
      </c>
      <c r="G108" s="8" t="s">
        <v>145</v>
      </c>
      <c r="H108" s="8" t="s">
        <v>39</v>
      </c>
      <c r="I108" s="8" t="s">
        <v>40</v>
      </c>
      <c r="J108" s="7">
        <v>461.63</v>
      </c>
      <c r="K108" s="7">
        <v>46163</v>
      </c>
    </row>
    <row r="109" spans="2:11" ht="15.75" customHeight="1" x14ac:dyDescent="0.25">
      <c r="B109" s="8">
        <v>21281</v>
      </c>
      <c r="C109" s="8" t="s">
        <v>719</v>
      </c>
      <c r="D109" s="8" t="s">
        <v>720</v>
      </c>
      <c r="E109" s="8" t="s">
        <v>24</v>
      </c>
      <c r="F109" s="8">
        <v>29901</v>
      </c>
      <c r="G109" s="8" t="s">
        <v>38</v>
      </c>
      <c r="H109" s="8" t="s">
        <v>39</v>
      </c>
      <c r="I109" s="8" t="s">
        <v>40</v>
      </c>
      <c r="J109" s="7">
        <v>334.89</v>
      </c>
      <c r="K109" s="7">
        <v>33489</v>
      </c>
    </row>
    <row r="110" spans="2:11" ht="15.75" customHeight="1" x14ac:dyDescent="0.25">
      <c r="B110" s="8">
        <v>127539</v>
      </c>
      <c r="C110" s="8" t="s">
        <v>740</v>
      </c>
      <c r="D110" s="8" t="s">
        <v>741</v>
      </c>
      <c r="E110" s="8" t="s">
        <v>24</v>
      </c>
      <c r="F110" s="8">
        <v>31990</v>
      </c>
      <c r="G110" s="8" t="s">
        <v>155</v>
      </c>
      <c r="H110" s="8" t="s">
        <v>84</v>
      </c>
      <c r="I110" s="8" t="s">
        <v>40</v>
      </c>
      <c r="J110" s="7">
        <v>311.10000000000002</v>
      </c>
      <c r="K110" s="7">
        <v>31110</v>
      </c>
    </row>
    <row r="111" spans="2:11" ht="15.75" customHeight="1" x14ac:dyDescent="0.25">
      <c r="B111" s="8">
        <v>125932</v>
      </c>
      <c r="C111" s="8" t="s">
        <v>744</v>
      </c>
      <c r="D111" s="8" t="s">
        <v>355</v>
      </c>
      <c r="E111" s="8" t="s">
        <v>12</v>
      </c>
      <c r="F111" s="8">
        <v>26597</v>
      </c>
      <c r="G111" s="8" t="s">
        <v>156</v>
      </c>
      <c r="H111" s="8" t="s">
        <v>157</v>
      </c>
      <c r="I111" s="8" t="s">
        <v>40</v>
      </c>
      <c r="J111" s="7">
        <v>310</v>
      </c>
      <c r="K111" s="7">
        <v>31000</v>
      </c>
    </row>
    <row r="112" spans="2:11" ht="15.75" customHeight="1" x14ac:dyDescent="0.25">
      <c r="B112" s="8">
        <v>26231</v>
      </c>
      <c r="C112" s="8" t="s">
        <v>749</v>
      </c>
      <c r="D112" s="8" t="s">
        <v>513</v>
      </c>
      <c r="E112" s="8" t="s">
        <v>12</v>
      </c>
      <c r="F112" s="8">
        <v>26290</v>
      </c>
      <c r="G112" s="8" t="s">
        <v>81</v>
      </c>
      <c r="H112" s="8" t="s">
        <v>39</v>
      </c>
      <c r="I112" s="8" t="s">
        <v>40</v>
      </c>
      <c r="J112" s="7">
        <v>304.39</v>
      </c>
      <c r="K112" s="7">
        <v>30439</v>
      </c>
    </row>
    <row r="113" spans="2:11" ht="15.75" customHeight="1" x14ac:dyDescent="0.25">
      <c r="B113" s="8">
        <v>94112</v>
      </c>
      <c r="C113" s="8" t="s">
        <v>750</v>
      </c>
      <c r="D113" s="8" t="s">
        <v>751</v>
      </c>
      <c r="E113" s="8" t="s">
        <v>24</v>
      </c>
      <c r="F113" s="8">
        <v>30201</v>
      </c>
      <c r="G113" s="8" t="s">
        <v>158</v>
      </c>
      <c r="H113" s="8" t="s">
        <v>39</v>
      </c>
      <c r="I113" s="8" t="s">
        <v>40</v>
      </c>
      <c r="J113" s="7">
        <v>304.39</v>
      </c>
      <c r="K113" s="7">
        <v>30439</v>
      </c>
    </row>
    <row r="114" spans="2:11" ht="15.75" customHeight="1" x14ac:dyDescent="0.25">
      <c r="B114" s="8">
        <v>127967</v>
      </c>
      <c r="C114" s="8" t="s">
        <v>767</v>
      </c>
      <c r="D114" s="8" t="s">
        <v>320</v>
      </c>
      <c r="E114" s="8" t="s">
        <v>12</v>
      </c>
      <c r="F114" s="8">
        <v>25580</v>
      </c>
      <c r="G114" s="8" t="s">
        <v>117</v>
      </c>
      <c r="H114" s="8" t="s">
        <v>39</v>
      </c>
      <c r="I114" s="8" t="s">
        <v>40</v>
      </c>
      <c r="J114" s="7">
        <v>272.64</v>
      </c>
      <c r="K114" s="7">
        <v>27264</v>
      </c>
    </row>
    <row r="115" spans="2:11" ht="15.75" customHeight="1" x14ac:dyDescent="0.25">
      <c r="B115" s="8">
        <v>126025</v>
      </c>
      <c r="C115" s="8" t="s">
        <v>782</v>
      </c>
      <c r="D115" s="8" t="s">
        <v>805</v>
      </c>
      <c r="E115" s="8" t="s">
        <v>12</v>
      </c>
      <c r="F115" s="8">
        <v>30015</v>
      </c>
      <c r="G115" s="8" t="s">
        <v>163</v>
      </c>
      <c r="H115" s="8" t="s">
        <v>39</v>
      </c>
      <c r="I115" s="8" t="s">
        <v>40</v>
      </c>
      <c r="J115" s="7">
        <v>236</v>
      </c>
      <c r="K115" s="7">
        <v>23600</v>
      </c>
    </row>
    <row r="116" spans="2:11" ht="15.75" customHeight="1" x14ac:dyDescent="0.25">
      <c r="B116" s="8">
        <v>124244</v>
      </c>
      <c r="C116" s="8" t="s">
        <v>782</v>
      </c>
      <c r="D116" s="8" t="s">
        <v>839</v>
      </c>
      <c r="E116" s="8" t="s">
        <v>12</v>
      </c>
      <c r="F116" s="8">
        <v>28678</v>
      </c>
      <c r="G116" s="8" t="s">
        <v>81</v>
      </c>
      <c r="H116" s="8" t="s">
        <v>39</v>
      </c>
      <c r="I116" s="8" t="s">
        <v>40</v>
      </c>
      <c r="J116" s="7">
        <v>198.39</v>
      </c>
      <c r="K116" s="7">
        <v>19839</v>
      </c>
    </row>
    <row r="117" spans="2:11" ht="15.75" customHeight="1" x14ac:dyDescent="0.25">
      <c r="B117" s="8">
        <v>141686</v>
      </c>
      <c r="C117" s="8" t="s">
        <v>820</v>
      </c>
      <c r="D117" s="8" t="s">
        <v>470</v>
      </c>
      <c r="E117" s="8" t="s">
        <v>24</v>
      </c>
      <c r="F117" s="8">
        <v>24230</v>
      </c>
      <c r="G117" s="8" t="s">
        <v>156</v>
      </c>
      <c r="H117" s="8" t="s">
        <v>157</v>
      </c>
      <c r="I117" s="8" t="s">
        <v>40</v>
      </c>
      <c r="J117" s="7">
        <v>211.68</v>
      </c>
      <c r="K117" s="7">
        <v>21168</v>
      </c>
    </row>
    <row r="118" spans="2:11" ht="15.75" customHeight="1" x14ac:dyDescent="0.25">
      <c r="B118" s="8">
        <v>22217</v>
      </c>
      <c r="C118" s="8" t="s">
        <v>831</v>
      </c>
      <c r="D118" s="8" t="s">
        <v>538</v>
      </c>
      <c r="E118" s="8" t="s">
        <v>12</v>
      </c>
      <c r="F118" s="8">
        <v>29058</v>
      </c>
      <c r="G118" s="8" t="s">
        <v>166</v>
      </c>
      <c r="H118" s="8" t="s">
        <v>84</v>
      </c>
      <c r="I118" s="8" t="s">
        <v>40</v>
      </c>
      <c r="J118" s="7">
        <v>204.75</v>
      </c>
      <c r="K118" s="7">
        <v>20475</v>
      </c>
    </row>
    <row r="119" spans="2:11" ht="15.75" customHeight="1" x14ac:dyDescent="0.25">
      <c r="B119" s="8">
        <v>25921</v>
      </c>
      <c r="C119" s="8" t="s">
        <v>844</v>
      </c>
      <c r="D119" s="8" t="s">
        <v>845</v>
      </c>
      <c r="E119" s="8" t="s">
        <v>12</v>
      </c>
      <c r="F119" s="8">
        <v>31022</v>
      </c>
      <c r="G119" s="8" t="s">
        <v>155</v>
      </c>
      <c r="H119" s="8" t="s">
        <v>84</v>
      </c>
      <c r="I119" s="8" t="s">
        <v>40</v>
      </c>
      <c r="J119" s="7">
        <v>197.6</v>
      </c>
      <c r="K119" s="7">
        <v>19760</v>
      </c>
    </row>
    <row r="120" spans="2:11" ht="15.75" customHeight="1" x14ac:dyDescent="0.25">
      <c r="B120" s="8">
        <v>20427</v>
      </c>
      <c r="C120" s="8" t="s">
        <v>859</v>
      </c>
      <c r="D120" s="8" t="s">
        <v>860</v>
      </c>
      <c r="E120" s="8" t="s">
        <v>12</v>
      </c>
      <c r="F120" s="8">
        <v>31292</v>
      </c>
      <c r="G120" s="8" t="s">
        <v>81</v>
      </c>
      <c r="H120" s="8" t="s">
        <v>39</v>
      </c>
      <c r="I120" s="8" t="s">
        <v>40</v>
      </c>
      <c r="J120" s="7">
        <v>177</v>
      </c>
      <c r="K120" s="7">
        <v>17700</v>
      </c>
    </row>
    <row r="121" spans="2:11" ht="15.75" customHeight="1" x14ac:dyDescent="0.25">
      <c r="B121" s="8">
        <v>130041</v>
      </c>
      <c r="C121" s="8" t="s">
        <v>842</v>
      </c>
      <c r="D121" s="8" t="s">
        <v>339</v>
      </c>
      <c r="E121" s="8" t="s">
        <v>12</v>
      </c>
      <c r="F121" s="8">
        <v>26480</v>
      </c>
      <c r="G121" s="8" t="s">
        <v>81</v>
      </c>
      <c r="H121" s="8" t="s">
        <v>39</v>
      </c>
      <c r="I121" s="8" t="s">
        <v>40</v>
      </c>
      <c r="J121" s="7">
        <v>195</v>
      </c>
      <c r="K121" s="7">
        <v>19500</v>
      </c>
    </row>
    <row r="122" spans="2:11" ht="15.75" customHeight="1" x14ac:dyDescent="0.25">
      <c r="B122" s="8">
        <v>20477</v>
      </c>
      <c r="C122" s="8" t="s">
        <v>869</v>
      </c>
      <c r="D122" s="8" t="s">
        <v>870</v>
      </c>
      <c r="E122" s="8" t="s">
        <v>24</v>
      </c>
      <c r="F122" s="8">
        <v>28562</v>
      </c>
      <c r="G122" s="8" t="s">
        <v>81</v>
      </c>
      <c r="H122" s="8" t="s">
        <v>39</v>
      </c>
      <c r="I122" s="8" t="s">
        <v>40</v>
      </c>
      <c r="J122" s="7">
        <v>171.1</v>
      </c>
      <c r="K122" s="7">
        <v>17110</v>
      </c>
    </row>
    <row r="123" spans="2:11" ht="15.75" customHeight="1" x14ac:dyDescent="0.25">
      <c r="B123" s="8">
        <v>126732</v>
      </c>
      <c r="C123" s="8" t="s">
        <v>875</v>
      </c>
      <c r="D123" s="8" t="s">
        <v>891</v>
      </c>
      <c r="E123" s="8" t="s">
        <v>12</v>
      </c>
      <c r="F123" s="8">
        <v>21596</v>
      </c>
      <c r="G123" s="8" t="s">
        <v>102</v>
      </c>
      <c r="H123" s="8" t="s">
        <v>84</v>
      </c>
      <c r="I123" s="8" t="s">
        <v>40</v>
      </c>
      <c r="J123" s="7">
        <v>135</v>
      </c>
      <c r="K123" s="7">
        <v>13500</v>
      </c>
    </row>
    <row r="124" spans="2:11" ht="15.75" customHeight="1" x14ac:dyDescent="0.25">
      <c r="B124" s="8">
        <v>25461</v>
      </c>
      <c r="C124" s="8" t="s">
        <v>892</v>
      </c>
      <c r="D124" s="8" t="s">
        <v>893</v>
      </c>
      <c r="E124" s="8" t="s">
        <v>12</v>
      </c>
      <c r="F124" s="8">
        <v>27830</v>
      </c>
      <c r="G124" s="8" t="s">
        <v>69</v>
      </c>
      <c r="H124" s="8" t="s">
        <v>39</v>
      </c>
      <c r="I124" s="8" t="s">
        <v>40</v>
      </c>
      <c r="J124" s="7">
        <v>135.78</v>
      </c>
      <c r="K124" s="7">
        <v>13578</v>
      </c>
    </row>
    <row r="125" spans="2:11" ht="15.75" customHeight="1" x14ac:dyDescent="0.25">
      <c r="B125" s="8">
        <v>26897</v>
      </c>
      <c r="C125" s="8" t="s">
        <v>902</v>
      </c>
      <c r="D125" s="8" t="s">
        <v>928</v>
      </c>
      <c r="E125" s="8" t="s">
        <v>12</v>
      </c>
      <c r="F125" s="8">
        <v>23883</v>
      </c>
      <c r="G125" s="8" t="s">
        <v>81</v>
      </c>
      <c r="H125" s="8" t="s">
        <v>39</v>
      </c>
      <c r="I125" s="8" t="s">
        <v>40</v>
      </c>
      <c r="J125" s="7">
        <v>102</v>
      </c>
      <c r="K125" s="7">
        <v>10200</v>
      </c>
    </row>
    <row r="126" spans="2:11" ht="15.75" customHeight="1" x14ac:dyDescent="0.25">
      <c r="B126" s="8">
        <v>126056</v>
      </c>
      <c r="C126" s="8" t="s">
        <v>902</v>
      </c>
      <c r="D126" s="8" t="s">
        <v>416</v>
      </c>
      <c r="E126" s="8" t="s">
        <v>12</v>
      </c>
      <c r="F126" s="8">
        <v>31943</v>
      </c>
      <c r="G126" s="8" t="s">
        <v>38</v>
      </c>
      <c r="H126" s="8" t="s">
        <v>39</v>
      </c>
      <c r="I126" s="8" t="s">
        <v>40</v>
      </c>
      <c r="J126" s="7">
        <v>108</v>
      </c>
      <c r="K126" s="7">
        <v>10800</v>
      </c>
    </row>
    <row r="127" spans="2:11" ht="15.75" customHeight="1" x14ac:dyDescent="0.25">
      <c r="B127" s="8">
        <v>123382</v>
      </c>
      <c r="C127" s="8" t="s">
        <v>898</v>
      </c>
      <c r="D127" s="8" t="s">
        <v>910</v>
      </c>
      <c r="E127" s="8" t="s">
        <v>12</v>
      </c>
      <c r="F127" s="8">
        <v>31970</v>
      </c>
      <c r="G127" s="8" t="s">
        <v>172</v>
      </c>
      <c r="H127" s="8" t="s">
        <v>173</v>
      </c>
      <c r="I127" s="8" t="s">
        <v>40</v>
      </c>
      <c r="J127" s="7">
        <v>116</v>
      </c>
      <c r="K127" s="7">
        <v>11600</v>
      </c>
    </row>
    <row r="128" spans="2:11" ht="15.75" customHeight="1" x14ac:dyDescent="0.25">
      <c r="B128" s="8">
        <v>121357</v>
      </c>
      <c r="C128" s="8" t="s">
        <v>898</v>
      </c>
      <c r="D128" s="8" t="s">
        <v>914</v>
      </c>
      <c r="E128" s="8" t="s">
        <v>12</v>
      </c>
      <c r="F128" s="8">
        <v>21638</v>
      </c>
      <c r="G128" s="8" t="s">
        <v>149</v>
      </c>
      <c r="H128" s="8" t="s">
        <v>150</v>
      </c>
      <c r="I128" s="8" t="s">
        <v>40</v>
      </c>
      <c r="J128" s="7">
        <v>111.44</v>
      </c>
      <c r="K128" s="7">
        <v>11144</v>
      </c>
    </row>
    <row r="129" spans="2:11" ht="15.75" customHeight="1" x14ac:dyDescent="0.25">
      <c r="B129" s="8">
        <v>20646</v>
      </c>
      <c r="C129" s="8" t="s">
        <v>941</v>
      </c>
      <c r="D129" s="8" t="s">
        <v>942</v>
      </c>
      <c r="E129" s="8" t="s">
        <v>12</v>
      </c>
      <c r="F129" s="8">
        <v>24124</v>
      </c>
      <c r="G129" s="8" t="s">
        <v>38</v>
      </c>
      <c r="H129" s="8" t="s">
        <v>39</v>
      </c>
      <c r="I129" s="8" t="s">
        <v>40</v>
      </c>
      <c r="J129" s="7">
        <v>89.67</v>
      </c>
      <c r="K129" s="7">
        <v>8967</v>
      </c>
    </row>
    <row r="130" spans="2:11" ht="15.75" customHeight="1" x14ac:dyDescent="0.25">
      <c r="B130" s="8">
        <v>128961</v>
      </c>
      <c r="C130" s="8" t="s">
        <v>940</v>
      </c>
      <c r="D130" s="8" t="s">
        <v>756</v>
      </c>
      <c r="E130" s="8" t="s">
        <v>24</v>
      </c>
      <c r="F130" s="8">
        <v>18350</v>
      </c>
      <c r="G130" s="8" t="s">
        <v>145</v>
      </c>
      <c r="H130" s="8" t="s">
        <v>39</v>
      </c>
      <c r="I130" s="8" t="s">
        <v>40</v>
      </c>
      <c r="J130" s="7">
        <v>91</v>
      </c>
      <c r="K130" s="7">
        <v>9100</v>
      </c>
    </row>
    <row r="131" spans="2:11" ht="15.75" customHeight="1" x14ac:dyDescent="0.25">
      <c r="B131" s="8">
        <v>27003</v>
      </c>
      <c r="C131" s="8" t="s">
        <v>949</v>
      </c>
      <c r="D131" s="8" t="s">
        <v>950</v>
      </c>
      <c r="E131" s="8" t="s">
        <v>12</v>
      </c>
      <c r="F131" s="8">
        <v>31520</v>
      </c>
      <c r="G131" s="8" t="s">
        <v>180</v>
      </c>
      <c r="H131" s="8" t="s">
        <v>39</v>
      </c>
      <c r="I131" s="8" t="s">
        <v>40</v>
      </c>
      <c r="J131" s="7">
        <v>83.85</v>
      </c>
      <c r="K131" s="7">
        <v>8385</v>
      </c>
    </row>
    <row r="132" spans="2:11" ht="15.75" customHeight="1" x14ac:dyDescent="0.25">
      <c r="B132" s="8">
        <v>141694</v>
      </c>
      <c r="C132" s="8" t="s">
        <v>959</v>
      </c>
      <c r="D132" s="8" t="s">
        <v>960</v>
      </c>
      <c r="E132" s="8" t="s">
        <v>12</v>
      </c>
      <c r="F132" s="8">
        <v>27166</v>
      </c>
      <c r="G132" s="8" t="s">
        <v>81</v>
      </c>
      <c r="H132" s="8" t="s">
        <v>39</v>
      </c>
      <c r="I132" s="8" t="s">
        <v>40</v>
      </c>
      <c r="J132" s="7">
        <v>68.819999999999993</v>
      </c>
      <c r="K132" s="7">
        <v>6882</v>
      </c>
    </row>
    <row r="133" spans="2:11" ht="15.75" customHeight="1" x14ac:dyDescent="0.25">
      <c r="B133" s="8">
        <v>31817</v>
      </c>
      <c r="C133" s="8" t="s">
        <v>965</v>
      </c>
      <c r="D133" s="8" t="s">
        <v>970</v>
      </c>
      <c r="E133" s="8" t="s">
        <v>12</v>
      </c>
      <c r="F133" s="8">
        <v>31176</v>
      </c>
      <c r="G133" s="8" t="s">
        <v>156</v>
      </c>
      <c r="H133" s="8" t="s">
        <v>157</v>
      </c>
      <c r="I133" s="8" t="s">
        <v>40</v>
      </c>
      <c r="J133" s="7">
        <v>59.52</v>
      </c>
      <c r="K133" s="7">
        <v>5952</v>
      </c>
    </row>
    <row r="134" spans="2:11" ht="15.75" customHeight="1" x14ac:dyDescent="0.25">
      <c r="B134" s="8">
        <v>22039</v>
      </c>
      <c r="C134" s="8" t="s">
        <v>301</v>
      </c>
      <c r="D134" s="8" t="s">
        <v>302</v>
      </c>
      <c r="E134" s="8" t="s">
        <v>12</v>
      </c>
      <c r="F134" s="8">
        <v>29664</v>
      </c>
      <c r="G134" s="8" t="s">
        <v>13</v>
      </c>
      <c r="H134" s="8" t="s">
        <v>14</v>
      </c>
      <c r="I134" s="8" t="s">
        <v>15</v>
      </c>
      <c r="J134" s="7">
        <v>46686.25</v>
      </c>
      <c r="K134" s="7">
        <v>4668625</v>
      </c>
    </row>
    <row r="135" spans="2:11" ht="15.75" customHeight="1" x14ac:dyDescent="0.25">
      <c r="B135" s="8">
        <v>39820</v>
      </c>
      <c r="C135" s="8" t="s">
        <v>303</v>
      </c>
      <c r="D135" s="8" t="s">
        <v>306</v>
      </c>
      <c r="E135" s="8" t="s">
        <v>12</v>
      </c>
      <c r="F135" s="8">
        <v>25324</v>
      </c>
      <c r="G135" s="8" t="s">
        <v>19</v>
      </c>
      <c r="H135" s="8" t="s">
        <v>20</v>
      </c>
      <c r="I135" s="8" t="s">
        <v>15</v>
      </c>
      <c r="J135" s="7">
        <v>19059.599999999999</v>
      </c>
      <c r="K135" s="7">
        <v>1905960</v>
      </c>
    </row>
    <row r="136" spans="2:11" ht="15.75" customHeight="1" x14ac:dyDescent="0.25">
      <c r="B136" s="8">
        <v>22140</v>
      </c>
      <c r="C136" s="8" t="s">
        <v>314</v>
      </c>
      <c r="D136" s="8" t="s">
        <v>315</v>
      </c>
      <c r="E136" s="8" t="s">
        <v>12</v>
      </c>
      <c r="F136" s="8">
        <v>27397</v>
      </c>
      <c r="G136" s="8" t="s">
        <v>29</v>
      </c>
      <c r="H136" s="8" t="s">
        <v>14</v>
      </c>
      <c r="I136" s="8" t="s">
        <v>15</v>
      </c>
      <c r="J136" s="7">
        <v>12219.66</v>
      </c>
      <c r="K136" s="7">
        <v>1221966</v>
      </c>
    </row>
    <row r="137" spans="2:11" ht="15.75" customHeight="1" x14ac:dyDescent="0.25">
      <c r="B137" s="8">
        <v>125925</v>
      </c>
      <c r="C137" s="8" t="s">
        <v>314</v>
      </c>
      <c r="D137" s="8" t="s">
        <v>318</v>
      </c>
      <c r="E137" s="8" t="s">
        <v>12</v>
      </c>
      <c r="F137" s="8">
        <v>34247</v>
      </c>
      <c r="G137" s="8" t="s">
        <v>31</v>
      </c>
      <c r="H137" s="8" t="s">
        <v>20</v>
      </c>
      <c r="I137" s="8" t="s">
        <v>15</v>
      </c>
      <c r="J137" s="7">
        <v>11232</v>
      </c>
      <c r="K137" s="7">
        <v>1123200</v>
      </c>
    </row>
    <row r="138" spans="2:11" ht="15.75" customHeight="1" x14ac:dyDescent="0.25">
      <c r="B138" s="8">
        <v>24385</v>
      </c>
      <c r="C138" s="8" t="s">
        <v>328</v>
      </c>
      <c r="D138" s="8" t="s">
        <v>600</v>
      </c>
      <c r="E138" s="8" t="s">
        <v>12</v>
      </c>
      <c r="F138" s="8">
        <v>27853</v>
      </c>
      <c r="G138" s="8" t="s">
        <v>30</v>
      </c>
      <c r="H138" s="8" t="s">
        <v>20</v>
      </c>
      <c r="I138" s="8" t="s">
        <v>15</v>
      </c>
      <c r="J138" s="7">
        <v>11296.53</v>
      </c>
      <c r="K138" s="7">
        <v>1129653</v>
      </c>
    </row>
    <row r="139" spans="2:11" ht="15.75" customHeight="1" x14ac:dyDescent="0.25">
      <c r="B139" s="8">
        <v>21152</v>
      </c>
      <c r="C139" s="8" t="s">
        <v>328</v>
      </c>
      <c r="D139" s="8" t="s">
        <v>1000</v>
      </c>
      <c r="E139" s="8" t="s">
        <v>12</v>
      </c>
      <c r="F139" s="8">
        <v>29546</v>
      </c>
      <c r="G139" s="8" t="s">
        <v>32</v>
      </c>
      <c r="H139" s="8" t="s">
        <v>20</v>
      </c>
      <c r="I139" s="8" t="s">
        <v>15</v>
      </c>
      <c r="J139" s="7">
        <v>8765.09</v>
      </c>
      <c r="K139" s="7">
        <v>876509</v>
      </c>
    </row>
    <row r="140" spans="2:11" ht="15.75" customHeight="1" x14ac:dyDescent="0.25">
      <c r="B140" s="8">
        <v>25063</v>
      </c>
      <c r="C140" s="8" t="s">
        <v>328</v>
      </c>
      <c r="D140" s="8" t="s">
        <v>360</v>
      </c>
      <c r="E140" s="8" t="s">
        <v>12</v>
      </c>
      <c r="F140" s="8">
        <v>25349</v>
      </c>
      <c r="G140" s="8" t="s">
        <v>33</v>
      </c>
      <c r="H140" s="8" t="s">
        <v>20</v>
      </c>
      <c r="I140" s="8" t="s">
        <v>15</v>
      </c>
      <c r="J140" s="7">
        <v>8251.1</v>
      </c>
      <c r="K140" s="7">
        <v>825110</v>
      </c>
    </row>
    <row r="141" spans="2:11" ht="15.75" customHeight="1" x14ac:dyDescent="0.25">
      <c r="B141" s="8">
        <v>126880</v>
      </c>
      <c r="C141" s="8" t="s">
        <v>328</v>
      </c>
      <c r="D141" s="8" t="s">
        <v>329</v>
      </c>
      <c r="E141" s="8" t="s">
        <v>12</v>
      </c>
      <c r="F141" s="8">
        <v>28523</v>
      </c>
      <c r="G141" s="8" t="s">
        <v>34</v>
      </c>
      <c r="H141" s="8" t="s">
        <v>35</v>
      </c>
      <c r="I141" s="8" t="s">
        <v>15</v>
      </c>
      <c r="J141" s="7">
        <v>8099.65</v>
      </c>
      <c r="K141" s="7">
        <v>809965</v>
      </c>
    </row>
    <row r="142" spans="2:11" ht="15.75" customHeight="1" x14ac:dyDescent="0.25">
      <c r="B142" s="8">
        <v>22501</v>
      </c>
      <c r="C142" s="8" t="s">
        <v>328</v>
      </c>
      <c r="D142" s="8" t="s">
        <v>333</v>
      </c>
      <c r="E142" s="8" t="s">
        <v>12</v>
      </c>
      <c r="F142" s="8">
        <v>30431</v>
      </c>
      <c r="G142" s="8" t="s">
        <v>41</v>
      </c>
      <c r="H142" s="8" t="s">
        <v>20</v>
      </c>
      <c r="I142" s="8" t="s">
        <v>15</v>
      </c>
      <c r="J142" s="7">
        <v>6267.25</v>
      </c>
      <c r="K142" s="7">
        <v>626725</v>
      </c>
    </row>
    <row r="143" spans="2:11" ht="15.75" customHeight="1" x14ac:dyDescent="0.25">
      <c r="B143" s="8">
        <v>25809</v>
      </c>
      <c r="C143" s="8" t="s">
        <v>331</v>
      </c>
      <c r="D143" s="8" t="s">
        <v>338</v>
      </c>
      <c r="E143" s="8" t="s">
        <v>12</v>
      </c>
      <c r="F143" s="8">
        <v>29683</v>
      </c>
      <c r="G143" s="8" t="s">
        <v>44</v>
      </c>
      <c r="H143" s="8" t="s">
        <v>35</v>
      </c>
      <c r="I143" s="8" t="s">
        <v>15</v>
      </c>
      <c r="J143" s="7">
        <v>5918.94</v>
      </c>
      <c r="K143" s="7">
        <v>591894</v>
      </c>
    </row>
    <row r="144" spans="2:11" ht="15.75" customHeight="1" x14ac:dyDescent="0.25">
      <c r="B144" s="8">
        <v>140424</v>
      </c>
      <c r="C144" s="8" t="s">
        <v>331</v>
      </c>
      <c r="D144" s="8" t="s">
        <v>344</v>
      </c>
      <c r="E144" s="8" t="s">
        <v>12</v>
      </c>
      <c r="F144" s="8">
        <v>22288</v>
      </c>
      <c r="G144" s="8" t="s">
        <v>46</v>
      </c>
      <c r="H144" s="8" t="s">
        <v>35</v>
      </c>
      <c r="I144" s="8" t="s">
        <v>15</v>
      </c>
      <c r="J144" s="7">
        <v>5407.48</v>
      </c>
      <c r="K144" s="7">
        <v>540748</v>
      </c>
    </row>
    <row r="145" spans="2:11" ht="15.75" customHeight="1" x14ac:dyDescent="0.25">
      <c r="B145" s="8">
        <v>139670</v>
      </c>
      <c r="C145" s="8" t="s">
        <v>345</v>
      </c>
      <c r="D145" s="8" t="s">
        <v>346</v>
      </c>
      <c r="E145" s="8" t="s">
        <v>12</v>
      </c>
      <c r="F145" s="8">
        <v>24120</v>
      </c>
      <c r="G145" s="8" t="s">
        <v>47</v>
      </c>
      <c r="H145" s="8" t="s">
        <v>14</v>
      </c>
      <c r="I145" s="8" t="s">
        <v>15</v>
      </c>
      <c r="J145" s="7">
        <v>5380.44</v>
      </c>
      <c r="K145" s="7">
        <v>538044</v>
      </c>
    </row>
    <row r="146" spans="2:11" ht="15.75" customHeight="1" x14ac:dyDescent="0.25">
      <c r="B146" s="8">
        <v>20528</v>
      </c>
      <c r="C146" s="8" t="s">
        <v>336</v>
      </c>
      <c r="D146" s="8" t="s">
        <v>337</v>
      </c>
      <c r="E146" s="8" t="s">
        <v>12</v>
      </c>
      <c r="F146" s="8">
        <v>30296</v>
      </c>
      <c r="G146" s="8" t="s">
        <v>43</v>
      </c>
      <c r="H146" s="8" t="s">
        <v>35</v>
      </c>
      <c r="I146" s="8" t="s">
        <v>15</v>
      </c>
      <c r="J146" s="7">
        <v>5953.7</v>
      </c>
      <c r="K146" s="7">
        <v>595370</v>
      </c>
    </row>
    <row r="147" spans="2:11" ht="15.75" customHeight="1" x14ac:dyDescent="0.25">
      <c r="B147" s="8">
        <v>22221</v>
      </c>
      <c r="C147" s="8" t="s">
        <v>334</v>
      </c>
      <c r="D147" s="8" t="s">
        <v>339</v>
      </c>
      <c r="E147" s="8" t="s">
        <v>24</v>
      </c>
      <c r="F147" s="8">
        <v>27763</v>
      </c>
      <c r="G147" s="8" t="s">
        <v>41</v>
      </c>
      <c r="H147" s="8" t="s">
        <v>20</v>
      </c>
      <c r="I147" s="8" t="s">
        <v>15</v>
      </c>
      <c r="J147" s="7">
        <v>5800</v>
      </c>
      <c r="K147" s="7">
        <v>580000</v>
      </c>
    </row>
    <row r="148" spans="2:11" ht="15.75" customHeight="1" x14ac:dyDescent="0.25">
      <c r="B148" s="8">
        <v>20707</v>
      </c>
      <c r="C148" s="8" t="s">
        <v>353</v>
      </c>
      <c r="D148" s="8" t="s">
        <v>354</v>
      </c>
      <c r="E148" s="8" t="s">
        <v>12</v>
      </c>
      <c r="F148" s="8">
        <v>27234</v>
      </c>
      <c r="G148" s="8" t="s">
        <v>50</v>
      </c>
      <c r="H148" s="8" t="s">
        <v>20</v>
      </c>
      <c r="I148" s="8" t="s">
        <v>15</v>
      </c>
      <c r="J148" s="7">
        <v>4940</v>
      </c>
      <c r="K148" s="7">
        <v>494000</v>
      </c>
    </row>
    <row r="149" spans="2:11" ht="15.75" customHeight="1" x14ac:dyDescent="0.25">
      <c r="B149" s="8">
        <v>26206</v>
      </c>
      <c r="C149" s="8" t="s">
        <v>349</v>
      </c>
      <c r="D149" s="8" t="s">
        <v>350</v>
      </c>
      <c r="E149" s="8" t="s">
        <v>12</v>
      </c>
      <c r="F149" s="8">
        <v>30162</v>
      </c>
      <c r="G149" s="8" t="s">
        <v>49</v>
      </c>
      <c r="H149" s="8" t="s">
        <v>20</v>
      </c>
      <c r="I149" s="8" t="s">
        <v>15</v>
      </c>
      <c r="J149" s="7">
        <v>5130</v>
      </c>
      <c r="K149" s="7">
        <v>513000</v>
      </c>
    </row>
    <row r="150" spans="2:11" ht="15.75" customHeight="1" x14ac:dyDescent="0.25">
      <c r="B150" s="8">
        <v>123841</v>
      </c>
      <c r="C150" s="8" t="s">
        <v>340</v>
      </c>
      <c r="D150" s="8" t="s">
        <v>341</v>
      </c>
      <c r="E150" s="8" t="s">
        <v>12</v>
      </c>
      <c r="F150" s="8">
        <v>27183</v>
      </c>
      <c r="G150" s="8" t="s">
        <v>33</v>
      </c>
      <c r="H150" s="8" t="s">
        <v>20</v>
      </c>
      <c r="I150" s="8" t="s">
        <v>15</v>
      </c>
      <c r="J150" s="7">
        <v>5733</v>
      </c>
      <c r="K150" s="7">
        <v>573300</v>
      </c>
    </row>
    <row r="151" spans="2:11" ht="15.75" customHeight="1" x14ac:dyDescent="0.25">
      <c r="B151" s="8">
        <v>21184</v>
      </c>
      <c r="C151" s="8" t="s">
        <v>347</v>
      </c>
      <c r="D151" s="8" t="s">
        <v>348</v>
      </c>
      <c r="E151" s="8" t="s">
        <v>12</v>
      </c>
      <c r="F151" s="8">
        <v>26482</v>
      </c>
      <c r="G151" s="8" t="s">
        <v>48</v>
      </c>
      <c r="H151" s="8" t="s">
        <v>20</v>
      </c>
      <c r="I151" s="8" t="s">
        <v>15</v>
      </c>
      <c r="J151" s="7">
        <v>5275.2</v>
      </c>
      <c r="K151" s="7">
        <v>527520</v>
      </c>
    </row>
    <row r="152" spans="2:11" ht="15.75" customHeight="1" x14ac:dyDescent="0.25">
      <c r="B152" s="8">
        <v>26423</v>
      </c>
      <c r="C152" s="8" t="s">
        <v>351</v>
      </c>
      <c r="D152" s="8" t="s">
        <v>355</v>
      </c>
      <c r="E152" s="8" t="s">
        <v>12</v>
      </c>
      <c r="F152" s="8">
        <v>23480</v>
      </c>
      <c r="G152" s="8" t="s">
        <v>51</v>
      </c>
      <c r="H152" s="8" t="s">
        <v>52</v>
      </c>
      <c r="I152" s="8" t="s">
        <v>15</v>
      </c>
      <c r="J152" s="7">
        <v>4586.3999999999996</v>
      </c>
      <c r="K152" s="7">
        <v>458640</v>
      </c>
    </row>
    <row r="153" spans="2:11" ht="15.75" customHeight="1" x14ac:dyDescent="0.25">
      <c r="B153" s="8">
        <v>20529</v>
      </c>
      <c r="C153" s="8" t="s">
        <v>351</v>
      </c>
      <c r="D153" s="8" t="s">
        <v>358</v>
      </c>
      <c r="E153" s="8" t="s">
        <v>12</v>
      </c>
      <c r="F153" s="8">
        <v>30167</v>
      </c>
      <c r="G153" s="8" t="s">
        <v>57</v>
      </c>
      <c r="H153" s="8" t="s">
        <v>35</v>
      </c>
      <c r="I153" s="8" t="s">
        <v>15</v>
      </c>
      <c r="J153" s="7">
        <v>3808</v>
      </c>
      <c r="K153" s="7">
        <v>380800</v>
      </c>
    </row>
    <row r="154" spans="2:11" ht="15.75" customHeight="1" x14ac:dyDescent="0.25">
      <c r="B154" s="8">
        <v>22221</v>
      </c>
      <c r="C154" s="8" t="s">
        <v>351</v>
      </c>
      <c r="D154" s="8" t="s">
        <v>373</v>
      </c>
      <c r="E154" s="8" t="s">
        <v>12</v>
      </c>
      <c r="F154" s="8">
        <v>21541</v>
      </c>
      <c r="G154" s="8" t="s">
        <v>48</v>
      </c>
      <c r="H154" s="8" t="s">
        <v>20</v>
      </c>
      <c r="I154" s="8" t="s">
        <v>15</v>
      </c>
      <c r="J154" s="7">
        <v>3366</v>
      </c>
      <c r="K154" s="7">
        <v>336600</v>
      </c>
    </row>
    <row r="155" spans="2:11" ht="15.75" customHeight="1" x14ac:dyDescent="0.25">
      <c r="B155" s="8">
        <v>21742</v>
      </c>
      <c r="C155" s="8" t="s">
        <v>361</v>
      </c>
      <c r="D155" s="8" t="s">
        <v>362</v>
      </c>
      <c r="E155" s="8" t="s">
        <v>24</v>
      </c>
      <c r="F155" s="8">
        <v>31954</v>
      </c>
      <c r="G155" s="8" t="s">
        <v>58</v>
      </c>
      <c r="H155" s="8" t="s">
        <v>14</v>
      </c>
      <c r="I155" s="8" t="s">
        <v>15</v>
      </c>
      <c r="J155" s="7">
        <v>3785.66</v>
      </c>
      <c r="K155" s="7">
        <v>378566</v>
      </c>
    </row>
    <row r="156" spans="2:11" ht="15.75" customHeight="1" x14ac:dyDescent="0.25">
      <c r="B156" s="8">
        <v>20968</v>
      </c>
      <c r="C156" s="8" t="s">
        <v>364</v>
      </c>
      <c r="D156" s="8" t="s">
        <v>365</v>
      </c>
      <c r="E156" s="8" t="s">
        <v>12</v>
      </c>
      <c r="F156" s="8">
        <v>28919</v>
      </c>
      <c r="G156" s="8" t="s">
        <v>60</v>
      </c>
      <c r="H156" s="8" t="s">
        <v>20</v>
      </c>
      <c r="I156" s="8" t="s">
        <v>15</v>
      </c>
      <c r="J156" s="7">
        <v>3713.55</v>
      </c>
      <c r="K156" s="7">
        <v>371355</v>
      </c>
    </row>
    <row r="157" spans="2:11" ht="15.75" customHeight="1" x14ac:dyDescent="0.25">
      <c r="B157" s="8">
        <v>20735</v>
      </c>
      <c r="C157" s="8" t="s">
        <v>359</v>
      </c>
      <c r="D157" s="8" t="s">
        <v>368</v>
      </c>
      <c r="E157" s="8" t="s">
        <v>12</v>
      </c>
      <c r="F157" s="8">
        <v>19947</v>
      </c>
      <c r="G157" s="8" t="s">
        <v>57</v>
      </c>
      <c r="H157" s="8" t="s">
        <v>35</v>
      </c>
      <c r="I157" s="8" t="s">
        <v>15</v>
      </c>
      <c r="J157" s="7">
        <v>3554.1</v>
      </c>
      <c r="K157" s="7">
        <v>355410</v>
      </c>
    </row>
    <row r="158" spans="2:11" ht="15.75" customHeight="1" x14ac:dyDescent="0.25">
      <c r="B158" s="8">
        <v>141457</v>
      </c>
      <c r="C158" s="8" t="s">
        <v>359</v>
      </c>
      <c r="D158" s="8" t="s">
        <v>360</v>
      </c>
      <c r="E158" s="8" t="s">
        <v>12</v>
      </c>
      <c r="F158" s="8">
        <v>22447</v>
      </c>
      <c r="G158" s="8" t="s">
        <v>56</v>
      </c>
      <c r="H158" s="8" t="s">
        <v>14</v>
      </c>
      <c r="I158" s="8" t="s">
        <v>15</v>
      </c>
      <c r="J158" s="7">
        <v>3938.56</v>
      </c>
      <c r="K158" s="7">
        <v>393856</v>
      </c>
    </row>
    <row r="159" spans="2:11" ht="15.75" customHeight="1" x14ac:dyDescent="0.25">
      <c r="B159" s="8">
        <v>127312</v>
      </c>
      <c r="C159" s="8" t="s">
        <v>316</v>
      </c>
      <c r="D159" s="8" t="s">
        <v>367</v>
      </c>
      <c r="E159" s="8" t="s">
        <v>12</v>
      </c>
      <c r="F159" s="8">
        <v>23017</v>
      </c>
      <c r="G159" s="8" t="s">
        <v>62</v>
      </c>
      <c r="H159" s="8" t="s">
        <v>14</v>
      </c>
      <c r="I159" s="8" t="s">
        <v>15</v>
      </c>
      <c r="J159" s="7">
        <v>3577.14</v>
      </c>
      <c r="K159" s="7">
        <v>357714</v>
      </c>
    </row>
    <row r="160" spans="2:11" ht="15.75" customHeight="1" x14ac:dyDescent="0.25">
      <c r="B160" s="8">
        <v>126772</v>
      </c>
      <c r="C160" s="8" t="s">
        <v>316</v>
      </c>
      <c r="D160" s="8" t="s">
        <v>360</v>
      </c>
      <c r="E160" s="8" t="s">
        <v>12</v>
      </c>
      <c r="F160" s="8">
        <v>29028</v>
      </c>
      <c r="G160" s="8" t="s">
        <v>63</v>
      </c>
      <c r="H160" s="8" t="s">
        <v>14</v>
      </c>
      <c r="I160" s="8" t="s">
        <v>15</v>
      </c>
      <c r="J160" s="7">
        <v>3449.88</v>
      </c>
      <c r="K160" s="7">
        <v>344988</v>
      </c>
    </row>
    <row r="161" spans="2:11" ht="15.75" customHeight="1" x14ac:dyDescent="0.25">
      <c r="B161" s="8">
        <v>25535</v>
      </c>
      <c r="C161" s="8" t="s">
        <v>377</v>
      </c>
      <c r="D161" s="8" t="s">
        <v>383</v>
      </c>
      <c r="E161" s="8" t="s">
        <v>24</v>
      </c>
      <c r="F161" s="8">
        <v>32961</v>
      </c>
      <c r="G161" s="8" t="s">
        <v>50</v>
      </c>
      <c r="H161" s="8" t="s">
        <v>20</v>
      </c>
      <c r="I161" s="8" t="s">
        <v>15</v>
      </c>
      <c r="J161" s="7">
        <v>2885.34</v>
      </c>
      <c r="K161" s="7">
        <v>288534</v>
      </c>
    </row>
    <row r="162" spans="2:11" ht="15.75" customHeight="1" x14ac:dyDescent="0.25">
      <c r="B162" s="8">
        <v>24442</v>
      </c>
      <c r="C162" s="8" t="s">
        <v>407</v>
      </c>
      <c r="D162" s="8" t="s">
        <v>408</v>
      </c>
      <c r="E162" s="8" t="s">
        <v>24</v>
      </c>
      <c r="F162" s="8">
        <v>21352</v>
      </c>
      <c r="G162" s="8" t="s">
        <v>19</v>
      </c>
      <c r="H162" s="8" t="s">
        <v>20</v>
      </c>
      <c r="I162" s="8" t="s">
        <v>15</v>
      </c>
      <c r="J162" s="7">
        <v>2128</v>
      </c>
      <c r="K162" s="7">
        <v>212800</v>
      </c>
    </row>
    <row r="163" spans="2:11" ht="15.75" customHeight="1" x14ac:dyDescent="0.25">
      <c r="B163" s="8">
        <v>134616</v>
      </c>
      <c r="C163" s="8" t="s">
        <v>393</v>
      </c>
      <c r="D163" s="8" t="s">
        <v>394</v>
      </c>
      <c r="E163" s="8" t="s">
        <v>12</v>
      </c>
      <c r="F163" s="8">
        <v>29451</v>
      </c>
      <c r="G163" s="8" t="s">
        <v>49</v>
      </c>
      <c r="H163" s="8" t="s">
        <v>20</v>
      </c>
      <c r="I163" s="8" t="s">
        <v>15</v>
      </c>
      <c r="J163" s="7">
        <v>2469.7399999999998</v>
      </c>
      <c r="K163" s="7">
        <v>246974</v>
      </c>
    </row>
    <row r="164" spans="2:11" ht="15.75" customHeight="1" x14ac:dyDescent="0.25">
      <c r="B164" s="8">
        <v>127365</v>
      </c>
      <c r="C164" s="8" t="s">
        <v>393</v>
      </c>
      <c r="D164" s="8" t="s">
        <v>309</v>
      </c>
      <c r="E164" s="8" t="s">
        <v>12</v>
      </c>
      <c r="F164" s="8">
        <v>17535</v>
      </c>
      <c r="G164" s="8" t="s">
        <v>49</v>
      </c>
      <c r="H164" s="8" t="s">
        <v>20</v>
      </c>
      <c r="I164" s="8" t="s">
        <v>15</v>
      </c>
      <c r="J164" s="7">
        <v>2487</v>
      </c>
      <c r="K164" s="7">
        <v>248700</v>
      </c>
    </row>
    <row r="165" spans="2:11" ht="15.75" customHeight="1" x14ac:dyDescent="0.25">
      <c r="B165" s="8">
        <v>20795</v>
      </c>
      <c r="C165" s="8" t="s">
        <v>397</v>
      </c>
      <c r="D165" s="8" t="s">
        <v>398</v>
      </c>
      <c r="E165" s="8" t="s">
        <v>12</v>
      </c>
      <c r="F165" s="8">
        <v>28222</v>
      </c>
      <c r="G165" s="8" t="s">
        <v>75</v>
      </c>
      <c r="H165" s="8" t="s">
        <v>20</v>
      </c>
      <c r="I165" s="8" t="s">
        <v>15</v>
      </c>
      <c r="J165" s="7">
        <v>2357.52</v>
      </c>
      <c r="K165" s="7">
        <v>235752</v>
      </c>
    </row>
    <row r="166" spans="2:11" ht="15.75" customHeight="1" x14ac:dyDescent="0.25">
      <c r="B166" s="8">
        <v>26681</v>
      </c>
      <c r="C166" s="8" t="s">
        <v>391</v>
      </c>
      <c r="D166" s="8" t="s">
        <v>302</v>
      </c>
      <c r="E166" s="8" t="s">
        <v>12</v>
      </c>
      <c r="F166" s="8">
        <v>29903</v>
      </c>
      <c r="G166" s="8" t="s">
        <v>75</v>
      </c>
      <c r="H166" s="8" t="s">
        <v>20</v>
      </c>
      <c r="I166" s="8" t="s">
        <v>15</v>
      </c>
      <c r="J166" s="7">
        <v>2400</v>
      </c>
      <c r="K166" s="7">
        <v>240000</v>
      </c>
    </row>
    <row r="167" spans="2:11" ht="15.75" customHeight="1" x14ac:dyDescent="0.25">
      <c r="B167" s="8">
        <v>20569</v>
      </c>
      <c r="C167" s="8" t="s">
        <v>391</v>
      </c>
      <c r="D167" s="8" t="s">
        <v>392</v>
      </c>
      <c r="E167" s="8" t="s">
        <v>12</v>
      </c>
      <c r="F167" s="8">
        <v>31933</v>
      </c>
      <c r="G167" s="8" t="s">
        <v>60</v>
      </c>
      <c r="H167" s="8" t="s">
        <v>20</v>
      </c>
      <c r="I167" s="8" t="s">
        <v>15</v>
      </c>
      <c r="J167" s="7">
        <v>2497.44</v>
      </c>
      <c r="K167" s="7">
        <v>249744</v>
      </c>
    </row>
    <row r="168" spans="2:11" ht="15.75" customHeight="1" x14ac:dyDescent="0.25">
      <c r="B168" s="8">
        <v>21235</v>
      </c>
      <c r="C168" s="8" t="s">
        <v>395</v>
      </c>
      <c r="D168" s="8" t="s">
        <v>396</v>
      </c>
      <c r="E168" s="8" t="s">
        <v>12</v>
      </c>
      <c r="F168" s="8">
        <v>24802</v>
      </c>
      <c r="G168" s="8" t="s">
        <v>13</v>
      </c>
      <c r="H168" s="8" t="s">
        <v>14</v>
      </c>
      <c r="I168" s="8" t="s">
        <v>15</v>
      </c>
      <c r="J168" s="7">
        <v>2392</v>
      </c>
      <c r="K168" s="7">
        <v>239200</v>
      </c>
    </row>
    <row r="169" spans="2:11" ht="15.75" customHeight="1" x14ac:dyDescent="0.25">
      <c r="B169" s="8">
        <v>23034</v>
      </c>
      <c r="C169" s="8" t="s">
        <v>400</v>
      </c>
      <c r="D169" s="8" t="s">
        <v>401</v>
      </c>
      <c r="E169" s="8" t="s">
        <v>12</v>
      </c>
      <c r="F169" s="8">
        <v>29711</v>
      </c>
      <c r="G169" s="8" t="s">
        <v>75</v>
      </c>
      <c r="H169" s="8" t="s">
        <v>20</v>
      </c>
      <c r="I169" s="8" t="s">
        <v>15</v>
      </c>
      <c r="J169" s="7">
        <v>2273.2800000000002</v>
      </c>
      <c r="K169" s="7">
        <v>227328</v>
      </c>
    </row>
    <row r="170" spans="2:11" ht="15.75" customHeight="1" x14ac:dyDescent="0.25">
      <c r="B170" s="8">
        <v>22298</v>
      </c>
      <c r="C170" s="8" t="s">
        <v>405</v>
      </c>
      <c r="D170" s="8" t="s">
        <v>339</v>
      </c>
      <c r="E170" s="8" t="s">
        <v>12</v>
      </c>
      <c r="F170" s="8">
        <v>25673</v>
      </c>
      <c r="G170" s="8" t="s">
        <v>75</v>
      </c>
      <c r="H170" s="8" t="s">
        <v>20</v>
      </c>
      <c r="I170" s="8" t="s">
        <v>15</v>
      </c>
      <c r="J170" s="7">
        <v>2203.7399999999998</v>
      </c>
      <c r="K170" s="7">
        <v>220374</v>
      </c>
    </row>
    <row r="171" spans="2:11" ht="15.75" customHeight="1" x14ac:dyDescent="0.25">
      <c r="B171" s="8">
        <v>21004</v>
      </c>
      <c r="C171" s="8" t="s">
        <v>405</v>
      </c>
      <c r="D171" s="8" t="s">
        <v>410</v>
      </c>
      <c r="E171" s="8" t="s">
        <v>12</v>
      </c>
      <c r="F171" s="8">
        <v>20880</v>
      </c>
      <c r="G171" s="8" t="s">
        <v>50</v>
      </c>
      <c r="H171" s="8" t="s">
        <v>20</v>
      </c>
      <c r="I171" s="8" t="s">
        <v>15</v>
      </c>
      <c r="J171" s="7">
        <v>2053.87</v>
      </c>
      <c r="K171" s="7">
        <v>205387</v>
      </c>
    </row>
    <row r="172" spans="2:11" ht="15.75" customHeight="1" x14ac:dyDescent="0.25">
      <c r="B172" s="8">
        <v>20635</v>
      </c>
      <c r="C172" s="8" t="s">
        <v>405</v>
      </c>
      <c r="D172" s="8" t="s">
        <v>416</v>
      </c>
      <c r="E172" s="8" t="s">
        <v>12</v>
      </c>
      <c r="F172" s="8">
        <v>24960</v>
      </c>
      <c r="G172" s="8" t="s">
        <v>48</v>
      </c>
      <c r="H172" s="8" t="s">
        <v>20</v>
      </c>
      <c r="I172" s="8" t="s">
        <v>15</v>
      </c>
      <c r="J172" s="7">
        <v>1834.56</v>
      </c>
      <c r="K172" s="7">
        <v>183456</v>
      </c>
    </row>
    <row r="173" spans="2:11" ht="15.75" customHeight="1" x14ac:dyDescent="0.25">
      <c r="B173" s="8">
        <v>23705</v>
      </c>
      <c r="C173" s="8" t="s">
        <v>405</v>
      </c>
      <c r="D173" s="8" t="s">
        <v>339</v>
      </c>
      <c r="E173" s="8" t="s">
        <v>12</v>
      </c>
      <c r="F173" s="8">
        <v>26830</v>
      </c>
      <c r="G173" s="8" t="s">
        <v>30</v>
      </c>
      <c r="H173" s="8" t="s">
        <v>20</v>
      </c>
      <c r="I173" s="8" t="s">
        <v>15</v>
      </c>
      <c r="J173" s="7">
        <v>1723.56</v>
      </c>
      <c r="K173" s="7">
        <v>172356</v>
      </c>
    </row>
    <row r="174" spans="2:11" ht="15.75" customHeight="1" x14ac:dyDescent="0.25">
      <c r="B174" s="8">
        <v>130203</v>
      </c>
      <c r="C174" s="8" t="s">
        <v>413</v>
      </c>
      <c r="D174" s="8" t="s">
        <v>446</v>
      </c>
      <c r="E174" s="8" t="s">
        <v>12</v>
      </c>
      <c r="F174" s="8">
        <v>32270</v>
      </c>
      <c r="G174" s="8" t="s">
        <v>48</v>
      </c>
      <c r="H174" s="8" t="s">
        <v>20</v>
      </c>
      <c r="I174" s="8" t="s">
        <v>15</v>
      </c>
      <c r="J174" s="7">
        <v>1492</v>
      </c>
      <c r="K174" s="7">
        <v>149200</v>
      </c>
    </row>
    <row r="175" spans="2:11" ht="15.75" customHeight="1" x14ac:dyDescent="0.25">
      <c r="B175" s="8">
        <v>22206</v>
      </c>
      <c r="C175" s="8" t="s">
        <v>413</v>
      </c>
      <c r="D175" s="8" t="s">
        <v>447</v>
      </c>
      <c r="E175" s="8" t="s">
        <v>12</v>
      </c>
      <c r="F175" s="8">
        <v>20663</v>
      </c>
      <c r="G175" s="8" t="s">
        <v>48</v>
      </c>
      <c r="H175" s="8" t="s">
        <v>20</v>
      </c>
      <c r="I175" s="8" t="s">
        <v>15</v>
      </c>
      <c r="J175" s="7">
        <v>1473.5</v>
      </c>
      <c r="K175" s="7">
        <v>147350</v>
      </c>
    </row>
    <row r="176" spans="2:11" ht="15.75" customHeight="1" x14ac:dyDescent="0.25">
      <c r="B176" s="8">
        <v>21223</v>
      </c>
      <c r="C176" s="8" t="s">
        <v>435</v>
      </c>
      <c r="D176" s="8" t="s">
        <v>436</v>
      </c>
      <c r="E176" s="8" t="s">
        <v>12</v>
      </c>
      <c r="F176" s="8">
        <v>28635</v>
      </c>
      <c r="G176" s="8" t="s">
        <v>93</v>
      </c>
      <c r="H176" s="8" t="s">
        <v>14</v>
      </c>
      <c r="I176" s="8" t="s">
        <v>15</v>
      </c>
      <c r="J176" s="7">
        <v>1652</v>
      </c>
      <c r="K176" s="7">
        <v>165200</v>
      </c>
    </row>
    <row r="177" spans="2:11" ht="15.75" customHeight="1" x14ac:dyDescent="0.25">
      <c r="B177" s="8">
        <v>22561</v>
      </c>
      <c r="C177" s="8" t="s">
        <v>417</v>
      </c>
      <c r="D177" s="8" t="s">
        <v>418</v>
      </c>
      <c r="E177" s="8" t="s">
        <v>24</v>
      </c>
      <c r="F177" s="8">
        <v>29527</v>
      </c>
      <c r="G177" s="8" t="s">
        <v>88</v>
      </c>
      <c r="H177" s="8" t="s">
        <v>52</v>
      </c>
      <c r="I177" s="8" t="s">
        <v>15</v>
      </c>
      <c r="J177" s="7">
        <v>1792</v>
      </c>
      <c r="K177" s="7">
        <v>179200</v>
      </c>
    </row>
    <row r="178" spans="2:11" ht="15.75" customHeight="1" x14ac:dyDescent="0.25">
      <c r="B178" s="8">
        <v>21897</v>
      </c>
      <c r="C178" s="8" t="s">
        <v>439</v>
      </c>
      <c r="D178" s="8" t="s">
        <v>440</v>
      </c>
      <c r="E178" s="8" t="s">
        <v>12</v>
      </c>
      <c r="F178" s="8">
        <v>31158</v>
      </c>
      <c r="G178" s="8" t="s">
        <v>29</v>
      </c>
      <c r="H178" s="8" t="s">
        <v>14</v>
      </c>
      <c r="I178" s="8" t="s">
        <v>15</v>
      </c>
      <c r="J178" s="7">
        <v>1612.4</v>
      </c>
      <c r="K178" s="7">
        <v>161240</v>
      </c>
    </row>
    <row r="179" spans="2:11" ht="15.75" customHeight="1" x14ac:dyDescent="0.25">
      <c r="B179" s="8">
        <v>21979</v>
      </c>
      <c r="C179" s="8" t="s">
        <v>426</v>
      </c>
      <c r="D179" s="8" t="s">
        <v>427</v>
      </c>
      <c r="E179" s="8" t="s">
        <v>12</v>
      </c>
      <c r="F179" s="8">
        <v>29722</v>
      </c>
      <c r="G179" s="8" t="s">
        <v>90</v>
      </c>
      <c r="H179" s="8" t="s">
        <v>14</v>
      </c>
      <c r="I179" s="8" t="s">
        <v>15</v>
      </c>
      <c r="J179" s="7">
        <v>1686.65</v>
      </c>
      <c r="K179" s="7">
        <v>168665</v>
      </c>
    </row>
    <row r="180" spans="2:11" ht="15.75" customHeight="1" x14ac:dyDescent="0.25">
      <c r="B180" s="8">
        <v>21707</v>
      </c>
      <c r="C180" s="8" t="s">
        <v>433</v>
      </c>
      <c r="D180" s="8" t="s">
        <v>434</v>
      </c>
      <c r="E180" s="8" t="s">
        <v>12</v>
      </c>
      <c r="F180" s="8">
        <v>32663</v>
      </c>
      <c r="G180" s="8" t="s">
        <v>92</v>
      </c>
      <c r="H180" s="8" t="s">
        <v>35</v>
      </c>
      <c r="I180" s="8" t="s">
        <v>15</v>
      </c>
      <c r="J180" s="7">
        <v>1655.4</v>
      </c>
      <c r="K180" s="7">
        <v>165540</v>
      </c>
    </row>
    <row r="181" spans="2:11" ht="15.75" customHeight="1" x14ac:dyDescent="0.25">
      <c r="B181" s="8">
        <v>21578</v>
      </c>
      <c r="C181" s="8" t="s">
        <v>419</v>
      </c>
      <c r="D181" s="8" t="s">
        <v>420</v>
      </c>
      <c r="E181" s="8" t="s">
        <v>24</v>
      </c>
      <c r="F181" s="8">
        <v>24887</v>
      </c>
      <c r="G181" s="8" t="s">
        <v>60</v>
      </c>
      <c r="H181" s="8" t="s">
        <v>20</v>
      </c>
      <c r="I181" s="8" t="s">
        <v>15</v>
      </c>
      <c r="J181" s="7">
        <v>1786.89</v>
      </c>
      <c r="K181" s="7">
        <v>178689</v>
      </c>
    </row>
    <row r="182" spans="2:11" ht="15.75" customHeight="1" x14ac:dyDescent="0.25">
      <c r="B182" s="8">
        <v>20578</v>
      </c>
      <c r="C182" s="8" t="s">
        <v>444</v>
      </c>
      <c r="D182" s="8" t="s">
        <v>445</v>
      </c>
      <c r="E182" s="8" t="s">
        <v>12</v>
      </c>
      <c r="F182" s="8">
        <v>26765</v>
      </c>
      <c r="G182" s="8" t="s">
        <v>48</v>
      </c>
      <c r="H182" s="8" t="s">
        <v>20</v>
      </c>
      <c r="I182" s="8" t="s">
        <v>15</v>
      </c>
      <c r="J182" s="7">
        <v>1513.92</v>
      </c>
      <c r="K182" s="7">
        <v>151392</v>
      </c>
    </row>
    <row r="183" spans="2:11" ht="15.75" customHeight="1" x14ac:dyDescent="0.25">
      <c r="B183" s="8">
        <v>21388</v>
      </c>
      <c r="C183" s="8" t="s">
        <v>448</v>
      </c>
      <c r="D183" s="8" t="s">
        <v>449</v>
      </c>
      <c r="E183" s="8" t="s">
        <v>12</v>
      </c>
      <c r="F183" s="8">
        <v>26638</v>
      </c>
      <c r="G183" s="8" t="s">
        <v>62</v>
      </c>
      <c r="H183" s="8" t="s">
        <v>14</v>
      </c>
      <c r="I183" s="8" t="s">
        <v>15</v>
      </c>
      <c r="J183" s="7">
        <v>1456</v>
      </c>
      <c r="K183" s="7">
        <v>145600</v>
      </c>
    </row>
    <row r="184" spans="2:11" ht="15.75" customHeight="1" x14ac:dyDescent="0.25">
      <c r="B184" s="8">
        <v>20800</v>
      </c>
      <c r="C184" s="8" t="s">
        <v>473</v>
      </c>
      <c r="D184" s="8" t="s">
        <v>474</v>
      </c>
      <c r="E184" s="8" t="s">
        <v>12</v>
      </c>
      <c r="F184" s="8">
        <v>24210</v>
      </c>
      <c r="G184" s="8" t="s">
        <v>48</v>
      </c>
      <c r="H184" s="8" t="s">
        <v>20</v>
      </c>
      <c r="I184" s="8" t="s">
        <v>15</v>
      </c>
      <c r="J184" s="7">
        <v>1323.45</v>
      </c>
      <c r="K184" s="7">
        <v>132345</v>
      </c>
    </row>
    <row r="185" spans="2:11" ht="15.75" customHeight="1" x14ac:dyDescent="0.25">
      <c r="B185" s="8">
        <v>20630</v>
      </c>
      <c r="C185" s="8" t="s">
        <v>441</v>
      </c>
      <c r="D185" s="8" t="s">
        <v>362</v>
      </c>
      <c r="E185" s="8" t="s">
        <v>12</v>
      </c>
      <c r="F185" s="8">
        <v>32102</v>
      </c>
      <c r="G185" s="8" t="s">
        <v>96</v>
      </c>
      <c r="H185" s="8" t="s">
        <v>52</v>
      </c>
      <c r="I185" s="8" t="s">
        <v>15</v>
      </c>
      <c r="J185" s="7">
        <v>1595.16</v>
      </c>
      <c r="K185" s="7">
        <v>159516</v>
      </c>
    </row>
    <row r="186" spans="2:11" ht="15.75" customHeight="1" x14ac:dyDescent="0.25">
      <c r="B186" s="8">
        <v>26269</v>
      </c>
      <c r="C186" s="8" t="s">
        <v>428</v>
      </c>
      <c r="D186" s="8" t="s">
        <v>358</v>
      </c>
      <c r="E186" s="8" t="s">
        <v>12</v>
      </c>
      <c r="F186" s="8">
        <v>31949</v>
      </c>
      <c r="G186" s="8" t="s">
        <v>48</v>
      </c>
      <c r="H186" s="8" t="s">
        <v>20</v>
      </c>
      <c r="I186" s="8" t="s">
        <v>15</v>
      </c>
      <c r="J186" s="7">
        <v>1675</v>
      </c>
      <c r="K186" s="7">
        <v>167500</v>
      </c>
    </row>
    <row r="187" spans="2:11" ht="15.75" customHeight="1" x14ac:dyDescent="0.25">
      <c r="B187" s="8">
        <v>21315</v>
      </c>
      <c r="C187" s="8" t="s">
        <v>461</v>
      </c>
      <c r="D187" s="8" t="s">
        <v>462</v>
      </c>
      <c r="E187" s="8" t="s">
        <v>12</v>
      </c>
      <c r="F187" s="8">
        <v>30543</v>
      </c>
      <c r="G187" s="8" t="s">
        <v>60</v>
      </c>
      <c r="H187" s="8" t="s">
        <v>20</v>
      </c>
      <c r="I187" s="8" t="s">
        <v>15</v>
      </c>
      <c r="J187" s="7">
        <v>1400</v>
      </c>
      <c r="K187" s="7">
        <v>140000</v>
      </c>
    </row>
    <row r="188" spans="2:11" ht="15.75" customHeight="1" x14ac:dyDescent="0.25">
      <c r="B188" s="8">
        <v>20913</v>
      </c>
      <c r="C188" s="8" t="s">
        <v>455</v>
      </c>
      <c r="D188" s="8" t="s">
        <v>456</v>
      </c>
      <c r="E188" s="8" t="s">
        <v>12</v>
      </c>
      <c r="F188" s="8">
        <v>32625</v>
      </c>
      <c r="G188" s="8" t="s">
        <v>19</v>
      </c>
      <c r="H188" s="8" t="s">
        <v>20</v>
      </c>
      <c r="I188" s="8" t="s">
        <v>15</v>
      </c>
      <c r="J188" s="7">
        <v>1433.76</v>
      </c>
      <c r="K188" s="7">
        <v>143376</v>
      </c>
    </row>
    <row r="189" spans="2:11" ht="15.75" customHeight="1" x14ac:dyDescent="0.25">
      <c r="B189" s="8">
        <v>20563</v>
      </c>
      <c r="C189" s="8" t="s">
        <v>465</v>
      </c>
      <c r="D189" s="8" t="s">
        <v>466</v>
      </c>
      <c r="E189" s="8" t="s">
        <v>12</v>
      </c>
      <c r="F189" s="8">
        <v>23165</v>
      </c>
      <c r="G189" s="8" t="s">
        <v>60</v>
      </c>
      <c r="H189" s="8" t="s">
        <v>20</v>
      </c>
      <c r="I189" s="8" t="s">
        <v>15</v>
      </c>
      <c r="J189" s="7">
        <v>1388.86</v>
      </c>
      <c r="K189" s="7">
        <v>138886</v>
      </c>
    </row>
    <row r="190" spans="2:11" ht="15.75" customHeight="1" x14ac:dyDescent="0.25">
      <c r="B190" s="8">
        <v>20570</v>
      </c>
      <c r="C190" s="8" t="s">
        <v>463</v>
      </c>
      <c r="D190" s="8" t="s">
        <v>464</v>
      </c>
      <c r="E190" s="8" t="s">
        <v>12</v>
      </c>
      <c r="F190" s="8">
        <v>23657</v>
      </c>
      <c r="G190" s="8" t="s">
        <v>100</v>
      </c>
      <c r="H190" s="8" t="s">
        <v>14</v>
      </c>
      <c r="I190" s="8" t="s">
        <v>15</v>
      </c>
      <c r="J190" s="7">
        <v>1397.4</v>
      </c>
      <c r="K190" s="7">
        <v>139740</v>
      </c>
    </row>
    <row r="191" spans="2:11" ht="15.75" customHeight="1" x14ac:dyDescent="0.25">
      <c r="B191" s="8">
        <v>20528</v>
      </c>
      <c r="C191" s="8" t="s">
        <v>479</v>
      </c>
      <c r="D191" s="8" t="s">
        <v>480</v>
      </c>
      <c r="E191" s="8" t="s">
        <v>12</v>
      </c>
      <c r="F191" s="8">
        <v>30819</v>
      </c>
      <c r="G191" s="8" t="s">
        <v>50</v>
      </c>
      <c r="H191" s="8" t="s">
        <v>20</v>
      </c>
      <c r="I191" s="8" t="s">
        <v>15</v>
      </c>
      <c r="J191" s="7">
        <v>1289.68</v>
      </c>
      <c r="K191" s="7">
        <v>128968</v>
      </c>
    </row>
    <row r="192" spans="2:11" ht="15.75" customHeight="1" x14ac:dyDescent="0.25">
      <c r="B192" s="8">
        <v>20879</v>
      </c>
      <c r="C192" s="8" t="s">
        <v>479</v>
      </c>
      <c r="D192" s="8" t="s">
        <v>355</v>
      </c>
      <c r="E192" s="8" t="s">
        <v>12</v>
      </c>
      <c r="F192" s="8">
        <v>23480</v>
      </c>
      <c r="G192" s="8" t="s">
        <v>48</v>
      </c>
      <c r="H192" s="8" t="s">
        <v>20</v>
      </c>
      <c r="I192" s="8" t="s">
        <v>15</v>
      </c>
      <c r="J192" s="7">
        <v>1258.95</v>
      </c>
      <c r="K192" s="7">
        <v>125895</v>
      </c>
    </row>
    <row r="193" spans="2:11" ht="15.75" customHeight="1" x14ac:dyDescent="0.25">
      <c r="B193" s="8">
        <v>32590</v>
      </c>
      <c r="C193" s="8" t="s">
        <v>501</v>
      </c>
      <c r="D193" s="8" t="s">
        <v>502</v>
      </c>
      <c r="E193" s="8" t="s">
        <v>12</v>
      </c>
      <c r="F193" s="8">
        <v>19941</v>
      </c>
      <c r="G193" s="8" t="s">
        <v>57</v>
      </c>
      <c r="H193" s="8" t="s">
        <v>35</v>
      </c>
      <c r="I193" s="8" t="s">
        <v>15</v>
      </c>
      <c r="J193" s="7">
        <v>1156.68</v>
      </c>
      <c r="K193" s="7">
        <v>115668</v>
      </c>
    </row>
    <row r="194" spans="2:11" ht="15.75" customHeight="1" x14ac:dyDescent="0.25">
      <c r="B194" s="8">
        <v>140822</v>
      </c>
      <c r="C194" s="8" t="s">
        <v>486</v>
      </c>
      <c r="D194" s="8" t="s">
        <v>487</v>
      </c>
      <c r="E194" s="8" t="s">
        <v>24</v>
      </c>
      <c r="F194" s="8">
        <v>25884</v>
      </c>
      <c r="G194" s="8" t="s">
        <v>46</v>
      </c>
      <c r="H194" s="8" t="s">
        <v>35</v>
      </c>
      <c r="I194" s="8" t="s">
        <v>15</v>
      </c>
      <c r="J194" s="7">
        <v>1244.6500000000001</v>
      </c>
      <c r="K194" s="7">
        <v>124465</v>
      </c>
    </row>
    <row r="195" spans="2:11" ht="15.75" customHeight="1" x14ac:dyDescent="0.25">
      <c r="B195" s="8">
        <v>20893</v>
      </c>
      <c r="C195" s="8" t="s">
        <v>469</v>
      </c>
      <c r="D195" s="8" t="s">
        <v>470</v>
      </c>
      <c r="E195" s="8" t="s">
        <v>24</v>
      </c>
      <c r="F195" s="8">
        <v>29662</v>
      </c>
      <c r="G195" s="8" t="s">
        <v>60</v>
      </c>
      <c r="H195" s="8" t="s">
        <v>20</v>
      </c>
      <c r="I195" s="8" t="s">
        <v>15</v>
      </c>
      <c r="J195" s="7">
        <v>1378.6</v>
      </c>
      <c r="K195" s="7">
        <v>137860</v>
      </c>
    </row>
    <row r="196" spans="2:11" ht="15.75" customHeight="1" x14ac:dyDescent="0.25">
      <c r="B196" s="8">
        <v>131866</v>
      </c>
      <c r="C196" s="8" t="s">
        <v>520</v>
      </c>
      <c r="D196" s="8" t="s">
        <v>513</v>
      </c>
      <c r="E196" s="8" t="s">
        <v>12</v>
      </c>
      <c r="F196" s="8">
        <v>23691</v>
      </c>
      <c r="G196" s="8" t="s">
        <v>113</v>
      </c>
      <c r="H196" s="8" t="s">
        <v>35</v>
      </c>
      <c r="I196" s="8" t="s">
        <v>15</v>
      </c>
      <c r="J196" s="7">
        <v>1079.5</v>
      </c>
      <c r="K196" s="7">
        <v>107950</v>
      </c>
    </row>
    <row r="197" spans="2:11" ht="15.75" customHeight="1" x14ac:dyDescent="0.25">
      <c r="B197" s="8">
        <v>134219</v>
      </c>
      <c r="C197" s="8" t="s">
        <v>459</v>
      </c>
      <c r="D197" s="8" t="s">
        <v>472</v>
      </c>
      <c r="E197" s="8" t="s">
        <v>12</v>
      </c>
      <c r="F197" s="8">
        <v>26912</v>
      </c>
      <c r="G197" s="8" t="s">
        <v>41</v>
      </c>
      <c r="H197" s="8" t="s">
        <v>20</v>
      </c>
      <c r="I197" s="8" t="s">
        <v>15</v>
      </c>
      <c r="J197" s="7">
        <v>1333</v>
      </c>
      <c r="K197" s="7">
        <v>133300</v>
      </c>
    </row>
    <row r="198" spans="2:11" ht="15.75" customHeight="1" x14ac:dyDescent="0.25">
      <c r="B198" s="8">
        <v>27407</v>
      </c>
      <c r="C198" s="8" t="s">
        <v>459</v>
      </c>
      <c r="D198" s="8" t="s">
        <v>460</v>
      </c>
      <c r="E198" s="8" t="s">
        <v>12</v>
      </c>
      <c r="F198" s="8">
        <v>25772</v>
      </c>
      <c r="G198" s="8" t="s">
        <v>49</v>
      </c>
      <c r="H198" s="8" t="s">
        <v>20</v>
      </c>
      <c r="I198" s="8" t="s">
        <v>15</v>
      </c>
      <c r="J198" s="7">
        <v>1415.7</v>
      </c>
      <c r="K198" s="7">
        <v>141570</v>
      </c>
    </row>
    <row r="199" spans="2:11" ht="15.75" customHeight="1" x14ac:dyDescent="0.25">
      <c r="B199" s="8">
        <v>22465</v>
      </c>
      <c r="C199" s="8" t="s">
        <v>518</v>
      </c>
      <c r="D199" s="8" t="s">
        <v>519</v>
      </c>
      <c r="E199" s="8" t="s">
        <v>12</v>
      </c>
      <c r="F199" s="8">
        <v>30134</v>
      </c>
      <c r="G199" s="8" t="s">
        <v>48</v>
      </c>
      <c r="H199" s="8" t="s">
        <v>20</v>
      </c>
      <c r="I199" s="8" t="s">
        <v>15</v>
      </c>
      <c r="J199" s="7">
        <v>1083.75</v>
      </c>
      <c r="K199" s="7">
        <v>108375</v>
      </c>
    </row>
    <row r="200" spans="2:11" ht="15.75" customHeight="1" x14ac:dyDescent="0.25">
      <c r="B200" s="8">
        <v>127152</v>
      </c>
      <c r="C200" s="8" t="s">
        <v>505</v>
      </c>
      <c r="D200" s="8" t="s">
        <v>372</v>
      </c>
      <c r="E200" s="8" t="s">
        <v>12</v>
      </c>
      <c r="F200" s="8">
        <v>32600</v>
      </c>
      <c r="G200" s="8" t="s">
        <v>60</v>
      </c>
      <c r="H200" s="8" t="s">
        <v>20</v>
      </c>
      <c r="I200" s="8" t="s">
        <v>15</v>
      </c>
      <c r="J200" s="7">
        <v>1133.46</v>
      </c>
      <c r="K200" s="7">
        <v>113346</v>
      </c>
    </row>
    <row r="201" spans="2:11" ht="15.75" customHeight="1" x14ac:dyDescent="0.25">
      <c r="B201" s="8">
        <v>128577</v>
      </c>
      <c r="C201" s="8" t="s">
        <v>527</v>
      </c>
      <c r="D201" s="8" t="s">
        <v>528</v>
      </c>
      <c r="E201" s="8" t="s">
        <v>24</v>
      </c>
      <c r="F201" s="8">
        <v>31564</v>
      </c>
      <c r="G201" s="8" t="s">
        <v>46</v>
      </c>
      <c r="H201" s="8" t="s">
        <v>35</v>
      </c>
      <c r="I201" s="8" t="s">
        <v>15</v>
      </c>
      <c r="J201" s="7">
        <v>1020</v>
      </c>
      <c r="K201" s="7">
        <v>102000</v>
      </c>
    </row>
    <row r="202" spans="2:11" ht="15.75" customHeight="1" x14ac:dyDescent="0.25">
      <c r="B202" s="8">
        <v>141756</v>
      </c>
      <c r="C202" s="8" t="s">
        <v>496</v>
      </c>
      <c r="D202" s="8" t="s">
        <v>497</v>
      </c>
      <c r="E202" s="8" t="s">
        <v>12</v>
      </c>
      <c r="F202" s="8">
        <v>24772</v>
      </c>
      <c r="G202" s="8" t="s">
        <v>48</v>
      </c>
      <c r="H202" s="8" t="s">
        <v>20</v>
      </c>
      <c r="I202" s="8" t="s">
        <v>15</v>
      </c>
      <c r="J202" s="7">
        <v>1200</v>
      </c>
      <c r="K202" s="7">
        <v>120000</v>
      </c>
    </row>
    <row r="203" spans="2:11" ht="15.75" customHeight="1" x14ac:dyDescent="0.25">
      <c r="B203" s="8">
        <v>50460</v>
      </c>
      <c r="C203" s="8" t="s">
        <v>488</v>
      </c>
      <c r="D203" s="8" t="s">
        <v>498</v>
      </c>
      <c r="E203" s="8" t="s">
        <v>12</v>
      </c>
      <c r="F203" s="8">
        <v>24308</v>
      </c>
      <c r="G203" s="8" t="s">
        <v>41</v>
      </c>
      <c r="H203" s="8" t="s">
        <v>20</v>
      </c>
      <c r="I203" s="8" t="s">
        <v>15</v>
      </c>
      <c r="J203" s="7">
        <v>1197</v>
      </c>
      <c r="K203" s="7">
        <v>119700</v>
      </c>
    </row>
    <row r="204" spans="2:11" ht="15.75" customHeight="1" x14ac:dyDescent="0.25">
      <c r="B204" s="8">
        <v>23022</v>
      </c>
      <c r="C204" s="8" t="s">
        <v>493</v>
      </c>
      <c r="D204" s="8" t="s">
        <v>406</v>
      </c>
      <c r="E204" s="8" t="s">
        <v>12</v>
      </c>
      <c r="F204" s="8">
        <v>29211</v>
      </c>
      <c r="G204" s="8" t="s">
        <v>49</v>
      </c>
      <c r="H204" s="8" t="s">
        <v>20</v>
      </c>
      <c r="I204" s="8" t="s">
        <v>15</v>
      </c>
      <c r="J204" s="7">
        <v>1221.1199999999999</v>
      </c>
      <c r="K204" s="7">
        <v>122112</v>
      </c>
    </row>
    <row r="205" spans="2:11" ht="15.75" customHeight="1" x14ac:dyDescent="0.25">
      <c r="B205" s="8">
        <v>133441</v>
      </c>
      <c r="C205" s="8" t="s">
        <v>523</v>
      </c>
      <c r="D205" s="8" t="s">
        <v>524</v>
      </c>
      <c r="E205" s="8" t="s">
        <v>12</v>
      </c>
      <c r="F205" s="8">
        <v>25575</v>
      </c>
      <c r="G205" s="8" t="s">
        <v>50</v>
      </c>
      <c r="H205" s="8" t="s">
        <v>20</v>
      </c>
      <c r="I205" s="8" t="s">
        <v>15</v>
      </c>
      <c r="J205" s="7">
        <v>1052.8</v>
      </c>
      <c r="K205" s="7">
        <v>105280</v>
      </c>
    </row>
    <row r="206" spans="2:11" ht="15.75" customHeight="1" x14ac:dyDescent="0.25">
      <c r="B206" s="8">
        <v>21920</v>
      </c>
      <c r="C206" s="8" t="s">
        <v>510</v>
      </c>
      <c r="D206" s="8" t="s">
        <v>511</v>
      </c>
      <c r="E206" s="8" t="s">
        <v>24</v>
      </c>
      <c r="F206" s="8">
        <v>29458</v>
      </c>
      <c r="G206" s="8" t="s">
        <v>30</v>
      </c>
      <c r="H206" s="8" t="s">
        <v>20</v>
      </c>
      <c r="I206" s="8" t="s">
        <v>15</v>
      </c>
      <c r="J206" s="7">
        <v>1109.2</v>
      </c>
      <c r="K206" s="7">
        <v>110920</v>
      </c>
    </row>
    <row r="207" spans="2:11" ht="15.75" customHeight="1" x14ac:dyDescent="0.25">
      <c r="B207" s="8">
        <v>128548</v>
      </c>
      <c r="C207" s="8" t="s">
        <v>503</v>
      </c>
      <c r="D207" s="8" t="s">
        <v>504</v>
      </c>
      <c r="E207" s="8" t="s">
        <v>12</v>
      </c>
      <c r="F207" s="8">
        <v>28774</v>
      </c>
      <c r="G207" s="8" t="s">
        <v>49</v>
      </c>
      <c r="H207" s="8" t="s">
        <v>20</v>
      </c>
      <c r="I207" s="8" t="s">
        <v>15</v>
      </c>
      <c r="J207" s="7">
        <v>1151.8</v>
      </c>
      <c r="K207" s="7">
        <v>115180</v>
      </c>
    </row>
    <row r="208" spans="2:11" ht="15.75" customHeight="1" x14ac:dyDescent="0.25">
      <c r="B208" s="8">
        <v>24744</v>
      </c>
      <c r="C208" s="8" t="s">
        <v>514</v>
      </c>
      <c r="D208" s="8" t="s">
        <v>515</v>
      </c>
      <c r="E208" s="8" t="s">
        <v>12</v>
      </c>
      <c r="F208" s="8">
        <v>31981</v>
      </c>
      <c r="G208" s="8" t="s">
        <v>48</v>
      </c>
      <c r="H208" s="8" t="s">
        <v>20</v>
      </c>
      <c r="I208" s="8" t="s">
        <v>15</v>
      </c>
      <c r="J208" s="7">
        <v>1088.01</v>
      </c>
      <c r="K208" s="7">
        <v>108801</v>
      </c>
    </row>
    <row r="209" spans="2:11" ht="15.75" customHeight="1" x14ac:dyDescent="0.25">
      <c r="B209" s="8">
        <v>21211</v>
      </c>
      <c r="C209" s="8" t="s">
        <v>557</v>
      </c>
      <c r="D209" s="8" t="s">
        <v>558</v>
      </c>
      <c r="E209" s="8" t="s">
        <v>24</v>
      </c>
      <c r="F209" s="8">
        <v>23170</v>
      </c>
      <c r="G209" s="8" t="s">
        <v>48</v>
      </c>
      <c r="H209" s="8" t="s">
        <v>20</v>
      </c>
      <c r="I209" s="8" t="s">
        <v>15</v>
      </c>
      <c r="J209" s="7">
        <v>861.5</v>
      </c>
      <c r="K209" s="7">
        <v>86150</v>
      </c>
    </row>
    <row r="210" spans="2:11" ht="15.75" customHeight="1" x14ac:dyDescent="0.25">
      <c r="B210" s="8">
        <v>23736</v>
      </c>
      <c r="C210" s="8" t="s">
        <v>537</v>
      </c>
      <c r="D210" s="8" t="s">
        <v>538</v>
      </c>
      <c r="E210" s="8" t="s">
        <v>12</v>
      </c>
      <c r="F210" s="8">
        <v>24480</v>
      </c>
      <c r="G210" s="8" t="s">
        <v>75</v>
      </c>
      <c r="H210" s="8" t="s">
        <v>20</v>
      </c>
      <c r="I210" s="8" t="s">
        <v>15</v>
      </c>
      <c r="J210" s="7">
        <v>986</v>
      </c>
      <c r="K210" s="7">
        <v>98600</v>
      </c>
    </row>
    <row r="211" spans="2:11" ht="15.75" customHeight="1" x14ac:dyDescent="0.25">
      <c r="B211" s="8">
        <v>22403</v>
      </c>
      <c r="C211" s="8" t="s">
        <v>564</v>
      </c>
      <c r="D211" s="8" t="s">
        <v>366</v>
      </c>
      <c r="E211" s="8" t="s">
        <v>12</v>
      </c>
      <c r="F211" s="8">
        <v>21922</v>
      </c>
      <c r="G211" s="8" t="s">
        <v>32</v>
      </c>
      <c r="H211" s="8" t="s">
        <v>20</v>
      </c>
      <c r="I211" s="8" t="s">
        <v>15</v>
      </c>
      <c r="J211" s="7">
        <v>839</v>
      </c>
      <c r="K211" s="7">
        <v>83900</v>
      </c>
    </row>
    <row r="212" spans="2:11" ht="15.75" customHeight="1" x14ac:dyDescent="0.25">
      <c r="B212" s="8">
        <v>140383</v>
      </c>
      <c r="C212" s="8" t="s">
        <v>569</v>
      </c>
      <c r="D212" s="8" t="s">
        <v>570</v>
      </c>
      <c r="E212" s="8" t="s">
        <v>24</v>
      </c>
      <c r="F212" s="8">
        <v>25782</v>
      </c>
      <c r="G212" s="8" t="s">
        <v>30</v>
      </c>
      <c r="H212" s="8" t="s">
        <v>20</v>
      </c>
      <c r="I212" s="8" t="s">
        <v>15</v>
      </c>
      <c r="J212" s="7">
        <v>813.45</v>
      </c>
      <c r="K212" s="7">
        <v>81345</v>
      </c>
    </row>
    <row r="213" spans="2:11" ht="15.75" customHeight="1" x14ac:dyDescent="0.25">
      <c r="B213" s="8">
        <v>20507</v>
      </c>
      <c r="C213" s="8" t="s">
        <v>535</v>
      </c>
      <c r="D213" s="8" t="s">
        <v>536</v>
      </c>
      <c r="E213" s="8" t="s">
        <v>12</v>
      </c>
      <c r="F213" s="8">
        <v>25110</v>
      </c>
      <c r="G213" s="8" t="s">
        <v>50</v>
      </c>
      <c r="H213" s="8" t="s">
        <v>20</v>
      </c>
      <c r="I213" s="8" t="s">
        <v>15</v>
      </c>
      <c r="J213" s="7">
        <v>994.5</v>
      </c>
      <c r="K213" s="7">
        <v>99450</v>
      </c>
    </row>
    <row r="214" spans="2:11" ht="15.75" customHeight="1" x14ac:dyDescent="0.25">
      <c r="B214" s="8">
        <v>121525</v>
      </c>
      <c r="C214" s="8" t="s">
        <v>539</v>
      </c>
      <c r="D214" s="8" t="s">
        <v>540</v>
      </c>
      <c r="E214" s="8" t="s">
        <v>12</v>
      </c>
      <c r="F214" s="8">
        <v>31213</v>
      </c>
      <c r="G214" s="8" t="s">
        <v>118</v>
      </c>
      <c r="H214" s="8" t="s">
        <v>20</v>
      </c>
      <c r="I214" s="8" t="s">
        <v>15</v>
      </c>
      <c r="J214" s="7">
        <v>971.52</v>
      </c>
      <c r="K214" s="7">
        <v>97152</v>
      </c>
    </row>
    <row r="215" spans="2:11" ht="15.75" customHeight="1" x14ac:dyDescent="0.25">
      <c r="B215" s="8">
        <v>20965</v>
      </c>
      <c r="C215" s="8" t="s">
        <v>562</v>
      </c>
      <c r="D215" s="8" t="s">
        <v>563</v>
      </c>
      <c r="E215" s="8" t="s">
        <v>12</v>
      </c>
      <c r="F215" s="8">
        <v>27786</v>
      </c>
      <c r="G215" s="8" t="s">
        <v>119</v>
      </c>
      <c r="H215" s="8" t="s">
        <v>14</v>
      </c>
      <c r="I215" s="8" t="s">
        <v>15</v>
      </c>
      <c r="J215" s="7">
        <v>840</v>
      </c>
      <c r="K215" s="7">
        <v>84000</v>
      </c>
    </row>
    <row r="216" spans="2:11" ht="15.75" customHeight="1" x14ac:dyDescent="0.25">
      <c r="B216" s="8">
        <v>26481</v>
      </c>
      <c r="C216" s="8" t="s">
        <v>576</v>
      </c>
      <c r="D216" s="8" t="s">
        <v>335</v>
      </c>
      <c r="E216" s="8" t="s">
        <v>12</v>
      </c>
      <c r="F216" s="8">
        <v>27030</v>
      </c>
      <c r="G216" s="8" t="s">
        <v>49</v>
      </c>
      <c r="H216" s="8" t="s">
        <v>20</v>
      </c>
      <c r="I216" s="8" t="s">
        <v>15</v>
      </c>
      <c r="J216" s="7">
        <v>765</v>
      </c>
      <c r="K216" s="7">
        <v>76500</v>
      </c>
    </row>
    <row r="217" spans="2:11" ht="15.75" customHeight="1" x14ac:dyDescent="0.25">
      <c r="B217" s="8">
        <v>21854</v>
      </c>
      <c r="C217" s="8" t="s">
        <v>548</v>
      </c>
      <c r="D217" s="8" t="s">
        <v>550</v>
      </c>
      <c r="E217" s="8" t="s">
        <v>24</v>
      </c>
      <c r="F217" s="8">
        <v>31907</v>
      </c>
      <c r="G217" s="8" t="s">
        <v>60</v>
      </c>
      <c r="H217" s="8" t="s">
        <v>20</v>
      </c>
      <c r="I217" s="8" t="s">
        <v>15</v>
      </c>
      <c r="J217" s="7">
        <v>900</v>
      </c>
      <c r="K217" s="7">
        <v>90000</v>
      </c>
    </row>
    <row r="218" spans="2:11" ht="15.75" customHeight="1" x14ac:dyDescent="0.25">
      <c r="B218" s="8">
        <v>20757</v>
      </c>
      <c r="C218" s="8" t="s">
        <v>560</v>
      </c>
      <c r="D218" s="8" t="s">
        <v>561</v>
      </c>
      <c r="E218" s="8" t="s">
        <v>12</v>
      </c>
      <c r="F218" s="8">
        <v>24764</v>
      </c>
      <c r="G218" s="8" t="s">
        <v>46</v>
      </c>
      <c r="H218" s="8" t="s">
        <v>35</v>
      </c>
      <c r="I218" s="8" t="s">
        <v>15</v>
      </c>
      <c r="J218" s="7">
        <v>840.75</v>
      </c>
      <c r="K218" s="7">
        <v>84075</v>
      </c>
    </row>
    <row r="219" spans="2:11" ht="15.75" customHeight="1" x14ac:dyDescent="0.25">
      <c r="B219" s="8">
        <v>124685</v>
      </c>
      <c r="C219" s="8" t="s">
        <v>541</v>
      </c>
      <c r="D219" s="8" t="s">
        <v>542</v>
      </c>
      <c r="E219" s="8" t="s">
        <v>12</v>
      </c>
      <c r="F219" s="8">
        <v>32082</v>
      </c>
      <c r="G219" s="8" t="s">
        <v>46</v>
      </c>
      <c r="H219" s="8" t="s">
        <v>35</v>
      </c>
      <c r="I219" s="8" t="s">
        <v>15</v>
      </c>
      <c r="J219" s="7">
        <v>955.5</v>
      </c>
      <c r="K219" s="7">
        <v>95550</v>
      </c>
    </row>
    <row r="220" spans="2:11" ht="15.75" customHeight="1" x14ac:dyDescent="0.25">
      <c r="B220" s="8">
        <v>126829</v>
      </c>
      <c r="C220" s="8" t="s">
        <v>565</v>
      </c>
      <c r="D220" s="8" t="s">
        <v>577</v>
      </c>
      <c r="E220" s="8" t="s">
        <v>24</v>
      </c>
      <c r="F220" s="8">
        <v>32066</v>
      </c>
      <c r="G220" s="8" t="s">
        <v>19</v>
      </c>
      <c r="H220" s="8" t="s">
        <v>20</v>
      </c>
      <c r="I220" s="8" t="s">
        <v>15</v>
      </c>
      <c r="J220" s="7">
        <v>762.32</v>
      </c>
      <c r="K220" s="7">
        <v>76232</v>
      </c>
    </row>
    <row r="221" spans="2:11" ht="15.75" customHeight="1" x14ac:dyDescent="0.25">
      <c r="B221" s="8">
        <v>24603</v>
      </c>
      <c r="C221" s="8" t="s">
        <v>556</v>
      </c>
      <c r="D221" s="8" t="s">
        <v>360</v>
      </c>
      <c r="E221" s="8" t="s">
        <v>24</v>
      </c>
      <c r="F221" s="8">
        <v>25052</v>
      </c>
      <c r="G221" s="8" t="s">
        <v>48</v>
      </c>
      <c r="H221" s="8" t="s">
        <v>20</v>
      </c>
      <c r="I221" s="8" t="s">
        <v>15</v>
      </c>
      <c r="J221" s="7">
        <v>868</v>
      </c>
      <c r="K221" s="7">
        <v>86800</v>
      </c>
    </row>
    <row r="222" spans="2:11" ht="15.75" customHeight="1" x14ac:dyDescent="0.25">
      <c r="B222" s="8">
        <v>22757</v>
      </c>
      <c r="C222" s="8" t="s">
        <v>556</v>
      </c>
      <c r="D222" s="8" t="s">
        <v>591</v>
      </c>
      <c r="E222" s="8" t="s">
        <v>24</v>
      </c>
      <c r="F222" s="8">
        <v>28497</v>
      </c>
      <c r="G222" s="8" t="s">
        <v>125</v>
      </c>
      <c r="H222" s="8" t="s">
        <v>35</v>
      </c>
      <c r="I222" s="8" t="s">
        <v>15</v>
      </c>
      <c r="J222" s="7">
        <v>683.28</v>
      </c>
      <c r="K222" s="7">
        <v>68328</v>
      </c>
    </row>
    <row r="223" spans="2:11" ht="15.75" customHeight="1" x14ac:dyDescent="0.25">
      <c r="B223" s="8">
        <v>21274</v>
      </c>
      <c r="C223" s="8" t="s">
        <v>556</v>
      </c>
      <c r="D223" s="8" t="s">
        <v>339</v>
      </c>
      <c r="E223" s="8" t="s">
        <v>24</v>
      </c>
      <c r="F223" s="8">
        <v>26670</v>
      </c>
      <c r="G223" s="8" t="s">
        <v>13</v>
      </c>
      <c r="H223" s="8" t="s">
        <v>14</v>
      </c>
      <c r="I223" s="8" t="s">
        <v>15</v>
      </c>
      <c r="J223" s="7">
        <v>841.75</v>
      </c>
      <c r="K223" s="7">
        <v>84175</v>
      </c>
    </row>
    <row r="224" spans="2:11" ht="15.75" customHeight="1" x14ac:dyDescent="0.25">
      <c r="B224" s="8">
        <v>26523</v>
      </c>
      <c r="C224" s="8" t="s">
        <v>556</v>
      </c>
      <c r="D224" s="8" t="s">
        <v>568</v>
      </c>
      <c r="E224" s="8" t="s">
        <v>12</v>
      </c>
      <c r="F224" s="8">
        <v>26287</v>
      </c>
      <c r="G224" s="8" t="s">
        <v>50</v>
      </c>
      <c r="H224" s="8" t="s">
        <v>20</v>
      </c>
      <c r="I224" s="8" t="s">
        <v>15</v>
      </c>
      <c r="J224" s="7">
        <v>815.22</v>
      </c>
      <c r="K224" s="7">
        <v>81522</v>
      </c>
    </row>
    <row r="225" spans="2:11" ht="15.75" customHeight="1" x14ac:dyDescent="0.25">
      <c r="B225" s="8">
        <v>22335</v>
      </c>
      <c r="C225" s="8" t="s">
        <v>587</v>
      </c>
      <c r="D225" s="8" t="s">
        <v>588</v>
      </c>
      <c r="E225" s="8" t="s">
        <v>12</v>
      </c>
      <c r="F225" s="8">
        <v>29021</v>
      </c>
      <c r="G225" s="8" t="s">
        <v>41</v>
      </c>
      <c r="H225" s="8" t="s">
        <v>20</v>
      </c>
      <c r="I225" s="8" t="s">
        <v>15</v>
      </c>
      <c r="J225" s="7">
        <v>706.8</v>
      </c>
      <c r="K225" s="7">
        <v>70680</v>
      </c>
    </row>
    <row r="226" spans="2:11" ht="15.75" customHeight="1" x14ac:dyDescent="0.25">
      <c r="B226" s="8">
        <v>20765</v>
      </c>
      <c r="C226" s="8" t="s">
        <v>578</v>
      </c>
      <c r="D226" s="8" t="s">
        <v>372</v>
      </c>
      <c r="E226" s="8" t="s">
        <v>12</v>
      </c>
      <c r="F226" s="8">
        <v>31470</v>
      </c>
      <c r="G226" s="8" t="s">
        <v>121</v>
      </c>
      <c r="H226" s="8" t="s">
        <v>14</v>
      </c>
      <c r="I226" s="8" t="s">
        <v>15</v>
      </c>
      <c r="J226" s="7">
        <v>755.79</v>
      </c>
      <c r="K226" s="7">
        <v>75579</v>
      </c>
    </row>
    <row r="227" spans="2:11" ht="15.75" customHeight="1" x14ac:dyDescent="0.25">
      <c r="B227" s="8">
        <v>131568</v>
      </c>
      <c r="C227" s="8" t="s">
        <v>578</v>
      </c>
      <c r="D227" s="8" t="s">
        <v>582</v>
      </c>
      <c r="E227" s="8" t="s">
        <v>12</v>
      </c>
      <c r="F227" s="8">
        <v>26168</v>
      </c>
      <c r="G227" s="8" t="s">
        <v>60</v>
      </c>
      <c r="H227" s="8" t="s">
        <v>20</v>
      </c>
      <c r="I227" s="8" t="s">
        <v>15</v>
      </c>
      <c r="J227" s="7">
        <v>747.72</v>
      </c>
      <c r="K227" s="7">
        <v>74772</v>
      </c>
    </row>
    <row r="228" spans="2:11" ht="15.75" customHeight="1" x14ac:dyDescent="0.25">
      <c r="B228" s="8">
        <v>125074</v>
      </c>
      <c r="C228" s="8" t="s">
        <v>571</v>
      </c>
      <c r="D228" s="8" t="s">
        <v>572</v>
      </c>
      <c r="E228" s="8" t="s">
        <v>12</v>
      </c>
      <c r="F228" s="8">
        <v>30603</v>
      </c>
      <c r="G228" s="8" t="s">
        <v>75</v>
      </c>
      <c r="H228" s="8" t="s">
        <v>20</v>
      </c>
      <c r="I228" s="8" t="s">
        <v>15</v>
      </c>
      <c r="J228" s="7">
        <v>804</v>
      </c>
      <c r="K228" s="7">
        <v>80400</v>
      </c>
    </row>
    <row r="229" spans="2:11" ht="15.75" customHeight="1" x14ac:dyDescent="0.25">
      <c r="B229" s="8">
        <v>26936</v>
      </c>
      <c r="C229" s="8" t="s">
        <v>621</v>
      </c>
      <c r="D229" s="8" t="s">
        <v>622</v>
      </c>
      <c r="E229" s="8" t="s">
        <v>12</v>
      </c>
      <c r="F229" s="8">
        <v>18264</v>
      </c>
      <c r="G229" s="8" t="s">
        <v>92</v>
      </c>
      <c r="H229" s="8" t="s">
        <v>35</v>
      </c>
      <c r="I229" s="8" t="s">
        <v>15</v>
      </c>
      <c r="J229" s="7">
        <v>580.5</v>
      </c>
      <c r="K229" s="7">
        <v>58050</v>
      </c>
    </row>
    <row r="230" spans="2:11" ht="15.75" customHeight="1" x14ac:dyDescent="0.25">
      <c r="B230" s="8">
        <v>22543</v>
      </c>
      <c r="C230" s="8" t="s">
        <v>589</v>
      </c>
      <c r="D230" s="8" t="s">
        <v>590</v>
      </c>
      <c r="E230" s="8" t="s">
        <v>12</v>
      </c>
      <c r="F230" s="8">
        <v>22944</v>
      </c>
      <c r="G230" s="8" t="s">
        <v>124</v>
      </c>
      <c r="H230" s="8" t="s">
        <v>14</v>
      </c>
      <c r="I230" s="8" t="s">
        <v>15</v>
      </c>
      <c r="J230" s="7">
        <v>684.4</v>
      </c>
      <c r="K230" s="7">
        <v>68440</v>
      </c>
    </row>
    <row r="231" spans="2:11" ht="15.75" customHeight="1" x14ac:dyDescent="0.25">
      <c r="B231" s="8">
        <v>20942</v>
      </c>
      <c r="C231" s="8" t="s">
        <v>579</v>
      </c>
      <c r="D231" s="8" t="s">
        <v>580</v>
      </c>
      <c r="E231" s="8" t="s">
        <v>12</v>
      </c>
      <c r="F231" s="8">
        <v>32320</v>
      </c>
      <c r="G231" s="8" t="s">
        <v>29</v>
      </c>
      <c r="H231" s="8" t="s">
        <v>14</v>
      </c>
      <c r="I231" s="8" t="s">
        <v>15</v>
      </c>
      <c r="J231" s="7">
        <v>752.7</v>
      </c>
      <c r="K231" s="7">
        <v>75270</v>
      </c>
    </row>
    <row r="232" spans="2:11" ht="15.75" customHeight="1" x14ac:dyDescent="0.25">
      <c r="B232" s="8">
        <v>21780</v>
      </c>
      <c r="C232" s="8" t="s">
        <v>579</v>
      </c>
      <c r="D232" s="8" t="s">
        <v>601</v>
      </c>
      <c r="E232" s="8" t="s">
        <v>12</v>
      </c>
      <c r="F232" s="8">
        <v>28310</v>
      </c>
      <c r="G232" s="8" t="s">
        <v>92</v>
      </c>
      <c r="H232" s="8" t="s">
        <v>35</v>
      </c>
      <c r="I232" s="8" t="s">
        <v>15</v>
      </c>
      <c r="J232" s="7">
        <v>658.92</v>
      </c>
      <c r="K232" s="7">
        <v>65892</v>
      </c>
    </row>
    <row r="233" spans="2:11" ht="15.75" customHeight="1" x14ac:dyDescent="0.25">
      <c r="B233" s="8">
        <v>20912</v>
      </c>
      <c r="C233" s="8" t="s">
        <v>579</v>
      </c>
      <c r="D233" s="8" t="s">
        <v>600</v>
      </c>
      <c r="E233" s="8" t="s">
        <v>24</v>
      </c>
      <c r="F233" s="8">
        <v>29266</v>
      </c>
      <c r="G233" s="8" t="s">
        <v>57</v>
      </c>
      <c r="H233" s="8" t="s">
        <v>35</v>
      </c>
      <c r="I233" s="8" t="s">
        <v>15</v>
      </c>
      <c r="J233" s="7">
        <v>599.04</v>
      </c>
      <c r="K233" s="7">
        <v>59904</v>
      </c>
    </row>
    <row r="234" spans="2:11" ht="15.75" customHeight="1" x14ac:dyDescent="0.25">
      <c r="B234" s="8">
        <v>20678</v>
      </c>
      <c r="C234" s="8" t="s">
        <v>608</v>
      </c>
      <c r="D234" s="8" t="s">
        <v>609</v>
      </c>
      <c r="E234" s="8" t="s">
        <v>12</v>
      </c>
      <c r="F234" s="8">
        <v>28646</v>
      </c>
      <c r="G234" s="8" t="s">
        <v>48</v>
      </c>
      <c r="H234" s="8" t="s">
        <v>20</v>
      </c>
      <c r="I234" s="8" t="s">
        <v>15</v>
      </c>
      <c r="J234" s="7">
        <v>627</v>
      </c>
      <c r="K234" s="7">
        <v>62700</v>
      </c>
    </row>
    <row r="235" spans="2:11" ht="15.75" customHeight="1" x14ac:dyDescent="0.25">
      <c r="B235" s="8">
        <v>21996</v>
      </c>
      <c r="C235" s="8" t="s">
        <v>626</v>
      </c>
      <c r="D235" s="8" t="s">
        <v>627</v>
      </c>
      <c r="E235" s="8" t="s">
        <v>12</v>
      </c>
      <c r="F235" s="8">
        <v>29853</v>
      </c>
      <c r="G235" s="8" t="s">
        <v>133</v>
      </c>
      <c r="H235" s="8" t="s">
        <v>14</v>
      </c>
      <c r="I235" s="8" t="s">
        <v>15</v>
      </c>
      <c r="J235" s="7">
        <v>572</v>
      </c>
      <c r="K235" s="7">
        <v>57200</v>
      </c>
    </row>
    <row r="236" spans="2:11" ht="15.75" customHeight="1" x14ac:dyDescent="0.25">
      <c r="B236" s="8">
        <v>134753</v>
      </c>
      <c r="C236" s="8" t="s">
        <v>592</v>
      </c>
      <c r="D236" s="8" t="s">
        <v>593</v>
      </c>
      <c r="E236" s="8" t="s">
        <v>24</v>
      </c>
      <c r="F236" s="8">
        <v>21603</v>
      </c>
      <c r="G236" s="8" t="s">
        <v>75</v>
      </c>
      <c r="H236" s="8" t="s">
        <v>20</v>
      </c>
      <c r="I236" s="8" t="s">
        <v>15</v>
      </c>
      <c r="J236" s="7">
        <v>679.14</v>
      </c>
      <c r="K236" s="7">
        <v>67914</v>
      </c>
    </row>
    <row r="237" spans="2:11" ht="15.75" customHeight="1" x14ac:dyDescent="0.25">
      <c r="B237" s="8">
        <v>31488</v>
      </c>
      <c r="C237" s="8" t="s">
        <v>606</v>
      </c>
      <c r="D237" s="8" t="s">
        <v>607</v>
      </c>
      <c r="E237" s="8" t="s">
        <v>24</v>
      </c>
      <c r="F237" s="8">
        <v>24315</v>
      </c>
      <c r="G237" s="8" t="s">
        <v>130</v>
      </c>
      <c r="H237" s="8" t="s">
        <v>20</v>
      </c>
      <c r="I237" s="8" t="s">
        <v>15</v>
      </c>
      <c r="J237" s="7">
        <v>636.12</v>
      </c>
      <c r="K237" s="7">
        <v>63612</v>
      </c>
    </row>
    <row r="238" spans="2:11" ht="15.75" customHeight="1" x14ac:dyDescent="0.25">
      <c r="B238" s="8">
        <v>123238</v>
      </c>
      <c r="C238" s="8" t="s">
        <v>594</v>
      </c>
      <c r="D238" s="8" t="s">
        <v>595</v>
      </c>
      <c r="E238" s="8" t="s">
        <v>12</v>
      </c>
      <c r="F238" s="8">
        <v>31140</v>
      </c>
      <c r="G238" s="8" t="s">
        <v>49</v>
      </c>
      <c r="H238" s="8" t="s">
        <v>20</v>
      </c>
      <c r="I238" s="8" t="s">
        <v>15</v>
      </c>
      <c r="J238" s="7">
        <v>673.2</v>
      </c>
      <c r="K238" s="7">
        <v>67320</v>
      </c>
    </row>
    <row r="239" spans="2:11" ht="15.75" customHeight="1" x14ac:dyDescent="0.25">
      <c r="B239" s="8">
        <v>24052</v>
      </c>
      <c r="C239" s="8" t="s">
        <v>630</v>
      </c>
      <c r="D239" s="8" t="s">
        <v>649</v>
      </c>
      <c r="E239" s="8" t="s">
        <v>24</v>
      </c>
      <c r="F239" s="8">
        <v>23837</v>
      </c>
      <c r="G239" s="8" t="s">
        <v>100</v>
      </c>
      <c r="H239" s="8" t="s">
        <v>14</v>
      </c>
      <c r="I239" s="8" t="s">
        <v>15</v>
      </c>
      <c r="J239" s="7">
        <v>520</v>
      </c>
      <c r="K239" s="7">
        <v>52000</v>
      </c>
    </row>
    <row r="240" spans="2:11" ht="15.75" customHeight="1" x14ac:dyDescent="0.25">
      <c r="B240" s="8">
        <v>131851</v>
      </c>
      <c r="C240" s="8" t="s">
        <v>631</v>
      </c>
      <c r="D240" s="8" t="s">
        <v>632</v>
      </c>
      <c r="E240" s="8" t="s">
        <v>24</v>
      </c>
      <c r="F240" s="8">
        <v>31135</v>
      </c>
      <c r="G240" s="8" t="s">
        <v>13</v>
      </c>
      <c r="H240" s="8" t="s">
        <v>14</v>
      </c>
      <c r="I240" s="8" t="s">
        <v>15</v>
      </c>
      <c r="J240" s="7">
        <v>570</v>
      </c>
      <c r="K240" s="7">
        <v>57000</v>
      </c>
    </row>
    <row r="241" spans="2:11" ht="15.75" customHeight="1" x14ac:dyDescent="0.25">
      <c r="B241" s="8">
        <v>25850</v>
      </c>
      <c r="C241" s="8" t="s">
        <v>596</v>
      </c>
      <c r="D241" s="8" t="s">
        <v>597</v>
      </c>
      <c r="E241" s="8" t="s">
        <v>12</v>
      </c>
      <c r="F241" s="8">
        <v>20030</v>
      </c>
      <c r="G241" s="8" t="s">
        <v>92</v>
      </c>
      <c r="H241" s="8" t="s">
        <v>35</v>
      </c>
      <c r="I241" s="8" t="s">
        <v>15</v>
      </c>
      <c r="J241" s="7">
        <v>670</v>
      </c>
      <c r="K241" s="7">
        <v>67000</v>
      </c>
    </row>
    <row r="242" spans="2:11" ht="15.75" customHeight="1" x14ac:dyDescent="0.25">
      <c r="B242" s="8">
        <v>22375</v>
      </c>
      <c r="C242" s="8" t="s">
        <v>623</v>
      </c>
      <c r="D242" s="8" t="s">
        <v>624</v>
      </c>
      <c r="E242" s="8" t="s">
        <v>12</v>
      </c>
      <c r="F242" s="8">
        <v>23925</v>
      </c>
      <c r="G242" s="8" t="s">
        <v>48</v>
      </c>
      <c r="H242" s="8" t="s">
        <v>20</v>
      </c>
      <c r="I242" s="8" t="s">
        <v>15</v>
      </c>
      <c r="J242" s="7">
        <v>580</v>
      </c>
      <c r="K242" s="7">
        <v>58000</v>
      </c>
    </row>
    <row r="243" spans="2:11" ht="15.75" customHeight="1" x14ac:dyDescent="0.25">
      <c r="B243" s="8">
        <v>23546</v>
      </c>
      <c r="C243" s="8" t="s">
        <v>643</v>
      </c>
      <c r="D243" s="8" t="s">
        <v>644</v>
      </c>
      <c r="E243" s="8" t="s">
        <v>24</v>
      </c>
      <c r="F243" s="8">
        <v>27731</v>
      </c>
      <c r="G243" s="8" t="s">
        <v>75</v>
      </c>
      <c r="H243" s="8" t="s">
        <v>20</v>
      </c>
      <c r="I243" s="8" t="s">
        <v>15</v>
      </c>
      <c r="J243" s="7">
        <v>530</v>
      </c>
      <c r="K243" s="7">
        <v>53000</v>
      </c>
    </row>
    <row r="244" spans="2:11" ht="15.75" customHeight="1" x14ac:dyDescent="0.25">
      <c r="B244" s="8">
        <v>35391</v>
      </c>
      <c r="C244" s="8" t="s">
        <v>603</v>
      </c>
      <c r="D244" s="8" t="s">
        <v>604</v>
      </c>
      <c r="E244" s="8" t="s">
        <v>12</v>
      </c>
      <c r="F244" s="8">
        <v>32709</v>
      </c>
      <c r="G244" s="8" t="s">
        <v>48</v>
      </c>
      <c r="H244" s="8" t="s">
        <v>20</v>
      </c>
      <c r="I244" s="8" t="s">
        <v>15</v>
      </c>
      <c r="J244" s="7">
        <v>649.35</v>
      </c>
      <c r="K244" s="7">
        <v>64935</v>
      </c>
    </row>
    <row r="245" spans="2:11" ht="15.75" customHeight="1" x14ac:dyDescent="0.25">
      <c r="B245" s="8">
        <v>125442</v>
      </c>
      <c r="C245" s="8" t="s">
        <v>613</v>
      </c>
      <c r="D245" s="8" t="s">
        <v>454</v>
      </c>
      <c r="E245" s="8" t="s">
        <v>12</v>
      </c>
      <c r="F245" s="8">
        <v>30819</v>
      </c>
      <c r="G245" s="8" t="s">
        <v>57</v>
      </c>
      <c r="H245" s="8" t="s">
        <v>35</v>
      </c>
      <c r="I245" s="8" t="s">
        <v>15</v>
      </c>
      <c r="J245" s="7">
        <v>615.66</v>
      </c>
      <c r="K245" s="7">
        <v>61566</v>
      </c>
    </row>
    <row r="246" spans="2:11" ht="15.75" customHeight="1" x14ac:dyDescent="0.25">
      <c r="B246" s="8">
        <v>22915</v>
      </c>
      <c r="C246" s="8" t="s">
        <v>602</v>
      </c>
      <c r="D246" s="8" t="s">
        <v>614</v>
      </c>
      <c r="E246" s="8" t="s">
        <v>24</v>
      </c>
      <c r="F246" s="8">
        <v>31842</v>
      </c>
      <c r="G246" s="8" t="s">
        <v>48</v>
      </c>
      <c r="H246" s="8" t="s">
        <v>20</v>
      </c>
      <c r="I246" s="8" t="s">
        <v>15</v>
      </c>
      <c r="J246" s="7">
        <v>615.66</v>
      </c>
      <c r="K246" s="7">
        <v>61566</v>
      </c>
    </row>
    <row r="247" spans="2:11" ht="15.75" customHeight="1" x14ac:dyDescent="0.25">
      <c r="B247" s="8">
        <v>129058</v>
      </c>
      <c r="C247" s="8" t="s">
        <v>602</v>
      </c>
      <c r="D247" s="8" t="s">
        <v>339</v>
      </c>
      <c r="E247" s="8" t="s">
        <v>24</v>
      </c>
      <c r="F247" s="8">
        <v>30451</v>
      </c>
      <c r="G247" s="8" t="s">
        <v>31</v>
      </c>
      <c r="H247" s="8" t="s">
        <v>20</v>
      </c>
      <c r="I247" s="8" t="s">
        <v>15</v>
      </c>
      <c r="J247" s="7">
        <v>653.25</v>
      </c>
      <c r="K247" s="7">
        <v>65325</v>
      </c>
    </row>
    <row r="248" spans="2:11" ht="15.75" customHeight="1" x14ac:dyDescent="0.25">
      <c r="B248" s="8">
        <v>20740</v>
      </c>
      <c r="C248" s="8" t="s">
        <v>602</v>
      </c>
      <c r="D248" s="8" t="s">
        <v>585</v>
      </c>
      <c r="E248" s="8" t="s">
        <v>24</v>
      </c>
      <c r="F248" s="8">
        <v>29449</v>
      </c>
      <c r="G248" s="8" t="s">
        <v>48</v>
      </c>
      <c r="H248" s="8" t="s">
        <v>20</v>
      </c>
      <c r="I248" s="8" t="s">
        <v>15</v>
      </c>
      <c r="J248" s="7">
        <v>592.20000000000005</v>
      </c>
      <c r="K248" s="7">
        <v>59220</v>
      </c>
    </row>
    <row r="249" spans="2:11" ht="15.75" customHeight="1" x14ac:dyDescent="0.25">
      <c r="B249" s="8">
        <v>135431</v>
      </c>
      <c r="C249" s="8" t="s">
        <v>638</v>
      </c>
      <c r="D249" s="8" t="s">
        <v>669</v>
      </c>
      <c r="E249" s="8" t="s">
        <v>12</v>
      </c>
      <c r="F249" s="8">
        <v>27956</v>
      </c>
      <c r="G249" s="8" t="s">
        <v>30</v>
      </c>
      <c r="H249" s="8" t="s">
        <v>20</v>
      </c>
      <c r="I249" s="8" t="s">
        <v>15</v>
      </c>
      <c r="J249" s="7">
        <v>469.5</v>
      </c>
      <c r="K249" s="7">
        <v>46950</v>
      </c>
    </row>
    <row r="250" spans="2:11" ht="15.75" customHeight="1" x14ac:dyDescent="0.25">
      <c r="B250" s="8">
        <v>128597</v>
      </c>
      <c r="C250" s="8" t="s">
        <v>638</v>
      </c>
      <c r="D250" s="8" t="s">
        <v>664</v>
      </c>
      <c r="E250" s="8" t="s">
        <v>12</v>
      </c>
      <c r="F250" s="8">
        <v>31640</v>
      </c>
      <c r="G250" s="8" t="s">
        <v>142</v>
      </c>
      <c r="H250" s="8" t="s">
        <v>20</v>
      </c>
      <c r="I250" s="8" t="s">
        <v>15</v>
      </c>
      <c r="J250" s="7">
        <v>474.3</v>
      </c>
      <c r="K250" s="7">
        <v>47430</v>
      </c>
    </row>
    <row r="251" spans="2:11" ht="15.75" customHeight="1" x14ac:dyDescent="0.25">
      <c r="B251" s="8">
        <v>20580</v>
      </c>
      <c r="C251" s="8" t="s">
        <v>645</v>
      </c>
      <c r="D251" s="8" t="s">
        <v>646</v>
      </c>
      <c r="E251" s="8" t="s">
        <v>24</v>
      </c>
      <c r="F251" s="8">
        <v>25164</v>
      </c>
      <c r="G251" s="8" t="s">
        <v>13</v>
      </c>
      <c r="H251" s="8" t="s">
        <v>14</v>
      </c>
      <c r="I251" s="8" t="s">
        <v>15</v>
      </c>
      <c r="J251" s="7">
        <v>529.82000000000005</v>
      </c>
      <c r="K251" s="7">
        <v>52982</v>
      </c>
    </row>
    <row r="252" spans="2:11" ht="15.75" customHeight="1" x14ac:dyDescent="0.25">
      <c r="B252" s="8">
        <v>20630</v>
      </c>
      <c r="C252" s="8" t="s">
        <v>641</v>
      </c>
      <c r="D252" s="8" t="s">
        <v>663</v>
      </c>
      <c r="E252" s="8" t="s">
        <v>12</v>
      </c>
      <c r="F252" s="8">
        <v>29398</v>
      </c>
      <c r="G252" s="8" t="s">
        <v>13</v>
      </c>
      <c r="H252" s="8" t="s">
        <v>14</v>
      </c>
      <c r="I252" s="8" t="s">
        <v>15</v>
      </c>
      <c r="J252" s="7">
        <v>477.95</v>
      </c>
      <c r="K252" s="7">
        <v>47795</v>
      </c>
    </row>
    <row r="253" spans="2:11" ht="15.75" customHeight="1" x14ac:dyDescent="0.25">
      <c r="B253" s="8">
        <v>128338</v>
      </c>
      <c r="C253" s="8" t="s">
        <v>647</v>
      </c>
      <c r="D253" s="8" t="s">
        <v>274</v>
      </c>
      <c r="E253" s="8" t="s">
        <v>12</v>
      </c>
      <c r="F253" s="8">
        <v>18583</v>
      </c>
      <c r="G253" s="8" t="s">
        <v>130</v>
      </c>
      <c r="H253" s="8" t="s">
        <v>20</v>
      </c>
      <c r="I253" s="8" t="s">
        <v>15</v>
      </c>
      <c r="J253" s="7">
        <v>502.03</v>
      </c>
      <c r="K253" s="7">
        <v>50203</v>
      </c>
    </row>
    <row r="254" spans="2:11" ht="15.75" customHeight="1" x14ac:dyDescent="0.25">
      <c r="B254" s="8">
        <v>27589</v>
      </c>
      <c r="C254" s="8" t="s">
        <v>652</v>
      </c>
      <c r="D254" s="8" t="s">
        <v>653</v>
      </c>
      <c r="E254" s="8" t="s">
        <v>24</v>
      </c>
      <c r="F254" s="8">
        <v>30431</v>
      </c>
      <c r="G254" s="8" t="s">
        <v>41</v>
      </c>
      <c r="H254" s="8" t="s">
        <v>20</v>
      </c>
      <c r="I254" s="8" t="s">
        <v>15</v>
      </c>
      <c r="J254" s="7">
        <v>514.71</v>
      </c>
      <c r="K254" s="7">
        <v>51471</v>
      </c>
    </row>
    <row r="255" spans="2:11" ht="15.75" customHeight="1" x14ac:dyDescent="0.25">
      <c r="B255" s="8">
        <v>126464</v>
      </c>
      <c r="C255" s="8" t="s">
        <v>658</v>
      </c>
      <c r="D255" s="8" t="s">
        <v>659</v>
      </c>
      <c r="E255" s="8" t="s">
        <v>24</v>
      </c>
      <c r="F255" s="8">
        <v>29316</v>
      </c>
      <c r="G255" s="8" t="s">
        <v>93</v>
      </c>
      <c r="H255" s="8" t="s">
        <v>14</v>
      </c>
      <c r="I255" s="8" t="s">
        <v>15</v>
      </c>
      <c r="J255" s="7">
        <v>496</v>
      </c>
      <c r="K255" s="7">
        <v>49600</v>
      </c>
    </row>
    <row r="256" spans="2:11" ht="15.75" customHeight="1" x14ac:dyDescent="0.25">
      <c r="B256" s="8">
        <v>121649</v>
      </c>
      <c r="C256" s="8" t="s">
        <v>665</v>
      </c>
      <c r="D256" s="8" t="s">
        <v>666</v>
      </c>
      <c r="E256" s="8" t="s">
        <v>12</v>
      </c>
      <c r="F256" s="8">
        <v>27497</v>
      </c>
      <c r="G256" s="8" t="s">
        <v>143</v>
      </c>
      <c r="H256" s="8" t="s">
        <v>20</v>
      </c>
      <c r="I256" s="8" t="s">
        <v>15</v>
      </c>
      <c r="J256" s="7">
        <v>472</v>
      </c>
      <c r="K256" s="7">
        <v>47200</v>
      </c>
    </row>
    <row r="257" spans="2:11" ht="15.75" customHeight="1" x14ac:dyDescent="0.25">
      <c r="B257" s="8">
        <v>136683</v>
      </c>
      <c r="C257" s="8" t="s">
        <v>667</v>
      </c>
      <c r="D257" s="8" t="s">
        <v>668</v>
      </c>
      <c r="E257" s="8" t="s">
        <v>12</v>
      </c>
      <c r="F257" s="8">
        <v>29011</v>
      </c>
      <c r="G257" s="8" t="s">
        <v>30</v>
      </c>
      <c r="H257" s="8" t="s">
        <v>20</v>
      </c>
      <c r="I257" s="8" t="s">
        <v>15</v>
      </c>
      <c r="J257" s="7">
        <v>472</v>
      </c>
      <c r="K257" s="7">
        <v>47200</v>
      </c>
    </row>
    <row r="258" spans="2:11" ht="15.75" customHeight="1" x14ac:dyDescent="0.25">
      <c r="B258" s="8">
        <v>119693</v>
      </c>
      <c r="C258" s="8" t="s">
        <v>683</v>
      </c>
      <c r="D258" s="8" t="s">
        <v>684</v>
      </c>
      <c r="E258" s="8" t="s">
        <v>24</v>
      </c>
      <c r="F258" s="8">
        <v>31761</v>
      </c>
      <c r="G258" s="8" t="s">
        <v>124</v>
      </c>
      <c r="H258" s="8" t="s">
        <v>14</v>
      </c>
      <c r="I258" s="8" t="s">
        <v>15</v>
      </c>
      <c r="J258" s="7">
        <v>429</v>
      </c>
      <c r="K258" s="7">
        <v>42900</v>
      </c>
    </row>
    <row r="259" spans="2:11" ht="15.75" customHeight="1" x14ac:dyDescent="0.25">
      <c r="B259" s="8">
        <v>22432</v>
      </c>
      <c r="C259" s="8" t="s">
        <v>678</v>
      </c>
      <c r="D259" s="8" t="s">
        <v>362</v>
      </c>
      <c r="E259" s="8" t="s">
        <v>24</v>
      </c>
      <c r="F259" s="8">
        <v>13055</v>
      </c>
      <c r="G259" s="8" t="s">
        <v>41</v>
      </c>
      <c r="H259" s="8" t="s">
        <v>20</v>
      </c>
      <c r="I259" s="8" t="s">
        <v>15</v>
      </c>
      <c r="J259" s="7">
        <v>444.28</v>
      </c>
      <c r="K259" s="7">
        <v>44428</v>
      </c>
    </row>
    <row r="260" spans="2:11" ht="15.75" customHeight="1" x14ac:dyDescent="0.25">
      <c r="B260" s="8">
        <v>23925</v>
      </c>
      <c r="C260" s="8" t="s">
        <v>654</v>
      </c>
      <c r="D260" s="8" t="s">
        <v>691</v>
      </c>
      <c r="E260" s="8" t="s">
        <v>12</v>
      </c>
      <c r="F260" s="8">
        <v>32080</v>
      </c>
      <c r="G260" s="8" t="s">
        <v>96</v>
      </c>
      <c r="H260" s="8" t="s">
        <v>52</v>
      </c>
      <c r="I260" s="8" t="s">
        <v>15</v>
      </c>
      <c r="J260" s="7">
        <v>387.6</v>
      </c>
      <c r="K260" s="7">
        <v>38760</v>
      </c>
    </row>
    <row r="261" spans="2:11" ht="15.75" customHeight="1" x14ac:dyDescent="0.25">
      <c r="B261" s="8">
        <v>21935</v>
      </c>
      <c r="C261" s="8" t="s">
        <v>670</v>
      </c>
      <c r="D261" s="8" t="s">
        <v>679</v>
      </c>
      <c r="E261" s="8" t="s">
        <v>12</v>
      </c>
      <c r="F261" s="8">
        <v>30787</v>
      </c>
      <c r="G261" s="8" t="s">
        <v>147</v>
      </c>
      <c r="H261" s="8" t="s">
        <v>20</v>
      </c>
      <c r="I261" s="8" t="s">
        <v>15</v>
      </c>
      <c r="J261" s="7">
        <v>440.2</v>
      </c>
      <c r="K261" s="7">
        <v>44020</v>
      </c>
    </row>
    <row r="262" spans="2:11" ht="15.75" customHeight="1" x14ac:dyDescent="0.25">
      <c r="B262" s="8">
        <v>24955</v>
      </c>
      <c r="C262" s="8" t="s">
        <v>672</v>
      </c>
      <c r="D262" s="8" t="s">
        <v>471</v>
      </c>
      <c r="E262" s="8" t="s">
        <v>12</v>
      </c>
      <c r="F262" s="8">
        <v>30536</v>
      </c>
      <c r="G262" s="8" t="s">
        <v>31</v>
      </c>
      <c r="H262" s="8" t="s">
        <v>20</v>
      </c>
      <c r="I262" s="8" t="s">
        <v>15</v>
      </c>
      <c r="J262" s="7">
        <v>463.98</v>
      </c>
      <c r="K262" s="7">
        <v>46398</v>
      </c>
    </row>
    <row r="263" spans="2:11" ht="15.75" customHeight="1" x14ac:dyDescent="0.25">
      <c r="B263" s="8">
        <v>20801</v>
      </c>
      <c r="C263" s="8" t="s">
        <v>692</v>
      </c>
      <c r="D263" s="8" t="s">
        <v>693</v>
      </c>
      <c r="E263" s="8" t="s">
        <v>24</v>
      </c>
      <c r="F263" s="8">
        <v>23909</v>
      </c>
      <c r="G263" s="8" t="s">
        <v>50</v>
      </c>
      <c r="H263" s="8" t="s">
        <v>20</v>
      </c>
      <c r="I263" s="8" t="s">
        <v>15</v>
      </c>
      <c r="J263" s="7">
        <v>382.47</v>
      </c>
      <c r="K263" s="7">
        <v>38247</v>
      </c>
    </row>
    <row r="264" spans="2:11" ht="15.75" customHeight="1" x14ac:dyDescent="0.25">
      <c r="B264" s="8">
        <v>22331</v>
      </c>
      <c r="C264" s="8" t="s">
        <v>704</v>
      </c>
      <c r="D264" s="8" t="s">
        <v>705</v>
      </c>
      <c r="E264" s="8" t="s">
        <v>24</v>
      </c>
      <c r="F264" s="8">
        <v>26983</v>
      </c>
      <c r="G264" s="8" t="s">
        <v>30</v>
      </c>
      <c r="H264" s="8" t="s">
        <v>20</v>
      </c>
      <c r="I264" s="8" t="s">
        <v>15</v>
      </c>
      <c r="J264" s="7">
        <v>360.72</v>
      </c>
      <c r="K264" s="7">
        <v>36072</v>
      </c>
    </row>
    <row r="265" spans="2:11" ht="15.75" customHeight="1" x14ac:dyDescent="0.25">
      <c r="B265" s="8">
        <v>21113</v>
      </c>
      <c r="C265" s="8" t="s">
        <v>688</v>
      </c>
      <c r="D265" s="8" t="s">
        <v>689</v>
      </c>
      <c r="E265" s="8" t="s">
        <v>12</v>
      </c>
      <c r="F265" s="8">
        <v>27662</v>
      </c>
      <c r="G265" s="8" t="s">
        <v>48</v>
      </c>
      <c r="H265" s="8" t="s">
        <v>20</v>
      </c>
      <c r="I265" s="8" t="s">
        <v>15</v>
      </c>
      <c r="J265" s="7">
        <v>421.12</v>
      </c>
      <c r="K265" s="7">
        <v>42112</v>
      </c>
    </row>
    <row r="266" spans="2:11" ht="15.75" customHeight="1" x14ac:dyDescent="0.25">
      <c r="B266" s="8">
        <v>20963</v>
      </c>
      <c r="C266" s="8" t="s">
        <v>685</v>
      </c>
      <c r="D266" s="8" t="s">
        <v>372</v>
      </c>
      <c r="E266" s="8" t="s">
        <v>24</v>
      </c>
      <c r="F266" s="8">
        <v>31861</v>
      </c>
      <c r="G266" s="8" t="s">
        <v>49</v>
      </c>
      <c r="H266" s="8" t="s">
        <v>20</v>
      </c>
      <c r="I266" s="8" t="s">
        <v>15</v>
      </c>
      <c r="J266" s="7">
        <v>428.13</v>
      </c>
      <c r="K266" s="7">
        <v>42813</v>
      </c>
    </row>
    <row r="267" spans="2:11" ht="15.75" customHeight="1" x14ac:dyDescent="0.25">
      <c r="B267" s="8">
        <v>20785</v>
      </c>
      <c r="C267" s="8" t="s">
        <v>723</v>
      </c>
      <c r="D267" s="8" t="s">
        <v>724</v>
      </c>
      <c r="E267" s="8" t="s">
        <v>12</v>
      </c>
      <c r="F267" s="8">
        <v>25765</v>
      </c>
      <c r="G267" s="8" t="s">
        <v>130</v>
      </c>
      <c r="H267" s="8" t="s">
        <v>20</v>
      </c>
      <c r="I267" s="8" t="s">
        <v>15</v>
      </c>
      <c r="J267" s="7">
        <v>329.4</v>
      </c>
      <c r="K267" s="7">
        <v>32940</v>
      </c>
    </row>
    <row r="268" spans="2:11" ht="15.75" customHeight="1" x14ac:dyDescent="0.25">
      <c r="B268" s="8">
        <v>127626</v>
      </c>
      <c r="C268" s="8" t="s">
        <v>730</v>
      </c>
      <c r="D268" s="8" t="s">
        <v>644</v>
      </c>
      <c r="E268" s="8" t="s">
        <v>24</v>
      </c>
      <c r="F268" s="8">
        <v>30416</v>
      </c>
      <c r="G268" s="8" t="s">
        <v>100</v>
      </c>
      <c r="H268" s="8" t="s">
        <v>14</v>
      </c>
      <c r="I268" s="8" t="s">
        <v>15</v>
      </c>
      <c r="J268" s="7">
        <v>322.24</v>
      </c>
      <c r="K268" s="7">
        <v>32224</v>
      </c>
    </row>
    <row r="269" spans="2:11" ht="15.75" customHeight="1" x14ac:dyDescent="0.25">
      <c r="B269" s="8">
        <v>20594</v>
      </c>
      <c r="C269" s="8" t="s">
        <v>737</v>
      </c>
      <c r="D269" s="8" t="s">
        <v>339</v>
      </c>
      <c r="E269" s="8" t="s">
        <v>24</v>
      </c>
      <c r="F269" s="8">
        <v>23784</v>
      </c>
      <c r="G269" s="8" t="s">
        <v>143</v>
      </c>
      <c r="H269" s="8" t="s">
        <v>20</v>
      </c>
      <c r="I269" s="8" t="s">
        <v>15</v>
      </c>
      <c r="J269" s="7">
        <v>312</v>
      </c>
      <c r="K269" s="7">
        <v>31200</v>
      </c>
    </row>
    <row r="270" spans="2:11" ht="15.75" customHeight="1" x14ac:dyDescent="0.25">
      <c r="B270" s="8">
        <v>22931</v>
      </c>
      <c r="C270" s="8" t="s">
        <v>712</v>
      </c>
      <c r="D270" s="8" t="s">
        <v>713</v>
      </c>
      <c r="E270" s="8" t="s">
        <v>12</v>
      </c>
      <c r="F270" s="8">
        <v>28167</v>
      </c>
      <c r="G270" s="8" t="s">
        <v>118</v>
      </c>
      <c r="H270" s="8" t="s">
        <v>20</v>
      </c>
      <c r="I270" s="8" t="s">
        <v>15</v>
      </c>
      <c r="J270" s="7">
        <v>347.42</v>
      </c>
      <c r="K270" s="7">
        <v>34742</v>
      </c>
    </row>
    <row r="271" spans="2:11" ht="15.75" customHeight="1" x14ac:dyDescent="0.25">
      <c r="B271" s="8">
        <v>27748</v>
      </c>
      <c r="C271" s="8" t="s">
        <v>694</v>
      </c>
      <c r="D271" s="8" t="s">
        <v>754</v>
      </c>
      <c r="E271" s="8" t="s">
        <v>12</v>
      </c>
      <c r="F271" s="8">
        <v>25750</v>
      </c>
      <c r="G271" s="8" t="s">
        <v>118</v>
      </c>
      <c r="H271" s="8" t="s">
        <v>20</v>
      </c>
      <c r="I271" s="8" t="s">
        <v>15</v>
      </c>
      <c r="J271" s="7">
        <v>301.92</v>
      </c>
      <c r="K271" s="7">
        <v>30192</v>
      </c>
    </row>
    <row r="272" spans="2:11" ht="15.75" customHeight="1" x14ac:dyDescent="0.25">
      <c r="B272" s="8">
        <v>22808</v>
      </c>
      <c r="C272" s="8" t="s">
        <v>694</v>
      </c>
      <c r="D272" s="8" t="s">
        <v>695</v>
      </c>
      <c r="E272" s="8" t="s">
        <v>12</v>
      </c>
      <c r="F272" s="8">
        <v>28185</v>
      </c>
      <c r="G272" s="8" t="s">
        <v>48</v>
      </c>
      <c r="H272" s="8" t="s">
        <v>20</v>
      </c>
      <c r="I272" s="8" t="s">
        <v>15</v>
      </c>
      <c r="J272" s="7">
        <v>381.55</v>
      </c>
      <c r="K272" s="7">
        <v>38155</v>
      </c>
    </row>
    <row r="273" spans="2:11" ht="15.75" customHeight="1" x14ac:dyDescent="0.25">
      <c r="B273" s="8">
        <v>26548</v>
      </c>
      <c r="C273" s="8" t="s">
        <v>694</v>
      </c>
      <c r="D273" s="8" t="s">
        <v>339</v>
      </c>
      <c r="E273" s="8" t="s">
        <v>12</v>
      </c>
      <c r="F273" s="8">
        <v>29053</v>
      </c>
      <c r="G273" s="8" t="s">
        <v>160</v>
      </c>
      <c r="H273" s="8" t="s">
        <v>14</v>
      </c>
      <c r="I273" s="8" t="s">
        <v>15</v>
      </c>
      <c r="J273" s="7">
        <v>285.08999999999997</v>
      </c>
      <c r="K273" s="7">
        <v>28509</v>
      </c>
    </row>
    <row r="274" spans="2:11" ht="15.75" customHeight="1" x14ac:dyDescent="0.25">
      <c r="B274" s="8">
        <v>26347</v>
      </c>
      <c r="C274" s="8" t="s">
        <v>718</v>
      </c>
      <c r="D274" s="8" t="s">
        <v>568</v>
      </c>
      <c r="E274" s="8" t="s">
        <v>12</v>
      </c>
      <c r="F274" s="8">
        <v>25669</v>
      </c>
      <c r="G274" s="8" t="s">
        <v>48</v>
      </c>
      <c r="H274" s="8" t="s">
        <v>20</v>
      </c>
      <c r="I274" s="8" t="s">
        <v>15</v>
      </c>
      <c r="J274" s="7">
        <v>334.89</v>
      </c>
      <c r="K274" s="7">
        <v>33489</v>
      </c>
    </row>
    <row r="275" spans="2:11" ht="15.75" customHeight="1" x14ac:dyDescent="0.25">
      <c r="B275" s="8">
        <v>125284</v>
      </c>
      <c r="C275" s="8" t="s">
        <v>716</v>
      </c>
      <c r="D275" s="8" t="s">
        <v>717</v>
      </c>
      <c r="E275" s="8" t="s">
        <v>12</v>
      </c>
      <c r="F275" s="8">
        <v>26543</v>
      </c>
      <c r="G275" s="8" t="s">
        <v>33</v>
      </c>
      <c r="H275" s="8" t="s">
        <v>20</v>
      </c>
      <c r="I275" s="8" t="s">
        <v>15</v>
      </c>
      <c r="J275" s="7">
        <v>341.9</v>
      </c>
      <c r="K275" s="7">
        <v>34190</v>
      </c>
    </row>
    <row r="276" spans="2:11" ht="15.75" customHeight="1" x14ac:dyDescent="0.25">
      <c r="B276" s="8">
        <v>141584</v>
      </c>
      <c r="C276" s="8" t="s">
        <v>317</v>
      </c>
      <c r="D276" s="8" t="s">
        <v>765</v>
      </c>
      <c r="E276" s="8" t="s">
        <v>12</v>
      </c>
      <c r="F276" s="8">
        <v>22433</v>
      </c>
      <c r="G276" s="8" t="s">
        <v>125</v>
      </c>
      <c r="H276" s="8" t="s">
        <v>35</v>
      </c>
      <c r="I276" s="8" t="s">
        <v>15</v>
      </c>
      <c r="J276" s="7">
        <v>285</v>
      </c>
      <c r="K276" s="7">
        <v>28500</v>
      </c>
    </row>
    <row r="277" spans="2:11" ht="15.75" customHeight="1" x14ac:dyDescent="0.25">
      <c r="B277" s="8">
        <v>21460</v>
      </c>
      <c r="C277" s="8" t="s">
        <v>742</v>
      </c>
      <c r="D277" s="8" t="s">
        <v>743</v>
      </c>
      <c r="E277" s="8" t="s">
        <v>12</v>
      </c>
      <c r="F277" s="8">
        <v>26882</v>
      </c>
      <c r="G277" s="8" t="s">
        <v>48</v>
      </c>
      <c r="H277" s="8" t="s">
        <v>20</v>
      </c>
      <c r="I277" s="8" t="s">
        <v>15</v>
      </c>
      <c r="J277" s="7">
        <v>310</v>
      </c>
      <c r="K277" s="7">
        <v>31000</v>
      </c>
    </row>
    <row r="278" spans="2:11" ht="15.75" customHeight="1" x14ac:dyDescent="0.25">
      <c r="B278" s="8">
        <v>42146</v>
      </c>
      <c r="C278" s="8" t="s">
        <v>742</v>
      </c>
      <c r="D278" s="8" t="s">
        <v>790</v>
      </c>
      <c r="E278" s="8" t="s">
        <v>12</v>
      </c>
      <c r="F278" s="8">
        <v>26</v>
      </c>
      <c r="G278" s="8" t="s">
        <v>48</v>
      </c>
      <c r="H278" s="8" t="s">
        <v>20</v>
      </c>
      <c r="I278" s="8" t="s">
        <v>15</v>
      </c>
      <c r="J278" s="7">
        <v>250</v>
      </c>
      <c r="K278" s="7">
        <v>25000</v>
      </c>
    </row>
    <row r="279" spans="2:11" ht="15.75" customHeight="1" x14ac:dyDescent="0.25">
      <c r="B279" s="8">
        <v>128930</v>
      </c>
      <c r="C279" s="8" t="s">
        <v>755</v>
      </c>
      <c r="D279" s="8" t="s">
        <v>756</v>
      </c>
      <c r="E279" s="8" t="s">
        <v>24</v>
      </c>
      <c r="F279" s="8">
        <v>16384</v>
      </c>
      <c r="G279" s="8" t="s">
        <v>50</v>
      </c>
      <c r="H279" s="8" t="s">
        <v>20</v>
      </c>
      <c r="I279" s="8" t="s">
        <v>15</v>
      </c>
      <c r="J279" s="7">
        <v>300</v>
      </c>
      <c r="K279" s="7">
        <v>30000</v>
      </c>
    </row>
    <row r="280" spans="2:11" ht="15.75" customHeight="1" x14ac:dyDescent="0.25">
      <c r="B280" s="8">
        <v>131197</v>
      </c>
      <c r="C280" s="8" t="s">
        <v>766</v>
      </c>
      <c r="D280" s="8" t="s">
        <v>513</v>
      </c>
      <c r="E280" s="8" t="s">
        <v>12</v>
      </c>
      <c r="F280" s="8">
        <v>34456</v>
      </c>
      <c r="G280" s="8" t="s">
        <v>60</v>
      </c>
      <c r="H280" s="8" t="s">
        <v>20</v>
      </c>
      <c r="I280" s="8" t="s">
        <v>15</v>
      </c>
      <c r="J280" s="7">
        <v>285</v>
      </c>
      <c r="K280" s="7">
        <v>28500</v>
      </c>
    </row>
    <row r="281" spans="2:11" ht="15.75" customHeight="1" x14ac:dyDescent="0.25">
      <c r="B281" s="8">
        <v>22489</v>
      </c>
      <c r="C281" s="8" t="s">
        <v>726</v>
      </c>
      <c r="D281" s="8" t="s">
        <v>727</v>
      </c>
      <c r="E281" s="8" t="s">
        <v>24</v>
      </c>
      <c r="F281" s="8">
        <v>21244</v>
      </c>
      <c r="G281" s="8" t="s">
        <v>30</v>
      </c>
      <c r="H281" s="8" t="s">
        <v>20</v>
      </c>
      <c r="I281" s="8" t="s">
        <v>15</v>
      </c>
      <c r="J281" s="7">
        <v>325</v>
      </c>
      <c r="K281" s="7">
        <v>32500</v>
      </c>
    </row>
    <row r="282" spans="2:11" ht="15.75" customHeight="1" x14ac:dyDescent="0.25">
      <c r="B282" s="8">
        <v>20783</v>
      </c>
      <c r="C282" s="8" t="s">
        <v>752</v>
      </c>
      <c r="D282" s="8" t="s">
        <v>753</v>
      </c>
      <c r="E282" s="8" t="s">
        <v>24</v>
      </c>
      <c r="F282" s="8">
        <v>26094</v>
      </c>
      <c r="G282" s="8" t="s">
        <v>49</v>
      </c>
      <c r="H282" s="8" t="s">
        <v>20</v>
      </c>
      <c r="I282" s="8" t="s">
        <v>15</v>
      </c>
      <c r="J282" s="7">
        <v>301.95</v>
      </c>
      <c r="K282" s="7">
        <v>30195</v>
      </c>
    </row>
    <row r="283" spans="2:11" ht="15.75" customHeight="1" x14ac:dyDescent="0.25">
      <c r="B283" s="8">
        <v>131137</v>
      </c>
      <c r="C283" s="8" t="s">
        <v>747</v>
      </c>
      <c r="D283" s="8" t="s">
        <v>748</v>
      </c>
      <c r="E283" s="8" t="s">
        <v>24</v>
      </c>
      <c r="F283" s="8">
        <v>19906</v>
      </c>
      <c r="G283" s="8" t="s">
        <v>19</v>
      </c>
      <c r="H283" s="8" t="s">
        <v>20</v>
      </c>
      <c r="I283" s="8" t="s">
        <v>15</v>
      </c>
      <c r="J283" s="7">
        <v>307.44</v>
      </c>
      <c r="K283" s="7">
        <v>30744</v>
      </c>
    </row>
    <row r="284" spans="2:11" ht="15.75" customHeight="1" x14ac:dyDescent="0.25">
      <c r="B284" s="8">
        <v>133005</v>
      </c>
      <c r="C284" s="8" t="s">
        <v>776</v>
      </c>
      <c r="D284" s="8" t="s">
        <v>777</v>
      </c>
      <c r="E284" s="8" t="s">
        <v>12</v>
      </c>
      <c r="F284" s="8">
        <v>29204</v>
      </c>
      <c r="G284" s="8" t="s">
        <v>161</v>
      </c>
      <c r="H284" s="8" t="s">
        <v>20</v>
      </c>
      <c r="I284" s="8" t="s">
        <v>15</v>
      </c>
      <c r="J284" s="7">
        <v>268.47000000000003</v>
      </c>
      <c r="K284" s="7">
        <v>26847</v>
      </c>
    </row>
    <row r="285" spans="2:11" ht="15.75" customHeight="1" x14ac:dyDescent="0.25">
      <c r="B285" s="8">
        <v>20633</v>
      </c>
      <c r="C285" s="8" t="s">
        <v>778</v>
      </c>
      <c r="D285" s="8" t="s">
        <v>779</v>
      </c>
      <c r="E285" s="8" t="s">
        <v>12</v>
      </c>
      <c r="F285" s="8">
        <v>26826</v>
      </c>
      <c r="G285" s="8" t="s">
        <v>30</v>
      </c>
      <c r="H285" s="8" t="s">
        <v>20</v>
      </c>
      <c r="I285" s="8" t="s">
        <v>15</v>
      </c>
      <c r="J285" s="7">
        <v>267.95999999999998</v>
      </c>
      <c r="K285" s="7">
        <v>26796</v>
      </c>
    </row>
    <row r="286" spans="2:11" ht="15.75" customHeight="1" x14ac:dyDescent="0.25">
      <c r="B286" s="8">
        <v>21007</v>
      </c>
      <c r="C286" s="8" t="s">
        <v>771</v>
      </c>
      <c r="D286" s="8" t="s">
        <v>780</v>
      </c>
      <c r="E286" s="8" t="s">
        <v>12</v>
      </c>
      <c r="F286" s="8">
        <v>27456</v>
      </c>
      <c r="G286" s="8" t="s">
        <v>57</v>
      </c>
      <c r="H286" s="8" t="s">
        <v>35</v>
      </c>
      <c r="I286" s="8" t="s">
        <v>15</v>
      </c>
      <c r="J286" s="7">
        <v>266.22000000000003</v>
      </c>
      <c r="K286" s="7">
        <v>26622</v>
      </c>
    </row>
    <row r="287" spans="2:11" ht="15.75" customHeight="1" x14ac:dyDescent="0.25">
      <c r="B287" s="8">
        <v>122330</v>
      </c>
      <c r="C287" s="8" t="s">
        <v>771</v>
      </c>
      <c r="D287" s="8" t="s">
        <v>360</v>
      </c>
      <c r="E287" s="8" t="s">
        <v>12</v>
      </c>
      <c r="F287" s="8">
        <v>23202</v>
      </c>
      <c r="G287" s="8" t="s">
        <v>19</v>
      </c>
      <c r="H287" s="8" t="s">
        <v>20</v>
      </c>
      <c r="I287" s="8" t="s">
        <v>15</v>
      </c>
      <c r="J287" s="7">
        <v>274.2</v>
      </c>
      <c r="K287" s="7">
        <v>27420</v>
      </c>
    </row>
    <row r="288" spans="2:11" ht="15.75" customHeight="1" x14ac:dyDescent="0.25">
      <c r="B288" s="8">
        <v>21770</v>
      </c>
      <c r="C288" s="8" t="s">
        <v>771</v>
      </c>
      <c r="D288" s="8" t="s">
        <v>787</v>
      </c>
      <c r="E288" s="8" t="s">
        <v>12</v>
      </c>
      <c r="F288" s="8">
        <v>18288</v>
      </c>
      <c r="G288" s="8" t="s">
        <v>60</v>
      </c>
      <c r="H288" s="8" t="s">
        <v>20</v>
      </c>
      <c r="I288" s="8" t="s">
        <v>15</v>
      </c>
      <c r="J288" s="7">
        <v>253.68</v>
      </c>
      <c r="K288" s="7">
        <v>25368</v>
      </c>
    </row>
    <row r="289" spans="2:11" ht="15.75" customHeight="1" x14ac:dyDescent="0.25">
      <c r="B289" s="8">
        <v>25895</v>
      </c>
      <c r="C289" s="8" t="s">
        <v>757</v>
      </c>
      <c r="D289" s="8" t="s">
        <v>758</v>
      </c>
      <c r="E289" s="8" t="s">
        <v>12</v>
      </c>
      <c r="F289" s="8">
        <v>21034</v>
      </c>
      <c r="G289" s="8" t="s">
        <v>50</v>
      </c>
      <c r="H289" s="8" t="s">
        <v>20</v>
      </c>
      <c r="I289" s="8" t="s">
        <v>15</v>
      </c>
      <c r="J289" s="7">
        <v>293.14999999999998</v>
      </c>
      <c r="K289" s="7">
        <v>29315</v>
      </c>
    </row>
    <row r="290" spans="2:11" ht="15.75" customHeight="1" x14ac:dyDescent="0.25">
      <c r="B290" s="8">
        <v>20432</v>
      </c>
      <c r="C290" s="8" t="s">
        <v>759</v>
      </c>
      <c r="D290" s="8" t="s">
        <v>760</v>
      </c>
      <c r="E290" s="8" t="s">
        <v>12</v>
      </c>
      <c r="F290" s="8">
        <v>28004</v>
      </c>
      <c r="G290" s="8" t="s">
        <v>159</v>
      </c>
      <c r="H290" s="8" t="s">
        <v>52</v>
      </c>
      <c r="I290" s="8" t="s">
        <v>15</v>
      </c>
      <c r="J290" s="7">
        <v>292.5</v>
      </c>
      <c r="K290" s="7">
        <v>29250</v>
      </c>
    </row>
    <row r="291" spans="2:11" ht="15.75" customHeight="1" x14ac:dyDescent="0.25">
      <c r="B291" s="8">
        <v>119656</v>
      </c>
      <c r="C291" s="8" t="s">
        <v>795</v>
      </c>
      <c r="D291" s="8" t="s">
        <v>563</v>
      </c>
      <c r="E291" s="8" t="s">
        <v>24</v>
      </c>
      <c r="F291" s="8">
        <v>33350</v>
      </c>
      <c r="G291" s="8" t="s">
        <v>13</v>
      </c>
      <c r="H291" s="8" t="s">
        <v>14</v>
      </c>
      <c r="I291" s="8" t="s">
        <v>15</v>
      </c>
      <c r="J291" s="7">
        <v>246.95</v>
      </c>
      <c r="K291" s="7">
        <v>24695</v>
      </c>
    </row>
    <row r="292" spans="2:11" ht="15.75" customHeight="1" x14ac:dyDescent="0.25">
      <c r="B292" s="8">
        <v>21647</v>
      </c>
      <c r="C292" s="8" t="s">
        <v>784</v>
      </c>
      <c r="D292" s="8" t="s">
        <v>355</v>
      </c>
      <c r="E292" s="8" t="s">
        <v>12</v>
      </c>
      <c r="F292" s="8">
        <v>27151</v>
      </c>
      <c r="G292" s="8" t="s">
        <v>49</v>
      </c>
      <c r="H292" s="8" t="s">
        <v>20</v>
      </c>
      <c r="I292" s="8" t="s">
        <v>15</v>
      </c>
      <c r="J292" s="7">
        <v>255.78</v>
      </c>
      <c r="K292" s="7">
        <v>25578</v>
      </c>
    </row>
    <row r="293" spans="2:11" ht="15.75" customHeight="1" x14ac:dyDescent="0.25">
      <c r="B293" s="8">
        <v>22434</v>
      </c>
      <c r="C293" s="8" t="s">
        <v>767</v>
      </c>
      <c r="D293" s="8" t="s">
        <v>360</v>
      </c>
      <c r="E293" s="8" t="s">
        <v>12</v>
      </c>
      <c r="F293" s="8">
        <v>33963</v>
      </c>
      <c r="G293" s="8" t="s">
        <v>118</v>
      </c>
      <c r="H293" s="8" t="s">
        <v>20</v>
      </c>
      <c r="I293" s="8" t="s">
        <v>15</v>
      </c>
      <c r="J293" s="7">
        <v>282.74</v>
      </c>
      <c r="K293" s="7">
        <v>28274</v>
      </c>
    </row>
    <row r="294" spans="2:11" ht="15.75" customHeight="1" x14ac:dyDescent="0.25">
      <c r="B294" s="8">
        <v>20515</v>
      </c>
      <c r="C294" s="8" t="s">
        <v>801</v>
      </c>
      <c r="D294" s="8" t="s">
        <v>802</v>
      </c>
      <c r="E294" s="8" t="s">
        <v>12</v>
      </c>
      <c r="F294" s="8">
        <v>29441</v>
      </c>
      <c r="G294" s="8" t="s">
        <v>60</v>
      </c>
      <c r="H294" s="8" t="s">
        <v>20</v>
      </c>
      <c r="I294" s="8" t="s">
        <v>15</v>
      </c>
      <c r="J294" s="7">
        <v>239.4</v>
      </c>
      <c r="K294" s="7">
        <v>23940</v>
      </c>
    </row>
    <row r="295" spans="2:11" ht="15.75" customHeight="1" x14ac:dyDescent="0.25">
      <c r="B295" s="8">
        <v>20952</v>
      </c>
      <c r="C295" s="8" t="s">
        <v>824</v>
      </c>
      <c r="D295" s="8" t="s">
        <v>825</v>
      </c>
      <c r="E295" s="8" t="s">
        <v>12</v>
      </c>
      <c r="F295" s="8">
        <v>31147</v>
      </c>
      <c r="G295" s="8" t="s">
        <v>57</v>
      </c>
      <c r="H295" s="8" t="s">
        <v>35</v>
      </c>
      <c r="I295" s="8" t="s">
        <v>15</v>
      </c>
      <c r="J295" s="7">
        <v>208</v>
      </c>
      <c r="K295" s="7">
        <v>20800</v>
      </c>
    </row>
    <row r="296" spans="2:11" ht="15.75" customHeight="1" x14ac:dyDescent="0.25">
      <c r="B296" s="8">
        <v>123556</v>
      </c>
      <c r="C296" s="8" t="s">
        <v>806</v>
      </c>
      <c r="D296" s="8" t="s">
        <v>559</v>
      </c>
      <c r="E296" s="8" t="s">
        <v>24</v>
      </c>
      <c r="F296" s="8">
        <v>32284</v>
      </c>
      <c r="G296" s="8" t="s">
        <v>31</v>
      </c>
      <c r="H296" s="8" t="s">
        <v>20</v>
      </c>
      <c r="I296" s="8" t="s">
        <v>15</v>
      </c>
      <c r="J296" s="7">
        <v>232</v>
      </c>
      <c r="K296" s="7">
        <v>23200</v>
      </c>
    </row>
    <row r="297" spans="2:11" ht="15.75" customHeight="1" x14ac:dyDescent="0.25">
      <c r="B297" s="8">
        <v>26693</v>
      </c>
      <c r="C297" s="8" t="s">
        <v>818</v>
      </c>
      <c r="D297" s="8" t="s">
        <v>819</v>
      </c>
      <c r="E297" s="8" t="s">
        <v>12</v>
      </c>
      <c r="F297" s="8">
        <v>22939</v>
      </c>
      <c r="G297" s="8" t="s">
        <v>31</v>
      </c>
      <c r="H297" s="8" t="s">
        <v>20</v>
      </c>
      <c r="I297" s="8" t="s">
        <v>15</v>
      </c>
      <c r="J297" s="7">
        <v>212</v>
      </c>
      <c r="K297" s="7">
        <v>21200</v>
      </c>
    </row>
    <row r="298" spans="2:11" ht="15.75" customHeight="1" x14ac:dyDescent="0.25">
      <c r="B298" s="8">
        <v>24634</v>
      </c>
      <c r="C298" s="8" t="s">
        <v>782</v>
      </c>
      <c r="D298" s="8" t="s">
        <v>456</v>
      </c>
      <c r="E298" s="8" t="s">
        <v>12</v>
      </c>
      <c r="F298" s="8">
        <v>27863</v>
      </c>
      <c r="G298" s="8" t="s">
        <v>50</v>
      </c>
      <c r="H298" s="8" t="s">
        <v>20</v>
      </c>
      <c r="I298" s="8" t="s">
        <v>15</v>
      </c>
      <c r="J298" s="7">
        <v>219.45</v>
      </c>
      <c r="K298" s="7">
        <v>21945</v>
      </c>
    </row>
    <row r="299" spans="2:11" ht="15.75" customHeight="1" x14ac:dyDescent="0.25">
      <c r="B299" s="8">
        <v>22622</v>
      </c>
      <c r="C299" s="8" t="s">
        <v>782</v>
      </c>
      <c r="D299" s="8" t="s">
        <v>783</v>
      </c>
      <c r="E299" s="8" t="s">
        <v>12</v>
      </c>
      <c r="F299" s="8">
        <v>33005</v>
      </c>
      <c r="G299" s="8" t="s">
        <v>130</v>
      </c>
      <c r="H299" s="8" t="s">
        <v>20</v>
      </c>
      <c r="I299" s="8" t="s">
        <v>15</v>
      </c>
      <c r="J299" s="7">
        <v>258.62</v>
      </c>
      <c r="K299" s="7">
        <v>25862</v>
      </c>
    </row>
    <row r="300" spans="2:11" ht="15.75" customHeight="1" x14ac:dyDescent="0.25">
      <c r="B300" s="8">
        <v>20921</v>
      </c>
      <c r="C300" s="8" t="s">
        <v>816</v>
      </c>
      <c r="D300" s="8" t="s">
        <v>817</v>
      </c>
      <c r="E300" s="8" t="s">
        <v>24</v>
      </c>
      <c r="F300" s="8">
        <v>30248</v>
      </c>
      <c r="G300" s="8" t="s">
        <v>164</v>
      </c>
      <c r="H300" s="8" t="s">
        <v>52</v>
      </c>
      <c r="I300" s="8" t="s">
        <v>15</v>
      </c>
      <c r="J300" s="7">
        <v>214.48</v>
      </c>
      <c r="K300" s="7">
        <v>21448</v>
      </c>
    </row>
    <row r="301" spans="2:11" ht="15.75" customHeight="1" x14ac:dyDescent="0.25">
      <c r="B301" s="8">
        <v>21805</v>
      </c>
      <c r="C301" s="8" t="s">
        <v>788</v>
      </c>
      <c r="D301" s="8" t="s">
        <v>789</v>
      </c>
      <c r="E301" s="8" t="s">
        <v>24</v>
      </c>
      <c r="F301" s="8">
        <v>27911</v>
      </c>
      <c r="G301" s="8" t="s">
        <v>130</v>
      </c>
      <c r="H301" s="8" t="s">
        <v>20</v>
      </c>
      <c r="I301" s="8" t="s">
        <v>15</v>
      </c>
      <c r="J301" s="7">
        <v>251.46</v>
      </c>
      <c r="K301" s="7">
        <v>25146</v>
      </c>
    </row>
    <row r="302" spans="2:11" ht="15.75" customHeight="1" x14ac:dyDescent="0.25">
      <c r="B302" s="8">
        <v>121041</v>
      </c>
      <c r="C302" s="8" t="s">
        <v>788</v>
      </c>
      <c r="D302" s="8" t="s">
        <v>369</v>
      </c>
      <c r="E302" s="8" t="s">
        <v>24</v>
      </c>
      <c r="F302" s="8">
        <v>28428</v>
      </c>
      <c r="G302" s="8" t="s">
        <v>13</v>
      </c>
      <c r="H302" s="8" t="s">
        <v>14</v>
      </c>
      <c r="I302" s="8" t="s">
        <v>15</v>
      </c>
      <c r="J302" s="7">
        <v>197.6</v>
      </c>
      <c r="K302" s="7">
        <v>19760</v>
      </c>
    </row>
    <row r="303" spans="2:11" ht="15.75" customHeight="1" x14ac:dyDescent="0.25">
      <c r="B303" s="8">
        <v>26086</v>
      </c>
      <c r="C303" s="8" t="s">
        <v>799</v>
      </c>
      <c r="D303" s="8" t="s">
        <v>828</v>
      </c>
      <c r="E303" s="8" t="s">
        <v>24</v>
      </c>
      <c r="F303" s="8">
        <v>16670</v>
      </c>
      <c r="G303" s="8" t="s">
        <v>43</v>
      </c>
      <c r="H303" s="8" t="s">
        <v>35</v>
      </c>
      <c r="I303" s="8" t="s">
        <v>15</v>
      </c>
      <c r="J303" s="7">
        <v>206.25</v>
      </c>
      <c r="K303" s="7">
        <v>20625</v>
      </c>
    </row>
    <row r="304" spans="2:11" ht="15.75" customHeight="1" x14ac:dyDescent="0.25">
      <c r="B304" s="8">
        <v>21063</v>
      </c>
      <c r="C304" s="8" t="s">
        <v>829</v>
      </c>
      <c r="D304" s="8" t="s">
        <v>830</v>
      </c>
      <c r="E304" s="8" t="s">
        <v>24</v>
      </c>
      <c r="F304" s="8">
        <v>31284</v>
      </c>
      <c r="G304" s="8" t="s">
        <v>48</v>
      </c>
      <c r="H304" s="8" t="s">
        <v>20</v>
      </c>
      <c r="I304" s="8" t="s">
        <v>15</v>
      </c>
      <c r="J304" s="7">
        <v>206.25</v>
      </c>
      <c r="K304" s="7">
        <v>20625</v>
      </c>
    </row>
    <row r="305" spans="2:11" ht="15.75" customHeight="1" x14ac:dyDescent="0.25">
      <c r="B305" s="8">
        <v>121892</v>
      </c>
      <c r="C305" s="8" t="s">
        <v>858</v>
      </c>
      <c r="D305" s="8" t="s">
        <v>585</v>
      </c>
      <c r="E305" s="8" t="s">
        <v>24</v>
      </c>
      <c r="F305" s="8">
        <v>26639</v>
      </c>
      <c r="G305" s="8" t="s">
        <v>50</v>
      </c>
      <c r="H305" s="8" t="s">
        <v>20</v>
      </c>
      <c r="I305" s="8" t="s">
        <v>15</v>
      </c>
      <c r="J305" s="7">
        <v>180</v>
      </c>
      <c r="K305" s="7">
        <v>18000</v>
      </c>
    </row>
    <row r="306" spans="2:11" ht="15.75" customHeight="1" x14ac:dyDescent="0.25">
      <c r="B306" s="8">
        <v>26548</v>
      </c>
      <c r="C306" s="8" t="s">
        <v>853</v>
      </c>
      <c r="D306" s="8" t="s">
        <v>585</v>
      </c>
      <c r="E306" s="8" t="s">
        <v>24</v>
      </c>
      <c r="F306" s="8">
        <v>21024</v>
      </c>
      <c r="G306" s="8" t="s">
        <v>168</v>
      </c>
      <c r="H306" s="8" t="s">
        <v>35</v>
      </c>
      <c r="I306" s="8" t="s">
        <v>15</v>
      </c>
      <c r="J306" s="7">
        <v>185.12</v>
      </c>
      <c r="K306" s="7">
        <v>18512</v>
      </c>
    </row>
    <row r="307" spans="2:11" ht="15.75" customHeight="1" x14ac:dyDescent="0.25">
      <c r="B307" s="8">
        <v>20482</v>
      </c>
      <c r="C307" s="8" t="s">
        <v>807</v>
      </c>
      <c r="D307" s="8" t="s">
        <v>357</v>
      </c>
      <c r="E307" s="8" t="s">
        <v>24</v>
      </c>
      <c r="F307" s="8">
        <v>30170</v>
      </c>
      <c r="G307" s="8" t="s">
        <v>57</v>
      </c>
      <c r="H307" s="8" t="s">
        <v>35</v>
      </c>
      <c r="I307" s="8" t="s">
        <v>15</v>
      </c>
      <c r="J307" s="7">
        <v>231.66</v>
      </c>
      <c r="K307" s="7">
        <v>23166</v>
      </c>
    </row>
    <row r="308" spans="2:11" ht="15.75" customHeight="1" x14ac:dyDescent="0.25">
      <c r="B308" s="8">
        <v>128829</v>
      </c>
      <c r="C308" s="8" t="s">
        <v>821</v>
      </c>
      <c r="D308" s="8" t="s">
        <v>343</v>
      </c>
      <c r="E308" s="8" t="s">
        <v>12</v>
      </c>
      <c r="F308" s="8">
        <v>24970</v>
      </c>
      <c r="G308" s="8" t="s">
        <v>118</v>
      </c>
      <c r="H308" s="8" t="s">
        <v>20</v>
      </c>
      <c r="I308" s="8" t="s">
        <v>15</v>
      </c>
      <c r="J308" s="7">
        <v>210</v>
      </c>
      <c r="K308" s="7">
        <v>21000</v>
      </c>
    </row>
    <row r="309" spans="2:11" ht="15.75" customHeight="1" x14ac:dyDescent="0.25">
      <c r="B309" s="8">
        <v>21615</v>
      </c>
      <c r="C309" s="8" t="s">
        <v>834</v>
      </c>
      <c r="D309" s="8" t="s">
        <v>835</v>
      </c>
      <c r="E309" s="8" t="s">
        <v>24</v>
      </c>
      <c r="F309" s="8">
        <v>21068</v>
      </c>
      <c r="G309" s="8" t="s">
        <v>13</v>
      </c>
      <c r="H309" s="8" t="s">
        <v>14</v>
      </c>
      <c r="I309" s="8" t="s">
        <v>15</v>
      </c>
      <c r="J309" s="7">
        <v>201.3</v>
      </c>
      <c r="K309" s="7">
        <v>20130</v>
      </c>
    </row>
    <row r="310" spans="2:11" ht="15.75" customHeight="1" x14ac:dyDescent="0.25">
      <c r="B310" s="8">
        <v>129568</v>
      </c>
      <c r="C310" s="8" t="s">
        <v>826</v>
      </c>
      <c r="D310" s="8" t="s">
        <v>827</v>
      </c>
      <c r="E310" s="8" t="s">
        <v>12</v>
      </c>
      <c r="F310" s="8">
        <v>32089</v>
      </c>
      <c r="G310" s="8" t="s">
        <v>48</v>
      </c>
      <c r="H310" s="8" t="s">
        <v>20</v>
      </c>
      <c r="I310" s="8" t="s">
        <v>15</v>
      </c>
      <c r="J310" s="7">
        <v>207.7</v>
      </c>
      <c r="K310" s="7">
        <v>20770</v>
      </c>
    </row>
    <row r="311" spans="2:11" ht="15.75" customHeight="1" x14ac:dyDescent="0.25">
      <c r="B311" s="8">
        <v>132186</v>
      </c>
      <c r="C311" s="8" t="s">
        <v>832</v>
      </c>
      <c r="D311" s="8" t="s">
        <v>833</v>
      </c>
      <c r="E311" s="8" t="s">
        <v>12</v>
      </c>
      <c r="F311" s="8">
        <v>25034</v>
      </c>
      <c r="G311" s="8" t="s">
        <v>60</v>
      </c>
      <c r="H311" s="8" t="s">
        <v>20</v>
      </c>
      <c r="I311" s="8" t="s">
        <v>15</v>
      </c>
      <c r="J311" s="7">
        <v>201.5</v>
      </c>
      <c r="K311" s="7">
        <v>20150</v>
      </c>
    </row>
    <row r="312" spans="2:11" ht="15.75" customHeight="1" x14ac:dyDescent="0.25">
      <c r="B312" s="8">
        <v>20546</v>
      </c>
      <c r="C312" s="8" t="s">
        <v>836</v>
      </c>
      <c r="D312" s="8" t="s">
        <v>837</v>
      </c>
      <c r="E312" s="8" t="s">
        <v>12</v>
      </c>
      <c r="F312" s="8">
        <v>22847</v>
      </c>
      <c r="G312" s="8" t="s">
        <v>57</v>
      </c>
      <c r="H312" s="8" t="s">
        <v>35</v>
      </c>
      <c r="I312" s="8" t="s">
        <v>15</v>
      </c>
      <c r="J312" s="7">
        <v>199.55</v>
      </c>
      <c r="K312" s="7">
        <v>19955</v>
      </c>
    </row>
    <row r="313" spans="2:11" ht="15.75" customHeight="1" x14ac:dyDescent="0.25">
      <c r="B313" s="8">
        <v>24659</v>
      </c>
      <c r="C313" s="8" t="s">
        <v>864</v>
      </c>
      <c r="D313" s="8" t="s">
        <v>865</v>
      </c>
      <c r="E313" s="8" t="s">
        <v>12</v>
      </c>
      <c r="F313" s="8">
        <v>26025</v>
      </c>
      <c r="G313" s="8" t="s">
        <v>43</v>
      </c>
      <c r="H313" s="8" t="s">
        <v>35</v>
      </c>
      <c r="I313" s="8" t="s">
        <v>15</v>
      </c>
      <c r="J313" s="7">
        <v>173.85</v>
      </c>
      <c r="K313" s="7">
        <v>17385</v>
      </c>
    </row>
    <row r="314" spans="2:11" ht="15.75" customHeight="1" x14ac:dyDescent="0.25">
      <c r="B314" s="8">
        <v>20433</v>
      </c>
      <c r="C314" s="8" t="s">
        <v>844</v>
      </c>
      <c r="D314" s="8" t="s">
        <v>343</v>
      </c>
      <c r="E314" s="8" t="s">
        <v>12</v>
      </c>
      <c r="F314" s="8">
        <v>29952</v>
      </c>
      <c r="G314" s="8" t="s">
        <v>57</v>
      </c>
      <c r="H314" s="8" t="s">
        <v>35</v>
      </c>
      <c r="I314" s="8" t="s">
        <v>15</v>
      </c>
      <c r="J314" s="7">
        <v>161.65</v>
      </c>
      <c r="K314" s="7">
        <v>16165</v>
      </c>
    </row>
    <row r="315" spans="2:11" ht="15.75" customHeight="1" x14ac:dyDescent="0.25">
      <c r="B315" s="8">
        <v>21878</v>
      </c>
      <c r="C315" s="8" t="s">
        <v>872</v>
      </c>
      <c r="D315" s="8" t="s">
        <v>873</v>
      </c>
      <c r="E315" s="8" t="s">
        <v>24</v>
      </c>
      <c r="F315" s="8">
        <v>32457</v>
      </c>
      <c r="G315" s="8" t="s">
        <v>34</v>
      </c>
      <c r="H315" s="8" t="s">
        <v>35</v>
      </c>
      <c r="I315" s="8" t="s">
        <v>15</v>
      </c>
      <c r="J315" s="7">
        <v>168</v>
      </c>
      <c r="K315" s="7">
        <v>16800</v>
      </c>
    </row>
    <row r="316" spans="2:11" ht="15.75" customHeight="1" x14ac:dyDescent="0.25">
      <c r="B316" s="8">
        <v>21251</v>
      </c>
      <c r="C316" s="8" t="s">
        <v>881</v>
      </c>
      <c r="D316" s="8" t="s">
        <v>882</v>
      </c>
      <c r="E316" s="8" t="s">
        <v>12</v>
      </c>
      <c r="F316" s="8">
        <v>23488</v>
      </c>
      <c r="G316" s="8" t="s">
        <v>50</v>
      </c>
      <c r="H316" s="8" t="s">
        <v>20</v>
      </c>
      <c r="I316" s="8" t="s">
        <v>15</v>
      </c>
      <c r="J316" s="7">
        <v>150</v>
      </c>
      <c r="K316" s="7">
        <v>15000</v>
      </c>
    </row>
    <row r="317" spans="2:11" ht="15.75" customHeight="1" x14ac:dyDescent="0.25">
      <c r="B317" s="8">
        <v>22357</v>
      </c>
      <c r="C317" s="8" t="s">
        <v>877</v>
      </c>
      <c r="D317" s="8" t="s">
        <v>878</v>
      </c>
      <c r="E317" s="8" t="s">
        <v>12</v>
      </c>
      <c r="F317" s="8">
        <v>28278</v>
      </c>
      <c r="G317" s="8" t="s">
        <v>41</v>
      </c>
      <c r="H317" s="8" t="s">
        <v>20</v>
      </c>
      <c r="I317" s="8" t="s">
        <v>15</v>
      </c>
      <c r="J317" s="7">
        <v>159</v>
      </c>
      <c r="K317" s="7">
        <v>15900</v>
      </c>
    </row>
    <row r="318" spans="2:11" ht="15.75" customHeight="1" x14ac:dyDescent="0.25">
      <c r="B318" s="8">
        <v>121810</v>
      </c>
      <c r="C318" s="8" t="s">
        <v>848</v>
      </c>
      <c r="D318" s="8" t="s">
        <v>849</v>
      </c>
      <c r="E318" s="8" t="s">
        <v>12</v>
      </c>
      <c r="F318" s="8">
        <v>27211</v>
      </c>
      <c r="G318" s="8" t="s">
        <v>32</v>
      </c>
      <c r="H318" s="8" t="s">
        <v>20</v>
      </c>
      <c r="I318" s="8" t="s">
        <v>15</v>
      </c>
      <c r="J318" s="7">
        <v>192</v>
      </c>
      <c r="K318" s="7">
        <v>19200</v>
      </c>
    </row>
    <row r="319" spans="2:11" ht="15.75" customHeight="1" x14ac:dyDescent="0.25">
      <c r="B319" s="8">
        <v>131022</v>
      </c>
      <c r="C319" s="8" t="s">
        <v>867</v>
      </c>
      <c r="D319" s="8" t="s">
        <v>868</v>
      </c>
      <c r="E319" s="8" t="s">
        <v>12</v>
      </c>
      <c r="F319" s="8">
        <v>26068</v>
      </c>
      <c r="G319" s="8" t="s">
        <v>48</v>
      </c>
      <c r="H319" s="8" t="s">
        <v>20</v>
      </c>
      <c r="I319" s="8" t="s">
        <v>15</v>
      </c>
      <c r="J319" s="7">
        <v>172.84</v>
      </c>
      <c r="K319" s="7">
        <v>17284</v>
      </c>
    </row>
    <row r="320" spans="2:11" ht="15.75" customHeight="1" x14ac:dyDescent="0.25">
      <c r="B320" s="8">
        <v>24859</v>
      </c>
      <c r="C320" s="8" t="s">
        <v>869</v>
      </c>
      <c r="D320" s="8" t="s">
        <v>871</v>
      </c>
      <c r="E320" s="8" t="s">
        <v>24</v>
      </c>
      <c r="F320" s="8">
        <v>22785</v>
      </c>
      <c r="G320" s="8" t="s">
        <v>60</v>
      </c>
      <c r="H320" s="8" t="s">
        <v>20</v>
      </c>
      <c r="I320" s="8" t="s">
        <v>15</v>
      </c>
      <c r="J320" s="7">
        <v>170.51</v>
      </c>
      <c r="K320" s="7">
        <v>17051</v>
      </c>
    </row>
    <row r="321" spans="2:11" ht="15.75" customHeight="1" x14ac:dyDescent="0.25">
      <c r="B321" s="8">
        <v>129528</v>
      </c>
      <c r="C321" s="8" t="s">
        <v>854</v>
      </c>
      <c r="D321" s="8" t="s">
        <v>887</v>
      </c>
      <c r="E321" s="8" t="s">
        <v>12</v>
      </c>
      <c r="F321" s="8">
        <v>22098</v>
      </c>
      <c r="G321" s="8" t="s">
        <v>60</v>
      </c>
      <c r="H321" s="8" t="s">
        <v>20</v>
      </c>
      <c r="I321" s="8" t="s">
        <v>15</v>
      </c>
      <c r="J321" s="7">
        <v>145.35</v>
      </c>
      <c r="K321" s="7">
        <v>14535</v>
      </c>
    </row>
    <row r="322" spans="2:11" ht="15.75" customHeight="1" x14ac:dyDescent="0.25">
      <c r="B322" s="8">
        <v>39151</v>
      </c>
      <c r="C322" s="8" t="s">
        <v>854</v>
      </c>
      <c r="D322" s="8" t="s">
        <v>880</v>
      </c>
      <c r="E322" s="8" t="s">
        <v>12</v>
      </c>
      <c r="F322" s="8">
        <v>29926</v>
      </c>
      <c r="G322" s="8" t="s">
        <v>57</v>
      </c>
      <c r="H322" s="8" t="s">
        <v>35</v>
      </c>
      <c r="I322" s="8" t="s">
        <v>15</v>
      </c>
      <c r="J322" s="7">
        <v>153.36000000000001</v>
      </c>
      <c r="K322" s="7">
        <v>15336</v>
      </c>
    </row>
    <row r="323" spans="2:11" ht="15.75" customHeight="1" x14ac:dyDescent="0.25">
      <c r="B323" s="8">
        <v>22047</v>
      </c>
      <c r="C323" s="8" t="s">
        <v>854</v>
      </c>
      <c r="D323" s="8" t="s">
        <v>879</v>
      </c>
      <c r="E323" s="8" t="s">
        <v>12</v>
      </c>
      <c r="F323" s="8">
        <v>28110</v>
      </c>
      <c r="G323" s="8" t="s">
        <v>19</v>
      </c>
      <c r="H323" s="8" t="s">
        <v>20</v>
      </c>
      <c r="I323" s="8" t="s">
        <v>15</v>
      </c>
      <c r="J323" s="7">
        <v>154</v>
      </c>
      <c r="K323" s="7">
        <v>15400</v>
      </c>
    </row>
    <row r="324" spans="2:11" ht="15.75" customHeight="1" x14ac:dyDescent="0.25">
      <c r="B324" s="8">
        <v>20745</v>
      </c>
      <c r="C324" s="8" t="s">
        <v>854</v>
      </c>
      <c r="D324" s="8" t="s">
        <v>866</v>
      </c>
      <c r="E324" s="8" t="s">
        <v>12</v>
      </c>
      <c r="F324" s="8">
        <v>19542</v>
      </c>
      <c r="G324" s="8" t="s">
        <v>60</v>
      </c>
      <c r="H324" s="8" t="s">
        <v>20</v>
      </c>
      <c r="I324" s="8" t="s">
        <v>15</v>
      </c>
      <c r="J324" s="7">
        <v>172.98</v>
      </c>
      <c r="K324" s="7">
        <v>17298</v>
      </c>
    </row>
    <row r="325" spans="2:11" ht="15.75" customHeight="1" x14ac:dyDescent="0.25">
      <c r="B325" s="8">
        <v>20766</v>
      </c>
      <c r="C325" s="8" t="s">
        <v>854</v>
      </c>
      <c r="D325" s="8" t="s">
        <v>717</v>
      </c>
      <c r="E325" s="8" t="s">
        <v>12</v>
      </c>
      <c r="F325" s="8">
        <v>28133</v>
      </c>
      <c r="G325" s="8" t="s">
        <v>48</v>
      </c>
      <c r="H325" s="8" t="s">
        <v>20</v>
      </c>
      <c r="I325" s="8" t="s">
        <v>15</v>
      </c>
      <c r="J325" s="7">
        <v>172.62</v>
      </c>
      <c r="K325" s="7">
        <v>17262</v>
      </c>
    </row>
    <row r="326" spans="2:11" ht="15.75" customHeight="1" x14ac:dyDescent="0.25">
      <c r="B326" s="8">
        <v>20942</v>
      </c>
      <c r="C326" s="8" t="s">
        <v>876</v>
      </c>
      <c r="D326" s="8" t="s">
        <v>406</v>
      </c>
      <c r="E326" s="8" t="s">
        <v>24</v>
      </c>
      <c r="F326" s="8">
        <v>27764</v>
      </c>
      <c r="G326" s="8" t="s">
        <v>13</v>
      </c>
      <c r="H326" s="8" t="s">
        <v>14</v>
      </c>
      <c r="I326" s="8" t="s">
        <v>15</v>
      </c>
      <c r="J326" s="7">
        <v>163.06</v>
      </c>
      <c r="K326" s="7">
        <v>16306</v>
      </c>
    </row>
    <row r="327" spans="2:11" ht="15.75" customHeight="1" x14ac:dyDescent="0.25">
      <c r="B327" s="8">
        <v>26565</v>
      </c>
      <c r="C327" s="8" t="s">
        <v>863</v>
      </c>
      <c r="D327" s="8" t="s">
        <v>600</v>
      </c>
      <c r="E327" s="8" t="s">
        <v>12</v>
      </c>
      <c r="F327" s="8">
        <v>26064</v>
      </c>
      <c r="G327" s="8" t="s">
        <v>48</v>
      </c>
      <c r="H327" s="8" t="s">
        <v>20</v>
      </c>
      <c r="I327" s="8" t="s">
        <v>15</v>
      </c>
      <c r="J327" s="7">
        <v>159.82</v>
      </c>
      <c r="K327" s="7">
        <v>15982</v>
      </c>
    </row>
    <row r="328" spans="2:11" ht="15.75" customHeight="1" x14ac:dyDescent="0.25">
      <c r="B328" s="8">
        <v>21021</v>
      </c>
      <c r="C328" s="8" t="s">
        <v>863</v>
      </c>
      <c r="D328" s="8" t="s">
        <v>513</v>
      </c>
      <c r="E328" s="8" t="s">
        <v>12</v>
      </c>
      <c r="F328" s="8">
        <v>27200</v>
      </c>
      <c r="G328" s="8" t="s">
        <v>48</v>
      </c>
      <c r="H328" s="8" t="s">
        <v>20</v>
      </c>
      <c r="I328" s="8" t="s">
        <v>15</v>
      </c>
      <c r="J328" s="7">
        <v>174.2</v>
      </c>
      <c r="K328" s="7">
        <v>17420</v>
      </c>
    </row>
    <row r="329" spans="2:11" ht="15.75" customHeight="1" x14ac:dyDescent="0.25">
      <c r="B329" s="8">
        <v>21145</v>
      </c>
      <c r="C329" s="8" t="s">
        <v>875</v>
      </c>
      <c r="D329" s="8" t="s">
        <v>489</v>
      </c>
      <c r="E329" s="8" t="s">
        <v>12</v>
      </c>
      <c r="F329" s="8">
        <v>31464</v>
      </c>
      <c r="G329" s="8" t="s">
        <v>48</v>
      </c>
      <c r="H329" s="8" t="s">
        <v>20</v>
      </c>
      <c r="I329" s="8" t="s">
        <v>15</v>
      </c>
      <c r="J329" s="7">
        <v>163.19999999999999</v>
      </c>
      <c r="K329" s="7">
        <v>16320</v>
      </c>
    </row>
    <row r="330" spans="2:11" ht="15.75" customHeight="1" x14ac:dyDescent="0.25">
      <c r="B330" s="8">
        <v>20763</v>
      </c>
      <c r="C330" s="8" t="s">
        <v>875</v>
      </c>
      <c r="D330" s="8" t="s">
        <v>339</v>
      </c>
      <c r="E330" s="8" t="s">
        <v>12</v>
      </c>
      <c r="F330" s="8">
        <v>19000</v>
      </c>
      <c r="G330" s="8" t="s">
        <v>130</v>
      </c>
      <c r="H330" s="8" t="s">
        <v>20</v>
      </c>
      <c r="I330" s="8" t="s">
        <v>15</v>
      </c>
      <c r="J330" s="7">
        <v>162.5</v>
      </c>
      <c r="K330" s="7">
        <v>16250</v>
      </c>
    </row>
    <row r="331" spans="2:11" ht="15.75" customHeight="1" x14ac:dyDescent="0.25">
      <c r="B331" s="8">
        <v>21820</v>
      </c>
      <c r="C331" s="8" t="s">
        <v>875</v>
      </c>
      <c r="D331" s="8" t="s">
        <v>891</v>
      </c>
      <c r="E331" s="8" t="s">
        <v>12</v>
      </c>
      <c r="F331" s="8">
        <v>29377</v>
      </c>
      <c r="G331" s="8" t="s">
        <v>50</v>
      </c>
      <c r="H331" s="8" t="s">
        <v>20</v>
      </c>
      <c r="I331" s="8" t="s">
        <v>15</v>
      </c>
      <c r="J331" s="7">
        <v>139.19999999999999</v>
      </c>
      <c r="K331" s="7">
        <v>13920</v>
      </c>
    </row>
    <row r="332" spans="2:11" ht="15.75" customHeight="1" x14ac:dyDescent="0.25">
      <c r="B332" s="8">
        <v>26642</v>
      </c>
      <c r="C332" s="8" t="s">
        <v>899</v>
      </c>
      <c r="D332" s="8" t="s">
        <v>868</v>
      </c>
      <c r="E332" s="8" t="s">
        <v>24</v>
      </c>
      <c r="F332" s="8">
        <v>29813</v>
      </c>
      <c r="G332" s="8" t="s">
        <v>32</v>
      </c>
      <c r="H332" s="8" t="s">
        <v>20</v>
      </c>
      <c r="I332" s="8" t="s">
        <v>15</v>
      </c>
      <c r="J332" s="7">
        <v>126.14</v>
      </c>
      <c r="K332" s="7">
        <v>12614</v>
      </c>
    </row>
    <row r="333" spans="2:11" ht="15.75" customHeight="1" x14ac:dyDescent="0.25">
      <c r="B333" s="8">
        <v>131440</v>
      </c>
      <c r="C333" s="8" t="s">
        <v>888</v>
      </c>
      <c r="D333" s="8" t="s">
        <v>425</v>
      </c>
      <c r="E333" s="8" t="s">
        <v>24</v>
      </c>
      <c r="F333" s="8">
        <v>25050</v>
      </c>
      <c r="G333" s="8" t="s">
        <v>48</v>
      </c>
      <c r="H333" s="8" t="s">
        <v>20</v>
      </c>
      <c r="I333" s="8" t="s">
        <v>15</v>
      </c>
      <c r="J333" s="7">
        <v>140.91</v>
      </c>
      <c r="K333" s="7">
        <v>14091</v>
      </c>
    </row>
    <row r="334" spans="2:11" ht="15.75" customHeight="1" x14ac:dyDescent="0.25">
      <c r="B334" s="8">
        <v>117259</v>
      </c>
      <c r="C334" s="8" t="s">
        <v>911</v>
      </c>
      <c r="D334" s="8" t="s">
        <v>912</v>
      </c>
      <c r="E334" s="8" t="s">
        <v>12</v>
      </c>
      <c r="F334" s="8">
        <v>36701</v>
      </c>
      <c r="G334" s="8" t="s">
        <v>60</v>
      </c>
      <c r="H334" s="8" t="s">
        <v>20</v>
      </c>
      <c r="I334" s="8" t="s">
        <v>15</v>
      </c>
      <c r="J334" s="7">
        <v>114.5</v>
      </c>
      <c r="K334" s="7">
        <v>11450</v>
      </c>
    </row>
    <row r="335" spans="2:11" ht="15.75" customHeight="1" x14ac:dyDescent="0.25">
      <c r="B335" s="8">
        <v>133138</v>
      </c>
      <c r="C335" s="8" t="s">
        <v>892</v>
      </c>
      <c r="D335" s="8" t="s">
        <v>895</v>
      </c>
      <c r="E335" s="8" t="s">
        <v>12</v>
      </c>
      <c r="F335" s="8">
        <v>31418</v>
      </c>
      <c r="G335" s="8" t="s">
        <v>75</v>
      </c>
      <c r="H335" s="8" t="s">
        <v>20</v>
      </c>
      <c r="I335" s="8" t="s">
        <v>15</v>
      </c>
      <c r="J335" s="7">
        <v>128.25</v>
      </c>
      <c r="K335" s="7">
        <v>12825</v>
      </c>
    </row>
    <row r="336" spans="2:11" ht="15.75" customHeight="1" x14ac:dyDescent="0.25">
      <c r="B336" s="8">
        <v>24842</v>
      </c>
      <c r="C336" s="8" t="s">
        <v>925</v>
      </c>
      <c r="D336" s="8" t="s">
        <v>926</v>
      </c>
      <c r="E336" s="8" t="s">
        <v>24</v>
      </c>
      <c r="F336" s="8">
        <v>25719</v>
      </c>
      <c r="G336" s="8" t="s">
        <v>176</v>
      </c>
      <c r="H336" s="8" t="s">
        <v>35</v>
      </c>
      <c r="I336" s="8" t="s">
        <v>15</v>
      </c>
      <c r="J336" s="7">
        <v>106.08</v>
      </c>
      <c r="K336" s="7">
        <v>10608</v>
      </c>
    </row>
    <row r="337" spans="2:11" ht="15.75" customHeight="1" x14ac:dyDescent="0.25">
      <c r="B337" s="8">
        <v>133911</v>
      </c>
      <c r="C337" s="8" t="s">
        <v>920</v>
      </c>
      <c r="D337" s="8" t="s">
        <v>921</v>
      </c>
      <c r="E337" s="8" t="s">
        <v>24</v>
      </c>
      <c r="F337" s="8">
        <v>22498</v>
      </c>
      <c r="G337" s="8" t="s">
        <v>175</v>
      </c>
      <c r="H337" s="8" t="s">
        <v>14</v>
      </c>
      <c r="I337" s="8" t="s">
        <v>15</v>
      </c>
      <c r="J337" s="7">
        <v>108</v>
      </c>
      <c r="K337" s="7">
        <v>10800</v>
      </c>
    </row>
    <row r="338" spans="2:11" ht="15.75" customHeight="1" x14ac:dyDescent="0.25">
      <c r="B338" s="8">
        <v>47221</v>
      </c>
      <c r="C338" s="8" t="s">
        <v>920</v>
      </c>
      <c r="D338" s="8" t="s">
        <v>927</v>
      </c>
      <c r="E338" s="8" t="s">
        <v>24</v>
      </c>
      <c r="F338" s="8">
        <v>28182</v>
      </c>
      <c r="G338" s="8" t="s">
        <v>92</v>
      </c>
      <c r="H338" s="8" t="s">
        <v>35</v>
      </c>
      <c r="I338" s="8" t="s">
        <v>15</v>
      </c>
      <c r="J338" s="7">
        <v>104</v>
      </c>
      <c r="K338" s="7">
        <v>10400</v>
      </c>
    </row>
    <row r="339" spans="2:11" ht="15.75" customHeight="1" x14ac:dyDescent="0.25">
      <c r="B339" s="8">
        <v>122645</v>
      </c>
      <c r="C339" s="8" t="s">
        <v>894</v>
      </c>
      <c r="D339" s="8" t="s">
        <v>922</v>
      </c>
      <c r="E339" s="8" t="s">
        <v>12</v>
      </c>
      <c r="F339" s="8">
        <v>23278</v>
      </c>
      <c r="G339" s="8" t="s">
        <v>57</v>
      </c>
      <c r="H339" s="8" t="s">
        <v>35</v>
      </c>
      <c r="I339" s="8" t="s">
        <v>15</v>
      </c>
      <c r="J339" s="7">
        <v>108</v>
      </c>
      <c r="K339" s="7">
        <v>10800</v>
      </c>
    </row>
    <row r="340" spans="2:11" ht="15.75" customHeight="1" x14ac:dyDescent="0.25">
      <c r="B340" s="8">
        <v>27664</v>
      </c>
      <c r="C340" s="8" t="s">
        <v>894</v>
      </c>
      <c r="D340" s="8" t="s">
        <v>422</v>
      </c>
      <c r="E340" s="8" t="s">
        <v>12</v>
      </c>
      <c r="F340" s="8">
        <v>32608</v>
      </c>
      <c r="G340" s="8" t="s">
        <v>48</v>
      </c>
      <c r="H340" s="8" t="s">
        <v>20</v>
      </c>
      <c r="I340" s="8" t="s">
        <v>15</v>
      </c>
      <c r="J340" s="7">
        <v>132</v>
      </c>
      <c r="K340" s="7">
        <v>13200</v>
      </c>
    </row>
    <row r="341" spans="2:11" ht="15.75" customHeight="1" x14ac:dyDescent="0.25">
      <c r="B341" s="8">
        <v>128641</v>
      </c>
      <c r="C341" s="8" t="s">
        <v>906</v>
      </c>
      <c r="D341" s="8" t="s">
        <v>907</v>
      </c>
      <c r="E341" s="8" t="s">
        <v>12</v>
      </c>
      <c r="F341" s="8">
        <v>23238</v>
      </c>
      <c r="G341" s="8" t="s">
        <v>48</v>
      </c>
      <c r="H341" s="8" t="s">
        <v>20</v>
      </c>
      <c r="I341" s="8" t="s">
        <v>15</v>
      </c>
      <c r="J341" s="7">
        <v>120</v>
      </c>
      <c r="K341" s="7">
        <v>12000</v>
      </c>
    </row>
    <row r="342" spans="2:11" ht="15.75" customHeight="1" x14ac:dyDescent="0.25">
      <c r="B342" s="8">
        <v>21427</v>
      </c>
      <c r="C342" s="8" t="s">
        <v>909</v>
      </c>
      <c r="D342" s="8" t="s">
        <v>354</v>
      </c>
      <c r="E342" s="8" t="s">
        <v>12</v>
      </c>
      <c r="F342" s="8">
        <v>30911</v>
      </c>
      <c r="G342" s="8" t="s">
        <v>75</v>
      </c>
      <c r="H342" s="8" t="s">
        <v>20</v>
      </c>
      <c r="I342" s="8" t="s">
        <v>15</v>
      </c>
      <c r="J342" s="7">
        <v>118</v>
      </c>
      <c r="K342" s="7">
        <v>11800</v>
      </c>
    </row>
    <row r="343" spans="2:11" ht="15.75" customHeight="1" x14ac:dyDescent="0.25">
      <c r="B343" s="8">
        <v>131473</v>
      </c>
      <c r="C343" s="8" t="s">
        <v>896</v>
      </c>
      <c r="D343" s="8" t="s">
        <v>600</v>
      </c>
      <c r="E343" s="8" t="s">
        <v>24</v>
      </c>
      <c r="F343" s="8">
        <v>27030</v>
      </c>
      <c r="G343" s="8" t="s">
        <v>31</v>
      </c>
      <c r="H343" s="8" t="s">
        <v>20</v>
      </c>
      <c r="I343" s="8" t="s">
        <v>15</v>
      </c>
      <c r="J343" s="7">
        <v>104</v>
      </c>
      <c r="K343" s="7">
        <v>10400</v>
      </c>
    </row>
    <row r="344" spans="2:11" ht="15.75" customHeight="1" x14ac:dyDescent="0.25">
      <c r="B344" s="8">
        <v>122734</v>
      </c>
      <c r="C344" s="8" t="s">
        <v>896</v>
      </c>
      <c r="D344" s="8" t="s">
        <v>897</v>
      </c>
      <c r="E344" s="8" t="s">
        <v>24</v>
      </c>
      <c r="F344" s="8">
        <v>25974</v>
      </c>
      <c r="G344" s="8" t="s">
        <v>31</v>
      </c>
      <c r="H344" s="8" t="s">
        <v>20</v>
      </c>
      <c r="I344" s="8" t="s">
        <v>15</v>
      </c>
      <c r="J344" s="7">
        <v>128</v>
      </c>
      <c r="K344" s="7">
        <v>12800</v>
      </c>
    </row>
    <row r="345" spans="2:11" ht="15.75" customHeight="1" x14ac:dyDescent="0.25">
      <c r="B345" s="8">
        <v>129168</v>
      </c>
      <c r="C345" s="8" t="s">
        <v>902</v>
      </c>
      <c r="D345" s="8" t="s">
        <v>339</v>
      </c>
      <c r="E345" s="8" t="s">
        <v>12</v>
      </c>
      <c r="F345" s="8">
        <v>30479</v>
      </c>
      <c r="G345" s="8" t="s">
        <v>118</v>
      </c>
      <c r="H345" s="8" t="s">
        <v>20</v>
      </c>
      <c r="I345" s="8" t="s">
        <v>15</v>
      </c>
      <c r="J345" s="7">
        <v>122</v>
      </c>
      <c r="K345" s="7">
        <v>12200</v>
      </c>
    </row>
    <row r="346" spans="2:11" ht="15.75" customHeight="1" x14ac:dyDescent="0.25">
      <c r="B346" s="8">
        <v>23332</v>
      </c>
      <c r="C346" s="8" t="s">
        <v>898</v>
      </c>
      <c r="D346" s="8" t="s">
        <v>913</v>
      </c>
      <c r="E346" s="8" t="s">
        <v>12</v>
      </c>
      <c r="F346" s="8">
        <v>24211</v>
      </c>
      <c r="G346" s="8" t="s">
        <v>50</v>
      </c>
      <c r="H346" s="8" t="s">
        <v>20</v>
      </c>
      <c r="I346" s="8" t="s">
        <v>15</v>
      </c>
      <c r="J346" s="7">
        <v>113.43</v>
      </c>
      <c r="K346" s="7">
        <v>11343</v>
      </c>
    </row>
    <row r="347" spans="2:11" ht="15.75" customHeight="1" x14ac:dyDescent="0.25">
      <c r="B347" s="8">
        <v>137627</v>
      </c>
      <c r="C347" s="8" t="s">
        <v>898</v>
      </c>
      <c r="D347" s="8" t="s">
        <v>929</v>
      </c>
      <c r="E347" s="8" t="s">
        <v>12</v>
      </c>
      <c r="F347" s="8">
        <v>21916</v>
      </c>
      <c r="G347" s="8" t="s">
        <v>50</v>
      </c>
      <c r="H347" s="8" t="s">
        <v>20</v>
      </c>
      <c r="I347" s="8" t="s">
        <v>15</v>
      </c>
      <c r="J347" s="7">
        <v>101.49</v>
      </c>
      <c r="K347" s="7">
        <v>10149</v>
      </c>
    </row>
    <row r="348" spans="2:11" ht="15.75" customHeight="1" x14ac:dyDescent="0.25">
      <c r="B348" s="8">
        <v>126676</v>
      </c>
      <c r="C348" s="8" t="s">
        <v>898</v>
      </c>
      <c r="D348" s="8" t="s">
        <v>489</v>
      </c>
      <c r="E348" s="8" t="s">
        <v>12</v>
      </c>
      <c r="F348" s="8">
        <v>26891</v>
      </c>
      <c r="G348" s="8" t="s">
        <v>49</v>
      </c>
      <c r="H348" s="8" t="s">
        <v>20</v>
      </c>
      <c r="I348" s="8" t="s">
        <v>15</v>
      </c>
      <c r="J348" s="7">
        <v>123.38</v>
      </c>
      <c r="K348" s="7">
        <v>12338</v>
      </c>
    </row>
    <row r="349" spans="2:11" ht="15.75" customHeight="1" x14ac:dyDescent="0.25">
      <c r="B349" s="8">
        <v>125910</v>
      </c>
      <c r="C349" s="8" t="s">
        <v>898</v>
      </c>
      <c r="D349" s="8" t="s">
        <v>454</v>
      </c>
      <c r="E349" s="8" t="s">
        <v>12</v>
      </c>
      <c r="F349" s="8">
        <v>26665</v>
      </c>
      <c r="G349" s="8" t="s">
        <v>174</v>
      </c>
      <c r="H349" s="8" t="s">
        <v>35</v>
      </c>
      <c r="I349" s="8" t="s">
        <v>15</v>
      </c>
      <c r="J349" s="7">
        <v>115.42</v>
      </c>
      <c r="K349" s="7">
        <v>11542</v>
      </c>
    </row>
    <row r="350" spans="2:11" ht="15.75" customHeight="1" x14ac:dyDescent="0.25">
      <c r="B350" s="8">
        <v>130871</v>
      </c>
      <c r="C350" s="8" t="s">
        <v>898</v>
      </c>
      <c r="D350" s="8" t="s">
        <v>930</v>
      </c>
      <c r="E350" s="8" t="s">
        <v>12</v>
      </c>
      <c r="F350" s="8">
        <v>27933</v>
      </c>
      <c r="G350" s="8" t="s">
        <v>48</v>
      </c>
      <c r="H350" s="8" t="s">
        <v>20</v>
      </c>
      <c r="I350" s="8" t="s">
        <v>15</v>
      </c>
      <c r="J350" s="7">
        <v>101.49</v>
      </c>
      <c r="K350" s="7">
        <v>10149</v>
      </c>
    </row>
    <row r="351" spans="2:11" ht="15.75" customHeight="1" x14ac:dyDescent="0.25">
      <c r="B351" s="8">
        <v>22167</v>
      </c>
      <c r="C351" s="8" t="s">
        <v>898</v>
      </c>
      <c r="D351" s="8" t="s">
        <v>756</v>
      </c>
      <c r="E351" s="8" t="s">
        <v>12</v>
      </c>
      <c r="F351" s="8">
        <v>27648</v>
      </c>
      <c r="G351" s="8" t="s">
        <v>57</v>
      </c>
      <c r="H351" s="8" t="s">
        <v>35</v>
      </c>
      <c r="I351" s="8" t="s">
        <v>15</v>
      </c>
      <c r="J351" s="7">
        <v>126.75</v>
      </c>
      <c r="K351" s="7">
        <v>12675</v>
      </c>
    </row>
    <row r="352" spans="2:11" ht="15.75" customHeight="1" x14ac:dyDescent="0.25">
      <c r="B352" s="8">
        <v>21346</v>
      </c>
      <c r="C352" s="8" t="s">
        <v>904</v>
      </c>
      <c r="D352" s="8" t="s">
        <v>905</v>
      </c>
      <c r="E352" s="8" t="s">
        <v>24</v>
      </c>
      <c r="F352" s="8">
        <v>28127</v>
      </c>
      <c r="G352" s="8" t="s">
        <v>50</v>
      </c>
      <c r="H352" s="8" t="s">
        <v>20</v>
      </c>
      <c r="I352" s="8" t="s">
        <v>15</v>
      </c>
      <c r="J352" s="7">
        <v>120.9</v>
      </c>
      <c r="K352" s="7">
        <v>12090</v>
      </c>
    </row>
    <row r="353" spans="2:11" ht="15.75" customHeight="1" x14ac:dyDescent="0.25">
      <c r="B353" s="8">
        <v>123122</v>
      </c>
      <c r="C353" s="8" t="s">
        <v>917</v>
      </c>
      <c r="D353" s="8" t="s">
        <v>935</v>
      </c>
      <c r="E353" s="8" t="s">
        <v>12</v>
      </c>
      <c r="F353" s="8">
        <v>26677</v>
      </c>
      <c r="G353" s="8" t="s">
        <v>48</v>
      </c>
      <c r="H353" s="8" t="s">
        <v>20</v>
      </c>
      <c r="I353" s="8" t="s">
        <v>15</v>
      </c>
      <c r="J353" s="7">
        <v>98.05</v>
      </c>
      <c r="K353" s="7">
        <v>9805</v>
      </c>
    </row>
    <row r="354" spans="2:11" ht="15.75" customHeight="1" x14ac:dyDescent="0.25">
      <c r="B354" s="8">
        <v>94442</v>
      </c>
      <c r="C354" s="8" t="s">
        <v>908</v>
      </c>
      <c r="D354" s="8" t="s">
        <v>884</v>
      </c>
      <c r="E354" s="8" t="s">
        <v>12</v>
      </c>
      <c r="F354" s="8">
        <v>33845</v>
      </c>
      <c r="G354" s="8" t="s">
        <v>49</v>
      </c>
      <c r="H354" s="8" t="s">
        <v>20</v>
      </c>
      <c r="I354" s="8" t="s">
        <v>15</v>
      </c>
      <c r="J354" s="7">
        <v>118.8</v>
      </c>
      <c r="K354" s="7">
        <v>11880</v>
      </c>
    </row>
    <row r="355" spans="2:11" ht="15.75" customHeight="1" x14ac:dyDescent="0.25">
      <c r="B355" s="8">
        <v>22100</v>
      </c>
      <c r="C355" s="8" t="s">
        <v>908</v>
      </c>
      <c r="D355" s="8" t="s">
        <v>884</v>
      </c>
      <c r="E355" s="8" t="s">
        <v>12</v>
      </c>
      <c r="F355" s="8">
        <v>31054</v>
      </c>
      <c r="G355" s="8" t="s">
        <v>41</v>
      </c>
      <c r="H355" s="8" t="s">
        <v>20</v>
      </c>
      <c r="I355" s="8" t="s">
        <v>15</v>
      </c>
      <c r="J355" s="7">
        <v>107.9</v>
      </c>
      <c r="K355" s="7">
        <v>10790</v>
      </c>
    </row>
    <row r="356" spans="2:11" ht="15.75" customHeight="1" x14ac:dyDescent="0.25">
      <c r="B356" s="8">
        <v>22636</v>
      </c>
      <c r="C356" s="8" t="s">
        <v>951</v>
      </c>
      <c r="D356" s="8" t="s">
        <v>952</v>
      </c>
      <c r="E356" s="8" t="s">
        <v>12</v>
      </c>
      <c r="F356" s="8">
        <v>26430</v>
      </c>
      <c r="G356" s="8" t="s">
        <v>164</v>
      </c>
      <c r="H356" s="8" t="s">
        <v>52</v>
      </c>
      <c r="I356" s="8" t="s">
        <v>15</v>
      </c>
      <c r="J356" s="7">
        <v>79.5</v>
      </c>
      <c r="K356" s="7">
        <v>7950</v>
      </c>
    </row>
    <row r="357" spans="2:11" ht="15.75" customHeight="1" x14ac:dyDescent="0.25">
      <c r="B357" s="8">
        <v>20571</v>
      </c>
      <c r="C357" s="8" t="s">
        <v>954</v>
      </c>
      <c r="D357" s="8" t="s">
        <v>339</v>
      </c>
      <c r="E357" s="8" t="s">
        <v>12</v>
      </c>
      <c r="F357" s="8">
        <v>30479</v>
      </c>
      <c r="G357" s="8" t="s">
        <v>48</v>
      </c>
      <c r="H357" s="8" t="s">
        <v>20</v>
      </c>
      <c r="I357" s="8" t="s">
        <v>15</v>
      </c>
      <c r="J357" s="7">
        <v>75</v>
      </c>
      <c r="K357" s="7">
        <v>7500</v>
      </c>
    </row>
    <row r="358" spans="2:11" ht="15.75" customHeight="1" x14ac:dyDescent="0.25">
      <c r="B358" s="8">
        <v>125323</v>
      </c>
      <c r="C358" s="8" t="s">
        <v>938</v>
      </c>
      <c r="D358" s="8" t="s">
        <v>454</v>
      </c>
      <c r="E358" s="8" t="s">
        <v>12</v>
      </c>
      <c r="F358" s="8">
        <v>34803</v>
      </c>
      <c r="G358" s="8" t="s">
        <v>75</v>
      </c>
      <c r="H358" s="8" t="s">
        <v>20</v>
      </c>
      <c r="I358" s="8" t="s">
        <v>15</v>
      </c>
      <c r="J358" s="7">
        <v>93</v>
      </c>
      <c r="K358" s="7">
        <v>9300</v>
      </c>
    </row>
    <row r="359" spans="2:11" ht="15.75" customHeight="1" x14ac:dyDescent="0.25">
      <c r="B359" s="8">
        <v>22458</v>
      </c>
      <c r="C359" s="8" t="s">
        <v>936</v>
      </c>
      <c r="D359" s="8" t="s">
        <v>425</v>
      </c>
      <c r="E359" s="8" t="s">
        <v>12</v>
      </c>
      <c r="F359" s="8">
        <v>28696</v>
      </c>
      <c r="G359" s="8" t="s">
        <v>179</v>
      </c>
      <c r="H359" s="8" t="s">
        <v>20</v>
      </c>
      <c r="I359" s="8" t="s">
        <v>15</v>
      </c>
      <c r="J359" s="7">
        <v>97.5</v>
      </c>
      <c r="K359" s="7">
        <v>9750</v>
      </c>
    </row>
    <row r="360" spans="2:11" ht="15.75" customHeight="1" x14ac:dyDescent="0.25">
      <c r="B360" s="8">
        <v>93908</v>
      </c>
      <c r="C360" s="8" t="s">
        <v>933</v>
      </c>
      <c r="D360" s="8" t="s">
        <v>937</v>
      </c>
      <c r="E360" s="8" t="s">
        <v>12</v>
      </c>
      <c r="F360" s="8">
        <v>26140</v>
      </c>
      <c r="G360" s="8" t="s">
        <v>41</v>
      </c>
      <c r="H360" s="8" t="s">
        <v>20</v>
      </c>
      <c r="I360" s="8" t="s">
        <v>15</v>
      </c>
      <c r="J360" s="7">
        <v>95.36</v>
      </c>
      <c r="K360" s="7">
        <v>9536</v>
      </c>
    </row>
    <row r="361" spans="2:11" ht="15.75" customHeight="1" x14ac:dyDescent="0.25">
      <c r="B361" s="8">
        <v>136688</v>
      </c>
      <c r="C361" s="8" t="s">
        <v>939</v>
      </c>
      <c r="D361" s="8" t="s">
        <v>406</v>
      </c>
      <c r="E361" s="8" t="s">
        <v>24</v>
      </c>
      <c r="F361" s="8">
        <v>30116</v>
      </c>
      <c r="G361" s="8" t="s">
        <v>48</v>
      </c>
      <c r="H361" s="8" t="s">
        <v>20</v>
      </c>
      <c r="I361" s="8" t="s">
        <v>15</v>
      </c>
      <c r="J361" s="7">
        <v>91.08</v>
      </c>
      <c r="K361" s="7">
        <v>9108</v>
      </c>
    </row>
    <row r="362" spans="2:11" ht="15.75" customHeight="1" x14ac:dyDescent="0.25">
      <c r="B362" s="8">
        <v>120444</v>
      </c>
      <c r="C362" s="8" t="s">
        <v>962</v>
      </c>
      <c r="D362" s="8" t="s">
        <v>963</v>
      </c>
      <c r="E362" s="8" t="s">
        <v>12</v>
      </c>
      <c r="F362" s="8">
        <v>32947</v>
      </c>
      <c r="G362" s="8" t="s">
        <v>60</v>
      </c>
      <c r="H362" s="8" t="s">
        <v>20</v>
      </c>
      <c r="I362" s="8" t="s">
        <v>15</v>
      </c>
      <c r="J362" s="7">
        <v>67.08</v>
      </c>
      <c r="K362" s="7">
        <v>6708</v>
      </c>
    </row>
    <row r="363" spans="2:11" ht="15.75" customHeight="1" x14ac:dyDescent="0.25">
      <c r="B363" s="8">
        <v>20894</v>
      </c>
      <c r="C363" s="8" t="s">
        <v>949</v>
      </c>
      <c r="D363" s="8" t="s">
        <v>953</v>
      </c>
      <c r="E363" s="8" t="s">
        <v>12</v>
      </c>
      <c r="F363" s="8">
        <v>32763</v>
      </c>
      <c r="G363" s="8" t="s">
        <v>50</v>
      </c>
      <c r="H363" s="8" t="s">
        <v>20</v>
      </c>
      <c r="I363" s="8" t="s">
        <v>15</v>
      </c>
      <c r="J363" s="7">
        <v>75.64</v>
      </c>
      <c r="K363" s="7">
        <v>7564</v>
      </c>
    </row>
    <row r="364" spans="2:11" ht="15.75" customHeight="1" x14ac:dyDescent="0.25">
      <c r="B364" s="8">
        <v>121398</v>
      </c>
      <c r="C364" s="8" t="s">
        <v>961</v>
      </c>
      <c r="D364" s="8" t="s">
        <v>365</v>
      </c>
      <c r="E364" s="8" t="s">
        <v>12</v>
      </c>
      <c r="F364" s="8">
        <v>32650</v>
      </c>
      <c r="G364" s="8" t="s">
        <v>32</v>
      </c>
      <c r="H364" s="8" t="s">
        <v>20</v>
      </c>
      <c r="I364" s="8" t="s">
        <v>15</v>
      </c>
      <c r="J364" s="7">
        <v>68.400000000000006</v>
      </c>
      <c r="K364" s="7">
        <v>6840</v>
      </c>
    </row>
    <row r="365" spans="2:11" ht="15.75" customHeight="1" x14ac:dyDescent="0.25">
      <c r="B365" s="8">
        <v>129777</v>
      </c>
      <c r="C365" s="8" t="s">
        <v>957</v>
      </c>
      <c r="D365" s="8" t="s">
        <v>958</v>
      </c>
      <c r="E365" s="8" t="s">
        <v>24</v>
      </c>
      <c r="F365" s="8">
        <v>30050</v>
      </c>
      <c r="G365" s="8" t="s">
        <v>32</v>
      </c>
      <c r="H365" s="8" t="s">
        <v>20</v>
      </c>
      <c r="I365" s="8" t="s">
        <v>15</v>
      </c>
      <c r="J365" s="7">
        <v>69.3</v>
      </c>
      <c r="K365" s="7">
        <v>6930</v>
      </c>
    </row>
    <row r="366" spans="2:11" ht="15.75" customHeight="1" x14ac:dyDescent="0.25">
      <c r="B366" s="8">
        <v>21759</v>
      </c>
      <c r="C366" s="8" t="s">
        <v>957</v>
      </c>
      <c r="D366" s="8" t="s">
        <v>339</v>
      </c>
      <c r="E366" s="8" t="s">
        <v>24</v>
      </c>
      <c r="F366" s="8">
        <v>31413</v>
      </c>
      <c r="G366" s="8" t="s">
        <v>31</v>
      </c>
      <c r="H366" s="8" t="s">
        <v>20</v>
      </c>
      <c r="I366" s="8" t="s">
        <v>15</v>
      </c>
      <c r="J366" s="7">
        <v>55</v>
      </c>
      <c r="K366" s="7">
        <v>5500</v>
      </c>
    </row>
    <row r="367" spans="2:11" ht="15.75" customHeight="1" x14ac:dyDescent="0.25">
      <c r="B367" s="8">
        <v>20875</v>
      </c>
      <c r="C367" s="8" t="s">
        <v>957</v>
      </c>
      <c r="D367" s="8" t="s">
        <v>339</v>
      </c>
      <c r="E367" s="8" t="s">
        <v>12</v>
      </c>
      <c r="F367" s="8">
        <v>29343</v>
      </c>
      <c r="G367" s="8" t="s">
        <v>118</v>
      </c>
      <c r="H367" s="8" t="s">
        <v>20</v>
      </c>
      <c r="I367" s="8" t="s">
        <v>15</v>
      </c>
      <c r="J367" s="7">
        <v>53.04</v>
      </c>
      <c r="K367" s="7">
        <v>5304</v>
      </c>
    </row>
    <row r="368" spans="2:11" ht="15.75" customHeight="1" x14ac:dyDescent="0.25">
      <c r="B368" s="8">
        <v>129446</v>
      </c>
      <c r="C368" s="8" t="s">
        <v>971</v>
      </c>
      <c r="D368" s="8" t="s">
        <v>972</v>
      </c>
      <c r="E368" s="8" t="s">
        <v>12</v>
      </c>
      <c r="F368" s="8">
        <v>21675</v>
      </c>
      <c r="G368" s="8" t="s">
        <v>124</v>
      </c>
      <c r="H368" s="8" t="s">
        <v>14</v>
      </c>
      <c r="I368" s="8" t="s">
        <v>15</v>
      </c>
      <c r="J368" s="7">
        <v>55</v>
      </c>
      <c r="K368" s="7">
        <v>5500</v>
      </c>
    </row>
    <row r="369" spans="2:11" ht="15.75" customHeight="1" x14ac:dyDescent="0.25">
      <c r="B369" s="8">
        <v>129858</v>
      </c>
      <c r="C369" s="8" t="s">
        <v>971</v>
      </c>
      <c r="D369" s="8" t="s">
        <v>454</v>
      </c>
      <c r="E369" s="8" t="s">
        <v>12</v>
      </c>
      <c r="F369" s="8">
        <v>29453</v>
      </c>
      <c r="G369" s="8" t="s">
        <v>46</v>
      </c>
      <c r="H369" s="8" t="s">
        <v>35</v>
      </c>
      <c r="I369" s="8" t="s">
        <v>15</v>
      </c>
      <c r="J369" s="7">
        <v>52</v>
      </c>
      <c r="K369" s="7">
        <v>5200</v>
      </c>
    </row>
    <row r="370" spans="2:11" ht="15.75" customHeight="1" x14ac:dyDescent="0.25">
      <c r="B370" s="8">
        <v>124337</v>
      </c>
      <c r="C370" s="8" t="s">
        <v>978</v>
      </c>
      <c r="D370" s="8" t="s">
        <v>339</v>
      </c>
      <c r="E370" s="8" t="s">
        <v>24</v>
      </c>
      <c r="F370" s="8">
        <v>23743</v>
      </c>
      <c r="G370" s="8" t="s">
        <v>46</v>
      </c>
      <c r="H370" s="8" t="s">
        <v>35</v>
      </c>
      <c r="I370" s="8" t="s">
        <v>15</v>
      </c>
      <c r="J370" s="7">
        <v>50</v>
      </c>
      <c r="K370" s="7">
        <v>5000</v>
      </c>
    </row>
    <row r="371" spans="2:11" ht="15.75" customHeight="1" x14ac:dyDescent="0.25">
      <c r="B371" s="8">
        <v>25535</v>
      </c>
      <c r="C371" s="8" t="s">
        <v>975</v>
      </c>
      <c r="D371" s="8" t="s">
        <v>976</v>
      </c>
      <c r="E371" s="8" t="s">
        <v>24</v>
      </c>
      <c r="F371" s="8">
        <v>29469</v>
      </c>
      <c r="G371" s="8" t="s">
        <v>19</v>
      </c>
      <c r="H371" s="8" t="s">
        <v>20</v>
      </c>
      <c r="I371" s="8" t="s">
        <v>15</v>
      </c>
      <c r="J371" s="7">
        <v>51</v>
      </c>
      <c r="K371" s="7">
        <v>5100</v>
      </c>
    </row>
    <row r="372" spans="2:11" ht="15.75" customHeight="1" x14ac:dyDescent="0.25">
      <c r="B372" s="8">
        <v>21283</v>
      </c>
      <c r="C372" s="8" t="s">
        <v>965</v>
      </c>
      <c r="D372" s="8" t="s">
        <v>979</v>
      </c>
      <c r="E372" s="8" t="s">
        <v>12</v>
      </c>
      <c r="F372" s="8">
        <v>19952</v>
      </c>
      <c r="G372" s="8" t="s">
        <v>57</v>
      </c>
      <c r="H372" s="8" t="s">
        <v>35</v>
      </c>
      <c r="I372" s="8" t="s">
        <v>15</v>
      </c>
      <c r="J372" s="7">
        <v>48.96</v>
      </c>
      <c r="K372" s="7">
        <v>4896</v>
      </c>
    </row>
    <row r="373" spans="2:11" ht="15.75" customHeight="1" x14ac:dyDescent="0.25">
      <c r="B373" s="8">
        <v>26811</v>
      </c>
      <c r="C373" s="8" t="s">
        <v>973</v>
      </c>
      <c r="D373" s="8" t="s">
        <v>974</v>
      </c>
      <c r="E373" s="8" t="s">
        <v>12</v>
      </c>
      <c r="F373" s="8">
        <v>26817</v>
      </c>
      <c r="G373" s="8" t="s">
        <v>60</v>
      </c>
      <c r="H373" s="8" t="s">
        <v>20</v>
      </c>
      <c r="I373" s="8" t="s">
        <v>15</v>
      </c>
      <c r="J373" s="7">
        <v>52.2</v>
      </c>
      <c r="K373" s="7">
        <v>5220</v>
      </c>
    </row>
    <row r="374" spans="2:11" ht="15.75" customHeight="1" x14ac:dyDescent="0.25">
      <c r="B374" s="8">
        <v>21089</v>
      </c>
      <c r="C374" s="8" t="s">
        <v>981</v>
      </c>
      <c r="D374" s="8" t="s">
        <v>780</v>
      </c>
      <c r="E374" s="8" t="s">
        <v>12</v>
      </c>
      <c r="F374" s="8">
        <v>27810</v>
      </c>
      <c r="G374" s="8" t="s">
        <v>19</v>
      </c>
      <c r="H374" s="8" t="s">
        <v>20</v>
      </c>
      <c r="I374" s="8" t="s">
        <v>15</v>
      </c>
      <c r="J374" s="7">
        <v>45</v>
      </c>
      <c r="K374" s="7">
        <v>4500</v>
      </c>
    </row>
    <row r="375" spans="2:11" ht="15.75" customHeight="1" x14ac:dyDescent="0.25">
      <c r="B375" s="8">
        <v>20529</v>
      </c>
      <c r="C375" s="8" t="s">
        <v>983</v>
      </c>
      <c r="D375" s="8" t="s">
        <v>341</v>
      </c>
      <c r="E375" s="8" t="s">
        <v>12</v>
      </c>
      <c r="F375" s="8">
        <v>32224</v>
      </c>
      <c r="G375" s="8" t="s">
        <v>48</v>
      </c>
      <c r="H375" s="8" t="s">
        <v>20</v>
      </c>
      <c r="I375" s="8" t="s">
        <v>15</v>
      </c>
      <c r="J375" s="7">
        <v>38.64</v>
      </c>
      <c r="K375" s="7">
        <v>3864</v>
      </c>
    </row>
    <row r="376" spans="2:11" ht="15.75" customHeight="1" x14ac:dyDescent="0.25">
      <c r="B376" s="8">
        <v>122594</v>
      </c>
      <c r="C376" s="8" t="s">
        <v>983</v>
      </c>
      <c r="D376" s="8" t="s">
        <v>984</v>
      </c>
      <c r="E376" s="8" t="s">
        <v>12</v>
      </c>
      <c r="F376" s="8">
        <v>32808</v>
      </c>
      <c r="G376" s="8" t="s">
        <v>60</v>
      </c>
      <c r="H376" s="8" t="s">
        <v>20</v>
      </c>
      <c r="I376" s="8" t="s">
        <v>15</v>
      </c>
      <c r="J376" s="7">
        <v>42.16</v>
      </c>
      <c r="K376" s="7">
        <v>4216</v>
      </c>
    </row>
    <row r="377" spans="2:11" ht="15.75" customHeight="1" x14ac:dyDescent="0.25">
      <c r="B377" s="8">
        <v>139532</v>
      </c>
      <c r="C377" s="8" t="s">
        <v>983</v>
      </c>
      <c r="D377" s="8" t="s">
        <v>985</v>
      </c>
      <c r="E377" s="8" t="s">
        <v>12</v>
      </c>
      <c r="F377" s="8">
        <v>24590</v>
      </c>
      <c r="G377" s="8" t="s">
        <v>130</v>
      </c>
      <c r="H377" s="8" t="s">
        <v>20</v>
      </c>
      <c r="I377" s="8" t="s">
        <v>15</v>
      </c>
      <c r="J377" s="7">
        <v>32</v>
      </c>
      <c r="K377" s="7">
        <v>3200</v>
      </c>
    </row>
    <row r="378" spans="2:11" ht="15.75" customHeight="1" x14ac:dyDescent="0.25">
      <c r="B378" s="8">
        <v>22076</v>
      </c>
      <c r="C378" s="8" t="s">
        <v>983</v>
      </c>
      <c r="D378" s="8" t="s">
        <v>988</v>
      </c>
      <c r="E378" s="8" t="s">
        <v>12</v>
      </c>
      <c r="F378" s="8">
        <v>29757</v>
      </c>
      <c r="G378" s="8" t="s">
        <v>75</v>
      </c>
      <c r="H378" s="8" t="s">
        <v>20</v>
      </c>
      <c r="I378" s="8" t="s">
        <v>15</v>
      </c>
      <c r="J378" s="7">
        <v>27.93</v>
      </c>
      <c r="K378" s="7">
        <v>2793</v>
      </c>
    </row>
    <row r="379" spans="2:11" ht="15.75" customHeight="1" x14ac:dyDescent="0.25">
      <c r="B379" s="8">
        <v>94257</v>
      </c>
      <c r="C379" s="8" t="s">
        <v>983</v>
      </c>
      <c r="D379" s="8" t="s">
        <v>408</v>
      </c>
      <c r="E379" s="8" t="s">
        <v>12</v>
      </c>
      <c r="F379" s="8">
        <v>32706</v>
      </c>
      <c r="G379" s="8" t="s">
        <v>186</v>
      </c>
      <c r="H379" s="8" t="s">
        <v>20</v>
      </c>
      <c r="I379" s="8" t="s">
        <v>15</v>
      </c>
      <c r="J379" s="7">
        <v>26.95</v>
      </c>
      <c r="K379" s="7">
        <v>2695</v>
      </c>
    </row>
    <row r="380" spans="2:11" ht="15.75" customHeight="1" x14ac:dyDescent="0.25">
      <c r="B380" s="8">
        <v>22085</v>
      </c>
      <c r="C380" s="8" t="s">
        <v>986</v>
      </c>
      <c r="D380" s="8" t="s">
        <v>989</v>
      </c>
      <c r="E380" s="8" t="s">
        <v>12</v>
      </c>
      <c r="F380" s="8">
        <v>27805</v>
      </c>
      <c r="G380" s="8" t="s">
        <v>186</v>
      </c>
      <c r="H380" s="8" t="s">
        <v>20</v>
      </c>
      <c r="I380" s="8" t="s">
        <v>15</v>
      </c>
      <c r="J380" s="7">
        <v>25.97</v>
      </c>
      <c r="K380" s="7">
        <v>2597</v>
      </c>
    </row>
    <row r="381" spans="2:11" ht="15.75" customHeight="1" x14ac:dyDescent="0.25">
      <c r="B381" s="8">
        <v>125335</v>
      </c>
      <c r="C381" s="8" t="s">
        <v>986</v>
      </c>
      <c r="D381" s="8" t="s">
        <v>990</v>
      </c>
      <c r="E381" s="8" t="s">
        <v>12</v>
      </c>
      <c r="F381" s="8">
        <v>28104</v>
      </c>
      <c r="G381" s="8" t="s">
        <v>30</v>
      </c>
      <c r="H381" s="8" t="s">
        <v>20</v>
      </c>
      <c r="I381" s="8" t="s">
        <v>15</v>
      </c>
      <c r="J381" s="7">
        <v>24.96</v>
      </c>
      <c r="K381" s="7">
        <v>2496</v>
      </c>
    </row>
    <row r="382" spans="2:11" ht="15.75" customHeight="1" x14ac:dyDescent="0.25">
      <c r="B382" s="8">
        <v>24335</v>
      </c>
      <c r="C382" s="8" t="s">
        <v>991</v>
      </c>
      <c r="D382" s="8" t="s">
        <v>993</v>
      </c>
      <c r="E382" s="8" t="s">
        <v>12</v>
      </c>
      <c r="F382" s="8">
        <v>30939</v>
      </c>
      <c r="G382" s="8" t="s">
        <v>33</v>
      </c>
      <c r="H382" s="8" t="s">
        <v>20</v>
      </c>
      <c r="I382" s="8" t="s">
        <v>15</v>
      </c>
      <c r="J382" s="7">
        <v>16.8</v>
      </c>
      <c r="K382" s="7">
        <v>1680</v>
      </c>
    </row>
    <row r="383" spans="2:11" ht="15.75" customHeight="1" x14ac:dyDescent="0.25">
      <c r="B383" s="8">
        <v>134874</v>
      </c>
      <c r="C383" s="8" t="s">
        <v>991</v>
      </c>
      <c r="D383" s="8" t="s">
        <v>339</v>
      </c>
      <c r="E383" s="8" t="s">
        <v>12</v>
      </c>
      <c r="F383" s="8">
        <v>28825</v>
      </c>
      <c r="G383" s="8" t="s">
        <v>41</v>
      </c>
      <c r="H383" s="8" t="s">
        <v>20</v>
      </c>
      <c r="I383" s="8" t="s">
        <v>15</v>
      </c>
      <c r="J383" s="7">
        <v>17.010000000000002</v>
      </c>
      <c r="K383" s="7">
        <v>1701</v>
      </c>
    </row>
    <row r="384" spans="2:11" ht="15.75" customHeight="1" x14ac:dyDescent="0.25">
      <c r="B384" s="8">
        <v>131079</v>
      </c>
      <c r="C384" s="8" t="s">
        <v>998</v>
      </c>
      <c r="D384" s="8" t="s">
        <v>999</v>
      </c>
      <c r="E384" s="8" t="s">
        <v>12</v>
      </c>
      <c r="F384" s="8">
        <v>31547</v>
      </c>
      <c r="G384" s="8" t="s">
        <v>118</v>
      </c>
      <c r="H384" s="8" t="s">
        <v>20</v>
      </c>
      <c r="I384" s="8" t="s">
        <v>15</v>
      </c>
      <c r="J384" s="7">
        <v>5.83</v>
      </c>
      <c r="K384" s="7">
        <v>583</v>
      </c>
    </row>
    <row r="385" spans="2:11" ht="15.75" customHeight="1" x14ac:dyDescent="0.25">
      <c r="B385" s="8">
        <v>20513</v>
      </c>
      <c r="C385" s="8" t="s">
        <v>303</v>
      </c>
      <c r="D385" s="8" t="s">
        <v>307</v>
      </c>
      <c r="E385" s="8" t="s">
        <v>12</v>
      </c>
      <c r="F385" s="8">
        <v>29221</v>
      </c>
      <c r="G385" s="8" t="s">
        <v>21</v>
      </c>
      <c r="H385" s="8" t="s">
        <v>22</v>
      </c>
      <c r="I385" s="8" t="s">
        <v>23</v>
      </c>
      <c r="J385" s="7">
        <v>16364.28</v>
      </c>
      <c r="K385" s="7">
        <v>1636428</v>
      </c>
    </row>
    <row r="386" spans="2:11" ht="15.75" customHeight="1" x14ac:dyDescent="0.25">
      <c r="B386" s="8">
        <v>128245</v>
      </c>
      <c r="C386" s="8" t="s">
        <v>312</v>
      </c>
      <c r="D386" s="8" t="s">
        <v>313</v>
      </c>
      <c r="E386" s="8" t="s">
        <v>12</v>
      </c>
      <c r="F386" s="8">
        <v>28642</v>
      </c>
      <c r="G386" s="8" t="s">
        <v>27</v>
      </c>
      <c r="H386" s="8" t="s">
        <v>28</v>
      </c>
      <c r="I386" s="8" t="s">
        <v>23</v>
      </c>
      <c r="J386" s="7">
        <v>12402.48</v>
      </c>
      <c r="K386" s="7">
        <v>1240248</v>
      </c>
    </row>
    <row r="387" spans="2:11" ht="15.75" customHeight="1" x14ac:dyDescent="0.25">
      <c r="B387" s="8">
        <v>122186</v>
      </c>
      <c r="C387" s="8" t="s">
        <v>308</v>
      </c>
      <c r="D387" s="8" t="s">
        <v>309</v>
      </c>
      <c r="E387" s="8" t="s">
        <v>24</v>
      </c>
      <c r="F387" s="8">
        <v>32248</v>
      </c>
      <c r="G387" s="8" t="s">
        <v>25</v>
      </c>
      <c r="H387" s="8" t="s">
        <v>26</v>
      </c>
      <c r="I387" s="8" t="s">
        <v>23</v>
      </c>
      <c r="J387" s="7">
        <v>12800</v>
      </c>
      <c r="K387" s="7">
        <v>1280000</v>
      </c>
    </row>
    <row r="388" spans="2:11" ht="15.75" customHeight="1" x14ac:dyDescent="0.25">
      <c r="B388" s="8">
        <v>122822</v>
      </c>
      <c r="C388" s="8" t="s">
        <v>342</v>
      </c>
      <c r="D388" s="8" t="s">
        <v>343</v>
      </c>
      <c r="E388" s="8" t="s">
        <v>12</v>
      </c>
      <c r="F388" s="8">
        <v>28351</v>
      </c>
      <c r="G388" s="8" t="s">
        <v>45</v>
      </c>
      <c r="H388" s="8" t="s">
        <v>28</v>
      </c>
      <c r="I388" s="8" t="s">
        <v>23</v>
      </c>
      <c r="J388" s="7">
        <v>5499.45</v>
      </c>
      <c r="K388" s="7">
        <v>549945</v>
      </c>
    </row>
    <row r="389" spans="2:11" ht="15.75" customHeight="1" x14ac:dyDescent="0.25">
      <c r="B389" s="8">
        <v>41490</v>
      </c>
      <c r="C389" s="8" t="s">
        <v>351</v>
      </c>
      <c r="D389" s="8" t="s">
        <v>352</v>
      </c>
      <c r="E389" s="8" t="s">
        <v>12</v>
      </c>
      <c r="F389" s="8">
        <v>19457</v>
      </c>
      <c r="G389" s="8" t="s">
        <v>25</v>
      </c>
      <c r="H389" s="8" t="s">
        <v>26</v>
      </c>
      <c r="I389" s="8" t="s">
        <v>23</v>
      </c>
      <c r="J389" s="7">
        <v>4968.4799999999996</v>
      </c>
      <c r="K389" s="7">
        <v>496848</v>
      </c>
    </row>
    <row r="390" spans="2:11" ht="15.75" customHeight="1" x14ac:dyDescent="0.25">
      <c r="B390" s="8">
        <v>123939</v>
      </c>
      <c r="C390" s="8" t="s">
        <v>351</v>
      </c>
      <c r="D390" s="8" t="s">
        <v>358</v>
      </c>
      <c r="E390" s="8" t="s">
        <v>12</v>
      </c>
      <c r="F390" s="8">
        <v>32874</v>
      </c>
      <c r="G390" s="8" t="s">
        <v>45</v>
      </c>
      <c r="H390" s="8" t="s">
        <v>28</v>
      </c>
      <c r="I390" s="8" t="s">
        <v>23</v>
      </c>
      <c r="J390" s="7">
        <v>4242.55</v>
      </c>
      <c r="K390" s="7">
        <v>424255</v>
      </c>
    </row>
    <row r="391" spans="2:11" ht="15.75" customHeight="1" x14ac:dyDescent="0.25">
      <c r="B391" s="8">
        <v>124191</v>
      </c>
      <c r="C391" s="8" t="s">
        <v>316</v>
      </c>
      <c r="D391" s="8" t="s">
        <v>366</v>
      </c>
      <c r="E391" s="8" t="s">
        <v>12</v>
      </c>
      <c r="F391" s="8">
        <v>35312</v>
      </c>
      <c r="G391" s="8" t="s">
        <v>61</v>
      </c>
      <c r="H391" s="8" t="s">
        <v>26</v>
      </c>
      <c r="I391" s="8" t="s">
        <v>23</v>
      </c>
      <c r="J391" s="7">
        <v>3627.67</v>
      </c>
      <c r="K391" s="7">
        <v>362767</v>
      </c>
    </row>
    <row r="392" spans="2:11" ht="15.75" customHeight="1" x14ac:dyDescent="0.25">
      <c r="B392" s="8">
        <v>25437</v>
      </c>
      <c r="C392" s="8" t="s">
        <v>316</v>
      </c>
      <c r="D392" s="8" t="s">
        <v>376</v>
      </c>
      <c r="E392" s="8" t="s">
        <v>12</v>
      </c>
      <c r="F392" s="8">
        <v>30097</v>
      </c>
      <c r="G392" s="8" t="s">
        <v>65</v>
      </c>
      <c r="H392" s="8" t="s">
        <v>17</v>
      </c>
      <c r="I392" s="8" t="s">
        <v>23</v>
      </c>
      <c r="J392" s="7">
        <v>3114.28</v>
      </c>
      <c r="K392" s="7">
        <v>311428</v>
      </c>
    </row>
    <row r="393" spans="2:11" ht="15.75" customHeight="1" x14ac:dyDescent="0.25">
      <c r="B393" s="8">
        <v>22036</v>
      </c>
      <c r="C393" s="8" t="s">
        <v>316</v>
      </c>
      <c r="D393" s="8" t="s">
        <v>339</v>
      </c>
      <c r="E393" s="8" t="s">
        <v>12</v>
      </c>
      <c r="F393" s="8">
        <v>22799</v>
      </c>
      <c r="G393" s="8" t="s">
        <v>25</v>
      </c>
      <c r="H393" s="8" t="s">
        <v>26</v>
      </c>
      <c r="I393" s="8" t="s">
        <v>23</v>
      </c>
      <c r="J393" s="7">
        <v>3245.76</v>
      </c>
      <c r="K393" s="7">
        <v>324576</v>
      </c>
    </row>
    <row r="394" spans="2:11" ht="15.75" customHeight="1" x14ac:dyDescent="0.25">
      <c r="B394" s="8">
        <v>127029</v>
      </c>
      <c r="C394" s="8" t="s">
        <v>316</v>
      </c>
      <c r="D394" s="8" t="s">
        <v>363</v>
      </c>
      <c r="E394" s="8" t="s">
        <v>12</v>
      </c>
      <c r="F394" s="8">
        <v>31798</v>
      </c>
      <c r="G394" s="8" t="s">
        <v>59</v>
      </c>
      <c r="H394" s="8" t="s">
        <v>28</v>
      </c>
      <c r="I394" s="8" t="s">
        <v>23</v>
      </c>
      <c r="J394" s="7">
        <v>3727.1</v>
      </c>
      <c r="K394" s="7">
        <v>372710</v>
      </c>
    </row>
    <row r="395" spans="2:11" ht="15.75" customHeight="1" x14ac:dyDescent="0.25">
      <c r="B395" s="8">
        <v>31074</v>
      </c>
      <c r="C395" s="8" t="s">
        <v>380</v>
      </c>
      <c r="D395" s="8" t="s">
        <v>381</v>
      </c>
      <c r="E395" s="8" t="s">
        <v>12</v>
      </c>
      <c r="F395" s="8">
        <v>33297</v>
      </c>
      <c r="G395" s="8" t="s">
        <v>68</v>
      </c>
      <c r="H395" s="8" t="s">
        <v>28</v>
      </c>
      <c r="I395" s="8" t="s">
        <v>23</v>
      </c>
      <c r="J395" s="7">
        <v>2907.52</v>
      </c>
      <c r="K395" s="7">
        <v>290752</v>
      </c>
    </row>
    <row r="396" spans="2:11" ht="15.75" customHeight="1" x14ac:dyDescent="0.25">
      <c r="B396" s="8">
        <v>129557</v>
      </c>
      <c r="C396" s="8" t="s">
        <v>371</v>
      </c>
      <c r="D396" s="8" t="s">
        <v>382</v>
      </c>
      <c r="E396" s="8" t="s">
        <v>24</v>
      </c>
      <c r="F396" s="8">
        <v>29351</v>
      </c>
      <c r="G396" s="8" t="s">
        <v>65</v>
      </c>
      <c r="H396" s="8" t="s">
        <v>17</v>
      </c>
      <c r="I396" s="8" t="s">
        <v>23</v>
      </c>
      <c r="J396" s="7">
        <v>2889.6</v>
      </c>
      <c r="K396" s="7">
        <v>288960</v>
      </c>
    </row>
    <row r="397" spans="2:11" ht="15.75" customHeight="1" x14ac:dyDescent="0.25">
      <c r="B397" s="8">
        <v>21389</v>
      </c>
      <c r="C397" s="8" t="s">
        <v>377</v>
      </c>
      <c r="D397" s="8" t="s">
        <v>339</v>
      </c>
      <c r="E397" s="8" t="s">
        <v>24</v>
      </c>
      <c r="F397" s="8">
        <v>25134</v>
      </c>
      <c r="G397" s="8" t="s">
        <v>66</v>
      </c>
      <c r="H397" s="8" t="s">
        <v>26</v>
      </c>
      <c r="I397" s="8" t="s">
        <v>23</v>
      </c>
      <c r="J397" s="7">
        <v>3049.39</v>
      </c>
      <c r="K397" s="7">
        <v>304939</v>
      </c>
    </row>
    <row r="398" spans="2:11" ht="15.75" customHeight="1" x14ac:dyDescent="0.25">
      <c r="B398" s="8">
        <v>126870</v>
      </c>
      <c r="C398" s="8" t="s">
        <v>378</v>
      </c>
      <c r="D398" s="8" t="s">
        <v>379</v>
      </c>
      <c r="E398" s="8" t="s">
        <v>12</v>
      </c>
      <c r="F398" s="8">
        <v>29342</v>
      </c>
      <c r="G398" s="8" t="s">
        <v>67</v>
      </c>
      <c r="H398" s="8" t="s">
        <v>67</v>
      </c>
      <c r="I398" s="8" t="s">
        <v>23</v>
      </c>
      <c r="J398" s="7">
        <v>3006.96</v>
      </c>
      <c r="K398" s="7">
        <v>300696</v>
      </c>
    </row>
    <row r="399" spans="2:11" ht="15.75" customHeight="1" x14ac:dyDescent="0.25">
      <c r="B399" s="8">
        <v>127817</v>
      </c>
      <c r="C399" s="8" t="s">
        <v>393</v>
      </c>
      <c r="D399" s="8" t="s">
        <v>409</v>
      </c>
      <c r="E399" s="8" t="s">
        <v>12</v>
      </c>
      <c r="F399" s="8">
        <v>23590</v>
      </c>
      <c r="G399" s="8" t="s">
        <v>80</v>
      </c>
      <c r="H399" s="8" t="s">
        <v>26</v>
      </c>
      <c r="I399" s="8" t="s">
        <v>23</v>
      </c>
      <c r="J399" s="7">
        <v>2080</v>
      </c>
      <c r="K399" s="7">
        <v>208000</v>
      </c>
    </row>
    <row r="400" spans="2:11" ht="15.75" customHeight="1" x14ac:dyDescent="0.25">
      <c r="B400" s="8">
        <v>20995</v>
      </c>
      <c r="C400" s="8" t="s">
        <v>389</v>
      </c>
      <c r="D400" s="8" t="s">
        <v>390</v>
      </c>
      <c r="E400" s="8" t="s">
        <v>24</v>
      </c>
      <c r="F400" s="8">
        <v>26562</v>
      </c>
      <c r="G400" s="8" t="s">
        <v>73</v>
      </c>
      <c r="H400" s="8" t="s">
        <v>74</v>
      </c>
      <c r="I400" s="8" t="s">
        <v>23</v>
      </c>
      <c r="J400" s="7">
        <v>2553.39</v>
      </c>
      <c r="K400" s="7">
        <v>255339</v>
      </c>
    </row>
    <row r="401" spans="2:11" ht="15.75" customHeight="1" x14ac:dyDescent="0.25">
      <c r="B401" s="8">
        <v>129382</v>
      </c>
      <c r="C401" s="8" t="s">
        <v>402</v>
      </c>
      <c r="D401" s="8" t="s">
        <v>403</v>
      </c>
      <c r="E401" s="8" t="s">
        <v>12</v>
      </c>
      <c r="F401" s="8">
        <v>22074</v>
      </c>
      <c r="G401" s="8" t="s">
        <v>77</v>
      </c>
      <c r="H401" s="8" t="s">
        <v>26</v>
      </c>
      <c r="I401" s="8" t="s">
        <v>23</v>
      </c>
      <c r="J401" s="7">
        <v>2268</v>
      </c>
      <c r="K401" s="7">
        <v>226800</v>
      </c>
    </row>
    <row r="402" spans="2:11" ht="15.75" customHeight="1" x14ac:dyDescent="0.25">
      <c r="B402" s="8">
        <v>25689</v>
      </c>
      <c r="C402" s="8" t="s">
        <v>399</v>
      </c>
      <c r="D402" s="8" t="s">
        <v>404</v>
      </c>
      <c r="E402" s="8" t="s">
        <v>12</v>
      </c>
      <c r="F402" s="8">
        <v>29865</v>
      </c>
      <c r="G402" s="8" t="s">
        <v>61</v>
      </c>
      <c r="H402" s="8" t="s">
        <v>26</v>
      </c>
      <c r="I402" s="8" t="s">
        <v>23</v>
      </c>
      <c r="J402" s="7">
        <v>2231.46</v>
      </c>
      <c r="K402" s="7">
        <v>223146</v>
      </c>
    </row>
    <row r="403" spans="2:11" ht="15.75" customHeight="1" x14ac:dyDescent="0.25">
      <c r="B403" s="8">
        <v>20786</v>
      </c>
      <c r="C403" s="8" t="s">
        <v>411</v>
      </c>
      <c r="D403" s="8" t="s">
        <v>412</v>
      </c>
      <c r="E403" s="8" t="s">
        <v>24</v>
      </c>
      <c r="F403" s="8">
        <v>29989</v>
      </c>
      <c r="G403" s="8" t="s">
        <v>82</v>
      </c>
      <c r="H403" s="8" t="s">
        <v>22</v>
      </c>
      <c r="I403" s="8" t="s">
        <v>23</v>
      </c>
      <c r="J403" s="7">
        <v>2027.35</v>
      </c>
      <c r="K403" s="7">
        <v>202735</v>
      </c>
    </row>
    <row r="404" spans="2:11" ht="15.75" customHeight="1" x14ac:dyDescent="0.25">
      <c r="B404" s="8">
        <v>25330</v>
      </c>
      <c r="C404" s="8" t="s">
        <v>423</v>
      </c>
      <c r="D404" s="8" t="s">
        <v>406</v>
      </c>
      <c r="E404" s="8" t="s">
        <v>12</v>
      </c>
      <c r="F404" s="8">
        <v>29057</v>
      </c>
      <c r="G404" s="8" t="s">
        <v>61</v>
      </c>
      <c r="H404" s="8" t="s">
        <v>26</v>
      </c>
      <c r="I404" s="8" t="s">
        <v>23</v>
      </c>
      <c r="J404" s="7">
        <v>1764.72</v>
      </c>
      <c r="K404" s="7">
        <v>176472</v>
      </c>
    </row>
    <row r="405" spans="2:11" ht="15.75" customHeight="1" x14ac:dyDescent="0.25">
      <c r="B405" s="8">
        <v>20947</v>
      </c>
      <c r="C405" s="8" t="s">
        <v>413</v>
      </c>
      <c r="D405" s="8" t="s">
        <v>415</v>
      </c>
      <c r="E405" s="8" t="s">
        <v>12</v>
      </c>
      <c r="F405" s="8">
        <v>28217</v>
      </c>
      <c r="G405" s="8" t="s">
        <v>87</v>
      </c>
      <c r="H405" s="8" t="s">
        <v>28</v>
      </c>
      <c r="I405" s="8" t="s">
        <v>23</v>
      </c>
      <c r="J405" s="7">
        <v>1890</v>
      </c>
      <c r="K405" s="7">
        <v>189000</v>
      </c>
    </row>
    <row r="406" spans="2:11" ht="15.75" customHeight="1" x14ac:dyDescent="0.25">
      <c r="B406" s="8">
        <v>23980</v>
      </c>
      <c r="C406" s="8" t="s">
        <v>413</v>
      </c>
      <c r="D406" s="8" t="s">
        <v>437</v>
      </c>
      <c r="E406" s="8" t="s">
        <v>12</v>
      </c>
      <c r="F406" s="8">
        <v>27865</v>
      </c>
      <c r="G406" s="8" t="s">
        <v>94</v>
      </c>
      <c r="H406" s="8" t="s">
        <v>28</v>
      </c>
      <c r="I406" s="8" t="s">
        <v>23</v>
      </c>
      <c r="J406" s="7">
        <v>1650</v>
      </c>
      <c r="K406" s="7">
        <v>165000</v>
      </c>
    </row>
    <row r="407" spans="2:11" ht="15.75" customHeight="1" x14ac:dyDescent="0.25">
      <c r="B407" s="8">
        <v>23131</v>
      </c>
      <c r="C407" s="8" t="s">
        <v>438</v>
      </c>
      <c r="D407" s="8" t="s">
        <v>372</v>
      </c>
      <c r="E407" s="8" t="s">
        <v>12</v>
      </c>
      <c r="F407" s="8">
        <v>33</v>
      </c>
      <c r="G407" s="8" t="s">
        <v>95</v>
      </c>
      <c r="H407" s="8" t="s">
        <v>28</v>
      </c>
      <c r="I407" s="8" t="s">
        <v>23</v>
      </c>
      <c r="J407" s="7">
        <v>1650</v>
      </c>
      <c r="K407" s="7">
        <v>165000</v>
      </c>
    </row>
    <row r="408" spans="2:11" ht="15.75" customHeight="1" x14ac:dyDescent="0.25">
      <c r="B408" s="8">
        <v>25285</v>
      </c>
      <c r="C408" s="8" t="s">
        <v>431</v>
      </c>
      <c r="D408" s="8" t="s">
        <v>432</v>
      </c>
      <c r="E408" s="8" t="s">
        <v>12</v>
      </c>
      <c r="F408" s="8">
        <v>20009</v>
      </c>
      <c r="G408" s="8" t="s">
        <v>80</v>
      </c>
      <c r="H408" s="8" t="s">
        <v>26</v>
      </c>
      <c r="I408" s="8" t="s">
        <v>23</v>
      </c>
      <c r="J408" s="7">
        <v>1663.47</v>
      </c>
      <c r="K408" s="7">
        <v>166347</v>
      </c>
    </row>
    <row r="409" spans="2:11" ht="15.75" customHeight="1" x14ac:dyDescent="0.25">
      <c r="B409" s="8">
        <v>20463</v>
      </c>
      <c r="C409" s="8" t="s">
        <v>429</v>
      </c>
      <c r="D409" s="8" t="s">
        <v>430</v>
      </c>
      <c r="E409" s="8" t="s">
        <v>12</v>
      </c>
      <c r="F409" s="8">
        <v>28270</v>
      </c>
      <c r="G409" s="8" t="s">
        <v>91</v>
      </c>
      <c r="H409" s="8" t="s">
        <v>22</v>
      </c>
      <c r="I409" s="8" t="s">
        <v>23</v>
      </c>
      <c r="J409" s="7">
        <v>1670.9</v>
      </c>
      <c r="K409" s="7">
        <v>167090</v>
      </c>
    </row>
    <row r="410" spans="2:11" ht="15.75" customHeight="1" x14ac:dyDescent="0.25">
      <c r="B410" s="8">
        <v>27310</v>
      </c>
      <c r="C410" s="8" t="s">
        <v>448</v>
      </c>
      <c r="D410" s="8" t="s">
        <v>454</v>
      </c>
      <c r="E410" s="8" t="s">
        <v>12</v>
      </c>
      <c r="F410" s="8">
        <v>22818</v>
      </c>
      <c r="G410" s="8" t="s">
        <v>80</v>
      </c>
      <c r="H410" s="8" t="s">
        <v>26</v>
      </c>
      <c r="I410" s="8" t="s">
        <v>23</v>
      </c>
      <c r="J410" s="7">
        <v>1437.7</v>
      </c>
      <c r="K410" s="7">
        <v>143770</v>
      </c>
    </row>
    <row r="411" spans="2:11" ht="15.75" customHeight="1" x14ac:dyDescent="0.25">
      <c r="B411" s="8">
        <v>123827</v>
      </c>
      <c r="C411" s="8" t="s">
        <v>448</v>
      </c>
      <c r="D411" s="8" t="s">
        <v>471</v>
      </c>
      <c r="E411" s="8" t="s">
        <v>12</v>
      </c>
      <c r="F411" s="8">
        <v>30941</v>
      </c>
      <c r="G411" s="8" t="s">
        <v>27</v>
      </c>
      <c r="H411" s="8" t="s">
        <v>28</v>
      </c>
      <c r="I411" s="8" t="s">
        <v>23</v>
      </c>
      <c r="J411" s="7">
        <v>1377.47</v>
      </c>
      <c r="K411" s="7">
        <v>137747</v>
      </c>
    </row>
    <row r="412" spans="2:11" ht="15.75" customHeight="1" x14ac:dyDescent="0.25">
      <c r="B412" s="8">
        <v>22557</v>
      </c>
      <c r="C412" s="8" t="s">
        <v>442</v>
      </c>
      <c r="D412" s="8" t="s">
        <v>443</v>
      </c>
      <c r="E412" s="8" t="s">
        <v>12</v>
      </c>
      <c r="F412" s="8">
        <v>33879</v>
      </c>
      <c r="G412" s="8" t="s">
        <v>97</v>
      </c>
      <c r="H412" s="8" t="s">
        <v>26</v>
      </c>
      <c r="I412" s="8" t="s">
        <v>23</v>
      </c>
      <c r="J412" s="7">
        <v>1564.04</v>
      </c>
      <c r="K412" s="7">
        <v>156404</v>
      </c>
    </row>
    <row r="413" spans="2:11" ht="15.75" customHeight="1" x14ac:dyDescent="0.25">
      <c r="B413" s="8">
        <v>133794</v>
      </c>
      <c r="C413" s="8" t="s">
        <v>484</v>
      </c>
      <c r="D413" s="8" t="s">
        <v>485</v>
      </c>
      <c r="E413" s="8" t="s">
        <v>24</v>
      </c>
      <c r="F413" s="8">
        <v>30784</v>
      </c>
      <c r="G413" s="8" t="s">
        <v>105</v>
      </c>
      <c r="H413" s="8" t="s">
        <v>26</v>
      </c>
      <c r="I413" s="8" t="s">
        <v>23</v>
      </c>
      <c r="J413" s="7">
        <v>1250</v>
      </c>
      <c r="K413" s="7">
        <v>125000</v>
      </c>
    </row>
    <row r="414" spans="2:11" ht="15.75" customHeight="1" x14ac:dyDescent="0.25">
      <c r="B414" s="8">
        <v>20492</v>
      </c>
      <c r="C414" s="8" t="s">
        <v>450</v>
      </c>
      <c r="D414" s="8" t="s">
        <v>451</v>
      </c>
      <c r="E414" s="8" t="s">
        <v>12</v>
      </c>
      <c r="F414" s="8">
        <v>22842</v>
      </c>
      <c r="G414" s="8" t="s">
        <v>98</v>
      </c>
      <c r="H414" s="8" t="s">
        <v>28</v>
      </c>
      <c r="I414" s="8" t="s">
        <v>23</v>
      </c>
      <c r="J414" s="7">
        <v>1446</v>
      </c>
      <c r="K414" s="7">
        <v>144600</v>
      </c>
    </row>
    <row r="415" spans="2:11" ht="15.75" customHeight="1" x14ac:dyDescent="0.25">
      <c r="B415" s="8">
        <v>24629</v>
      </c>
      <c r="C415" s="8" t="s">
        <v>477</v>
      </c>
      <c r="D415" s="8" t="s">
        <v>478</v>
      </c>
      <c r="E415" s="8" t="s">
        <v>12</v>
      </c>
      <c r="F415" s="8">
        <v>23500</v>
      </c>
      <c r="G415" s="8" t="s">
        <v>25</v>
      </c>
      <c r="H415" s="8" t="s">
        <v>26</v>
      </c>
      <c r="I415" s="8" t="s">
        <v>23</v>
      </c>
      <c r="J415" s="7">
        <v>1297.08</v>
      </c>
      <c r="K415" s="7">
        <v>129708</v>
      </c>
    </row>
    <row r="416" spans="2:11" ht="15.75" customHeight="1" x14ac:dyDescent="0.25">
      <c r="B416" s="8">
        <v>129289</v>
      </c>
      <c r="C416" s="8" t="s">
        <v>508</v>
      </c>
      <c r="D416" s="8" t="s">
        <v>509</v>
      </c>
      <c r="E416" s="8" t="s">
        <v>12</v>
      </c>
      <c r="F416" s="8">
        <v>27765</v>
      </c>
      <c r="G416" s="8" t="s">
        <v>98</v>
      </c>
      <c r="H416" s="8" t="s">
        <v>28</v>
      </c>
      <c r="I416" s="8" t="s">
        <v>23</v>
      </c>
      <c r="J416" s="7">
        <v>1111.8</v>
      </c>
      <c r="K416" s="7">
        <v>111180</v>
      </c>
    </row>
    <row r="417" spans="2:11" ht="15.75" customHeight="1" x14ac:dyDescent="0.25">
      <c r="B417" s="8">
        <v>21625</v>
      </c>
      <c r="C417" s="8" t="s">
        <v>452</v>
      </c>
      <c r="D417" s="8" t="s">
        <v>453</v>
      </c>
      <c r="E417" s="8" t="s">
        <v>12</v>
      </c>
      <c r="F417" s="8">
        <v>22811</v>
      </c>
      <c r="G417" s="8" t="s">
        <v>73</v>
      </c>
      <c r="H417" s="8" t="s">
        <v>74</v>
      </c>
      <c r="I417" s="8" t="s">
        <v>23</v>
      </c>
      <c r="J417" s="7">
        <v>1438.14</v>
      </c>
      <c r="K417" s="7">
        <v>143814</v>
      </c>
    </row>
    <row r="418" spans="2:11" ht="15.75" customHeight="1" x14ac:dyDescent="0.25">
      <c r="B418" s="8">
        <v>38732</v>
      </c>
      <c r="C418" s="8" t="s">
        <v>467</v>
      </c>
      <c r="D418" s="8" t="s">
        <v>416</v>
      </c>
      <c r="E418" s="8" t="s">
        <v>12</v>
      </c>
      <c r="F418" s="8">
        <v>23746</v>
      </c>
      <c r="G418" s="8" t="s">
        <v>109</v>
      </c>
      <c r="H418" s="8" t="s">
        <v>26</v>
      </c>
      <c r="I418" s="8" t="s">
        <v>23</v>
      </c>
      <c r="J418" s="7">
        <v>1214.81</v>
      </c>
      <c r="K418" s="7">
        <v>121481</v>
      </c>
    </row>
    <row r="419" spans="2:11" ht="15.75" customHeight="1" x14ac:dyDescent="0.25">
      <c r="B419" s="8">
        <v>21620</v>
      </c>
      <c r="C419" s="8" t="s">
        <v>481</v>
      </c>
      <c r="D419" s="8" t="s">
        <v>482</v>
      </c>
      <c r="E419" s="8" t="s">
        <v>12</v>
      </c>
      <c r="F419" s="8">
        <v>26069</v>
      </c>
      <c r="G419" s="8" t="s">
        <v>73</v>
      </c>
      <c r="H419" s="8" t="s">
        <v>74</v>
      </c>
      <c r="I419" s="8" t="s">
        <v>23</v>
      </c>
      <c r="J419" s="7">
        <v>1273.67</v>
      </c>
      <c r="K419" s="7">
        <v>127367</v>
      </c>
    </row>
    <row r="420" spans="2:11" ht="15.75" customHeight="1" x14ac:dyDescent="0.25">
      <c r="B420" s="8">
        <v>128016</v>
      </c>
      <c r="C420" s="8" t="s">
        <v>525</v>
      </c>
      <c r="D420" s="8" t="s">
        <v>526</v>
      </c>
      <c r="E420" s="8" t="s">
        <v>12</v>
      </c>
      <c r="F420" s="8">
        <v>27692</v>
      </c>
      <c r="G420" s="8" t="s">
        <v>68</v>
      </c>
      <c r="H420" s="8" t="s">
        <v>28</v>
      </c>
      <c r="I420" s="8" t="s">
        <v>23</v>
      </c>
      <c r="J420" s="7">
        <v>1026.5999999999999</v>
      </c>
      <c r="K420" s="7">
        <v>102660</v>
      </c>
    </row>
    <row r="421" spans="2:11" ht="15.75" customHeight="1" x14ac:dyDescent="0.25">
      <c r="B421" s="8">
        <v>120830</v>
      </c>
      <c r="C421" s="8" t="s">
        <v>543</v>
      </c>
      <c r="D421" s="8" t="s">
        <v>544</v>
      </c>
      <c r="E421" s="8" t="s">
        <v>12</v>
      </c>
      <c r="F421" s="8">
        <v>27030</v>
      </c>
      <c r="G421" s="8" t="s">
        <v>65</v>
      </c>
      <c r="H421" s="8" t="s">
        <v>17</v>
      </c>
      <c r="I421" s="8" t="s">
        <v>23</v>
      </c>
      <c r="J421" s="7">
        <v>941.76</v>
      </c>
      <c r="K421" s="7">
        <v>94176</v>
      </c>
    </row>
    <row r="422" spans="2:11" ht="15.75" customHeight="1" x14ac:dyDescent="0.25">
      <c r="B422" s="8">
        <v>23699</v>
      </c>
      <c r="C422" s="8" t="s">
        <v>506</v>
      </c>
      <c r="D422" s="8" t="s">
        <v>507</v>
      </c>
      <c r="E422" s="8" t="s">
        <v>24</v>
      </c>
      <c r="F422" s="8">
        <v>27186</v>
      </c>
      <c r="G422" s="8" t="s">
        <v>25</v>
      </c>
      <c r="H422" s="8" t="s">
        <v>26</v>
      </c>
      <c r="I422" s="8" t="s">
        <v>23</v>
      </c>
      <c r="J422" s="7">
        <v>1118.9000000000001</v>
      </c>
      <c r="K422" s="7">
        <v>111890</v>
      </c>
    </row>
    <row r="423" spans="2:11" ht="15.75" customHeight="1" x14ac:dyDescent="0.25">
      <c r="B423" s="8">
        <v>22396</v>
      </c>
      <c r="C423" s="8" t="s">
        <v>555</v>
      </c>
      <c r="D423" s="8" t="s">
        <v>454</v>
      </c>
      <c r="E423" s="8" t="s">
        <v>12</v>
      </c>
      <c r="F423" s="8">
        <v>28682</v>
      </c>
      <c r="G423" s="8" t="s">
        <v>45</v>
      </c>
      <c r="H423" s="8" t="s">
        <v>28</v>
      </c>
      <c r="I423" s="8" t="s">
        <v>23</v>
      </c>
      <c r="J423" s="7">
        <v>875.03</v>
      </c>
      <c r="K423" s="7">
        <v>87503</v>
      </c>
    </row>
    <row r="424" spans="2:11" ht="15.75" customHeight="1" x14ac:dyDescent="0.25">
      <c r="B424" s="8">
        <v>130329</v>
      </c>
      <c r="C424" s="8" t="s">
        <v>553</v>
      </c>
      <c r="D424" s="8" t="s">
        <v>554</v>
      </c>
      <c r="E424" s="8" t="s">
        <v>12</v>
      </c>
      <c r="F424" s="8">
        <v>27205</v>
      </c>
      <c r="G424" s="8" t="s">
        <v>59</v>
      </c>
      <c r="H424" s="8" t="s">
        <v>28</v>
      </c>
      <c r="I424" s="8" t="s">
        <v>23</v>
      </c>
      <c r="J424" s="7">
        <v>887.22</v>
      </c>
      <c r="K424" s="7">
        <v>88722</v>
      </c>
    </row>
    <row r="425" spans="2:11" ht="15.75" customHeight="1" x14ac:dyDescent="0.25">
      <c r="B425" s="8">
        <v>21509</v>
      </c>
      <c r="C425" s="8" t="s">
        <v>533</v>
      </c>
      <c r="D425" s="8" t="s">
        <v>534</v>
      </c>
      <c r="E425" s="8" t="s">
        <v>24</v>
      </c>
      <c r="F425" s="8">
        <v>28486</v>
      </c>
      <c r="G425" s="8" t="s">
        <v>94</v>
      </c>
      <c r="H425" s="8" t="s">
        <v>28</v>
      </c>
      <c r="I425" s="8" t="s">
        <v>23</v>
      </c>
      <c r="J425" s="7">
        <v>1005</v>
      </c>
      <c r="K425" s="7">
        <v>100500</v>
      </c>
    </row>
    <row r="426" spans="2:11" ht="15.75" customHeight="1" x14ac:dyDescent="0.25">
      <c r="B426" s="8">
        <v>129792</v>
      </c>
      <c r="C426" s="8" t="s">
        <v>545</v>
      </c>
      <c r="D426" s="8" t="s">
        <v>567</v>
      </c>
      <c r="E426" s="8" t="s">
        <v>12</v>
      </c>
      <c r="F426" s="8">
        <v>24479</v>
      </c>
      <c r="G426" s="8" t="s">
        <v>61</v>
      </c>
      <c r="H426" s="8" t="s">
        <v>26</v>
      </c>
      <c r="I426" s="8" t="s">
        <v>23</v>
      </c>
      <c r="J426" s="7">
        <v>832.16</v>
      </c>
      <c r="K426" s="7">
        <v>83216</v>
      </c>
    </row>
    <row r="427" spans="2:11" ht="15.75" customHeight="1" x14ac:dyDescent="0.25">
      <c r="B427" s="8">
        <v>26313</v>
      </c>
      <c r="C427" s="8" t="s">
        <v>545</v>
      </c>
      <c r="D427" s="8" t="s">
        <v>449</v>
      </c>
      <c r="E427" s="8" t="s">
        <v>12</v>
      </c>
      <c r="F427" s="8">
        <v>31565</v>
      </c>
      <c r="G427" s="8" t="s">
        <v>21</v>
      </c>
      <c r="H427" s="8" t="s">
        <v>22</v>
      </c>
      <c r="I427" s="8" t="s">
        <v>23</v>
      </c>
      <c r="J427" s="7">
        <v>934.92</v>
      </c>
      <c r="K427" s="7">
        <v>93492</v>
      </c>
    </row>
    <row r="428" spans="2:11" ht="15.75" customHeight="1" x14ac:dyDescent="0.25">
      <c r="B428" s="8">
        <v>137765</v>
      </c>
      <c r="C428" s="8" t="s">
        <v>565</v>
      </c>
      <c r="D428" s="8" t="s">
        <v>566</v>
      </c>
      <c r="E428" s="8" t="s">
        <v>12</v>
      </c>
      <c r="F428" s="8">
        <v>30687</v>
      </c>
      <c r="G428" s="8" t="s">
        <v>120</v>
      </c>
      <c r="H428" s="8" t="s">
        <v>28</v>
      </c>
      <c r="I428" s="8" t="s">
        <v>23</v>
      </c>
      <c r="J428" s="7">
        <v>838.1</v>
      </c>
      <c r="K428" s="7">
        <v>83810</v>
      </c>
    </row>
    <row r="429" spans="2:11" ht="15.75" customHeight="1" x14ac:dyDescent="0.25">
      <c r="B429" s="8">
        <v>21895</v>
      </c>
      <c r="C429" s="8" t="s">
        <v>584</v>
      </c>
      <c r="D429" s="8" t="s">
        <v>585</v>
      </c>
      <c r="E429" s="8" t="s">
        <v>24</v>
      </c>
      <c r="F429" s="8">
        <v>31994</v>
      </c>
      <c r="G429" s="8" t="s">
        <v>45</v>
      </c>
      <c r="H429" s="8" t="s">
        <v>28</v>
      </c>
      <c r="I429" s="8" t="s">
        <v>23</v>
      </c>
      <c r="J429" s="7">
        <v>730.6</v>
      </c>
      <c r="K429" s="7">
        <v>73060</v>
      </c>
    </row>
    <row r="430" spans="2:11" ht="15.75" customHeight="1" x14ac:dyDescent="0.25">
      <c r="B430" s="8">
        <v>136940</v>
      </c>
      <c r="C430" s="8" t="s">
        <v>556</v>
      </c>
      <c r="D430" s="8" t="s">
        <v>559</v>
      </c>
      <c r="E430" s="8" t="s">
        <v>12</v>
      </c>
      <c r="F430" s="8">
        <v>27493</v>
      </c>
      <c r="G430" s="8" t="s">
        <v>77</v>
      </c>
      <c r="H430" s="8" t="s">
        <v>26</v>
      </c>
      <c r="I430" s="8" t="s">
        <v>23</v>
      </c>
      <c r="J430" s="7">
        <v>854</v>
      </c>
      <c r="K430" s="7">
        <v>85400</v>
      </c>
    </row>
    <row r="431" spans="2:11" ht="15.75" customHeight="1" x14ac:dyDescent="0.25">
      <c r="B431" s="8">
        <v>137115</v>
      </c>
      <c r="C431" s="8" t="s">
        <v>556</v>
      </c>
      <c r="D431" s="8" t="s">
        <v>568</v>
      </c>
      <c r="E431" s="8" t="s">
        <v>24</v>
      </c>
      <c r="F431" s="8">
        <v>17807</v>
      </c>
      <c r="G431" s="8" t="s">
        <v>25</v>
      </c>
      <c r="H431" s="8" t="s">
        <v>26</v>
      </c>
      <c r="I431" s="8" t="s">
        <v>23</v>
      </c>
      <c r="J431" s="7">
        <v>829.56</v>
      </c>
      <c r="K431" s="7">
        <v>82956</v>
      </c>
    </row>
    <row r="432" spans="2:11" ht="15.75" customHeight="1" x14ac:dyDescent="0.25">
      <c r="B432" s="8">
        <v>22244</v>
      </c>
      <c r="C432" s="8" t="s">
        <v>578</v>
      </c>
      <c r="D432" s="8" t="s">
        <v>355</v>
      </c>
      <c r="E432" s="8" t="s">
        <v>12</v>
      </c>
      <c r="F432" s="8">
        <v>23637</v>
      </c>
      <c r="G432" s="8" t="s">
        <v>120</v>
      </c>
      <c r="H432" s="8" t="s">
        <v>28</v>
      </c>
      <c r="I432" s="8" t="s">
        <v>23</v>
      </c>
      <c r="J432" s="7">
        <v>660</v>
      </c>
      <c r="K432" s="7">
        <v>66000</v>
      </c>
    </row>
    <row r="433" spans="2:11" ht="15.75" customHeight="1" x14ac:dyDescent="0.25">
      <c r="B433" s="8">
        <v>129923</v>
      </c>
      <c r="C433" s="8" t="s">
        <v>581</v>
      </c>
      <c r="D433" s="8" t="s">
        <v>513</v>
      </c>
      <c r="E433" s="8" t="s">
        <v>12</v>
      </c>
      <c r="F433" s="8">
        <v>31120</v>
      </c>
      <c r="G433" s="8" t="s">
        <v>61</v>
      </c>
      <c r="H433" s="8" t="s">
        <v>26</v>
      </c>
      <c r="I433" s="8" t="s">
        <v>23</v>
      </c>
      <c r="J433" s="7">
        <v>750.96</v>
      </c>
      <c r="K433" s="7">
        <v>75096</v>
      </c>
    </row>
    <row r="434" spans="2:11" ht="15.75" customHeight="1" x14ac:dyDescent="0.25">
      <c r="B434" s="8">
        <v>122569</v>
      </c>
      <c r="C434" s="8" t="s">
        <v>598</v>
      </c>
      <c r="D434" s="8" t="s">
        <v>599</v>
      </c>
      <c r="E434" s="8" t="s">
        <v>12</v>
      </c>
      <c r="F434" s="8">
        <v>32334</v>
      </c>
      <c r="G434" s="8" t="s">
        <v>126</v>
      </c>
      <c r="H434" s="8" t="s">
        <v>22</v>
      </c>
      <c r="I434" s="8" t="s">
        <v>23</v>
      </c>
      <c r="J434" s="7">
        <v>661.92</v>
      </c>
      <c r="K434" s="7">
        <v>66192</v>
      </c>
    </row>
    <row r="435" spans="2:11" ht="15.75" customHeight="1" x14ac:dyDescent="0.25">
      <c r="B435" s="8">
        <v>20718</v>
      </c>
      <c r="C435" s="8" t="s">
        <v>615</v>
      </c>
      <c r="D435" s="8" t="s">
        <v>637</v>
      </c>
      <c r="E435" s="8" t="s">
        <v>12</v>
      </c>
      <c r="F435" s="8">
        <v>30395</v>
      </c>
      <c r="G435" s="8" t="s">
        <v>136</v>
      </c>
      <c r="H435" s="8" t="s">
        <v>26</v>
      </c>
      <c r="I435" s="8" t="s">
        <v>23</v>
      </c>
      <c r="J435" s="7">
        <v>557.44000000000005</v>
      </c>
      <c r="K435" s="7">
        <v>55744</v>
      </c>
    </row>
    <row r="436" spans="2:11" ht="15.75" customHeight="1" x14ac:dyDescent="0.25">
      <c r="B436" s="8">
        <v>138260</v>
      </c>
      <c r="C436" s="8" t="s">
        <v>615</v>
      </c>
      <c r="D436" s="8" t="s">
        <v>616</v>
      </c>
      <c r="E436" s="8" t="s">
        <v>12</v>
      </c>
      <c r="F436" s="8">
        <v>21732</v>
      </c>
      <c r="G436" s="8" t="s">
        <v>109</v>
      </c>
      <c r="H436" s="8" t="s">
        <v>26</v>
      </c>
      <c r="I436" s="8" t="s">
        <v>23</v>
      </c>
      <c r="J436" s="7">
        <v>609.58000000000004</v>
      </c>
      <c r="K436" s="7">
        <v>60958</v>
      </c>
    </row>
    <row r="437" spans="2:11" ht="15.75" customHeight="1" x14ac:dyDescent="0.25">
      <c r="B437" s="8">
        <v>20611</v>
      </c>
      <c r="C437" s="8" t="s">
        <v>639</v>
      </c>
      <c r="D437" s="8" t="s">
        <v>640</v>
      </c>
      <c r="E437" s="8" t="s">
        <v>12</v>
      </c>
      <c r="F437" s="8">
        <v>30245</v>
      </c>
      <c r="G437" s="8" t="s">
        <v>61</v>
      </c>
      <c r="H437" s="8" t="s">
        <v>26</v>
      </c>
      <c r="I437" s="8" t="s">
        <v>23</v>
      </c>
      <c r="J437" s="7">
        <v>544.30999999999995</v>
      </c>
      <c r="K437" s="7">
        <v>54431</v>
      </c>
    </row>
    <row r="438" spans="2:11" ht="15.75" customHeight="1" x14ac:dyDescent="0.25">
      <c r="B438" s="8">
        <v>136414</v>
      </c>
      <c r="C438" s="8" t="s">
        <v>628</v>
      </c>
      <c r="D438" s="8" t="s">
        <v>629</v>
      </c>
      <c r="E438" s="8" t="s">
        <v>12</v>
      </c>
      <c r="F438" s="8">
        <v>30498</v>
      </c>
      <c r="G438" s="8" t="s">
        <v>91</v>
      </c>
      <c r="H438" s="8" t="s">
        <v>22</v>
      </c>
      <c r="I438" s="8" t="s">
        <v>23</v>
      </c>
      <c r="J438" s="7">
        <v>570</v>
      </c>
      <c r="K438" s="7">
        <v>57000</v>
      </c>
    </row>
    <row r="439" spans="2:11" ht="15.75" customHeight="1" x14ac:dyDescent="0.25">
      <c r="B439" s="8">
        <v>22352</v>
      </c>
      <c r="C439" s="8" t="s">
        <v>635</v>
      </c>
      <c r="D439" s="8" t="s">
        <v>636</v>
      </c>
      <c r="E439" s="8" t="s">
        <v>12</v>
      </c>
      <c r="F439" s="8">
        <v>32677</v>
      </c>
      <c r="G439" s="8" t="s">
        <v>77</v>
      </c>
      <c r="H439" s="8" t="s">
        <v>26</v>
      </c>
      <c r="I439" s="8" t="s">
        <v>23</v>
      </c>
      <c r="J439" s="7">
        <v>560</v>
      </c>
      <c r="K439" s="7">
        <v>56000</v>
      </c>
    </row>
    <row r="440" spans="2:11" ht="15.75" customHeight="1" x14ac:dyDescent="0.25">
      <c r="B440" s="8">
        <v>26647</v>
      </c>
      <c r="C440" s="8" t="s">
        <v>610</v>
      </c>
      <c r="D440" s="8" t="s">
        <v>611</v>
      </c>
      <c r="E440" s="8" t="s">
        <v>24</v>
      </c>
      <c r="F440" s="8">
        <v>28285</v>
      </c>
      <c r="G440" s="8" t="s">
        <v>98</v>
      </c>
      <c r="H440" s="8" t="s">
        <v>28</v>
      </c>
      <c r="I440" s="8" t="s">
        <v>23</v>
      </c>
      <c r="J440" s="7">
        <v>620</v>
      </c>
      <c r="K440" s="7">
        <v>62000</v>
      </c>
    </row>
    <row r="441" spans="2:11" ht="15.75" customHeight="1" x14ac:dyDescent="0.25">
      <c r="B441" s="8">
        <v>23092</v>
      </c>
      <c r="C441" s="8" t="s">
        <v>630</v>
      </c>
      <c r="D441" s="8" t="s">
        <v>425</v>
      </c>
      <c r="E441" s="8" t="s">
        <v>24</v>
      </c>
      <c r="F441" s="8">
        <v>26054</v>
      </c>
      <c r="G441" s="8" t="s">
        <v>45</v>
      </c>
      <c r="H441" s="8" t="s">
        <v>28</v>
      </c>
      <c r="I441" s="8" t="s">
        <v>23</v>
      </c>
      <c r="J441" s="7">
        <v>570</v>
      </c>
      <c r="K441" s="7">
        <v>57000</v>
      </c>
    </row>
    <row r="442" spans="2:11" ht="15.75" customHeight="1" x14ac:dyDescent="0.25">
      <c r="B442" s="8">
        <v>131432</v>
      </c>
      <c r="C442" s="8" t="s">
        <v>602</v>
      </c>
      <c r="D442" s="8" t="s">
        <v>339</v>
      </c>
      <c r="E442" s="8" t="s">
        <v>24</v>
      </c>
      <c r="F442" s="8">
        <v>26452</v>
      </c>
      <c r="G442" s="8" t="s">
        <v>141</v>
      </c>
      <c r="H442" s="8" t="s">
        <v>22</v>
      </c>
      <c r="I442" s="8" t="s">
        <v>23</v>
      </c>
      <c r="J442" s="7">
        <v>475</v>
      </c>
      <c r="K442" s="7">
        <v>47500</v>
      </c>
    </row>
    <row r="443" spans="2:11" ht="15.75" customHeight="1" x14ac:dyDescent="0.25">
      <c r="B443" s="8">
        <v>138327</v>
      </c>
      <c r="C443" s="8" t="s">
        <v>638</v>
      </c>
      <c r="D443" s="8" t="s">
        <v>662</v>
      </c>
      <c r="E443" s="8" t="s">
        <v>12</v>
      </c>
      <c r="F443" s="8">
        <v>23073</v>
      </c>
      <c r="G443" s="8" t="s">
        <v>67</v>
      </c>
      <c r="H443" s="8" t="s">
        <v>67</v>
      </c>
      <c r="I443" s="8" t="s">
        <v>23</v>
      </c>
      <c r="J443" s="7">
        <v>484.42</v>
      </c>
      <c r="K443" s="7">
        <v>48442</v>
      </c>
    </row>
    <row r="444" spans="2:11" ht="15.75" customHeight="1" x14ac:dyDescent="0.25">
      <c r="B444" s="8">
        <v>131726</v>
      </c>
      <c r="C444" s="8" t="s">
        <v>660</v>
      </c>
      <c r="D444" s="8" t="s">
        <v>585</v>
      </c>
      <c r="E444" s="8" t="s">
        <v>24</v>
      </c>
      <c r="F444" s="8">
        <v>25327</v>
      </c>
      <c r="G444" s="8" t="s">
        <v>148</v>
      </c>
      <c r="H444" s="8" t="s">
        <v>74</v>
      </c>
      <c r="I444" s="8" t="s">
        <v>23</v>
      </c>
      <c r="J444" s="7">
        <v>433.4</v>
      </c>
      <c r="K444" s="7">
        <v>43340</v>
      </c>
    </row>
    <row r="445" spans="2:11" ht="15.75" customHeight="1" x14ac:dyDescent="0.25">
      <c r="B445" s="8">
        <v>22924</v>
      </c>
      <c r="C445" s="8" t="s">
        <v>670</v>
      </c>
      <c r="D445" s="8" t="s">
        <v>680</v>
      </c>
      <c r="E445" s="8" t="s">
        <v>12</v>
      </c>
      <c r="F445" s="8">
        <v>30280</v>
      </c>
      <c r="G445" s="8" t="s">
        <v>87</v>
      </c>
      <c r="H445" s="8" t="s">
        <v>28</v>
      </c>
      <c r="I445" s="8" t="s">
        <v>23</v>
      </c>
      <c r="J445" s="7">
        <v>436.74</v>
      </c>
      <c r="K445" s="7">
        <v>43674</v>
      </c>
    </row>
    <row r="446" spans="2:11" ht="15.75" customHeight="1" x14ac:dyDescent="0.25">
      <c r="B446" s="8">
        <v>124135</v>
      </c>
      <c r="C446" s="8" t="s">
        <v>670</v>
      </c>
      <c r="D446" s="8" t="s">
        <v>697</v>
      </c>
      <c r="E446" s="8" t="s">
        <v>12</v>
      </c>
      <c r="F446" s="8">
        <v>26727</v>
      </c>
      <c r="G446" s="8" t="s">
        <v>61</v>
      </c>
      <c r="H446" s="8" t="s">
        <v>26</v>
      </c>
      <c r="I446" s="8" t="s">
        <v>23</v>
      </c>
      <c r="J446" s="7">
        <v>374.18</v>
      </c>
      <c r="K446" s="7">
        <v>37418</v>
      </c>
    </row>
    <row r="447" spans="2:11" ht="15.75" customHeight="1" x14ac:dyDescent="0.25">
      <c r="B447" s="8">
        <v>130364</v>
      </c>
      <c r="C447" s="8" t="s">
        <v>686</v>
      </c>
      <c r="D447" s="8" t="s">
        <v>687</v>
      </c>
      <c r="E447" s="8" t="s">
        <v>12</v>
      </c>
      <c r="F447" s="8">
        <v>32632</v>
      </c>
      <c r="G447" s="8" t="s">
        <v>87</v>
      </c>
      <c r="H447" s="8" t="s">
        <v>28</v>
      </c>
      <c r="I447" s="8" t="s">
        <v>23</v>
      </c>
      <c r="J447" s="7">
        <v>421.8</v>
      </c>
      <c r="K447" s="7">
        <v>42180</v>
      </c>
    </row>
    <row r="448" spans="2:11" ht="15.75" customHeight="1" x14ac:dyDescent="0.25">
      <c r="B448" s="8">
        <v>20660</v>
      </c>
      <c r="C448" s="8" t="s">
        <v>708</v>
      </c>
      <c r="D448" s="8" t="s">
        <v>709</v>
      </c>
      <c r="E448" s="8" t="s">
        <v>12</v>
      </c>
      <c r="F448" s="8">
        <v>25254</v>
      </c>
      <c r="G448" s="8" t="s">
        <v>66</v>
      </c>
      <c r="H448" s="8" t="s">
        <v>26</v>
      </c>
      <c r="I448" s="8" t="s">
        <v>23</v>
      </c>
      <c r="J448" s="7">
        <v>351</v>
      </c>
      <c r="K448" s="7">
        <v>35100</v>
      </c>
    </row>
    <row r="449" spans="2:11" ht="15.75" customHeight="1" x14ac:dyDescent="0.25">
      <c r="B449" s="8">
        <v>21823</v>
      </c>
      <c r="C449" s="8" t="s">
        <v>698</v>
      </c>
      <c r="D449" s="8" t="s">
        <v>699</v>
      </c>
      <c r="E449" s="8" t="s">
        <v>12</v>
      </c>
      <c r="F449" s="8">
        <v>32972</v>
      </c>
      <c r="G449" s="8" t="s">
        <v>151</v>
      </c>
      <c r="H449" s="8" t="s">
        <v>22</v>
      </c>
      <c r="I449" s="8" t="s">
        <v>23</v>
      </c>
      <c r="J449" s="7">
        <v>372</v>
      </c>
      <c r="K449" s="7">
        <v>37200</v>
      </c>
    </row>
    <row r="450" spans="2:11" ht="15.75" customHeight="1" x14ac:dyDescent="0.25">
      <c r="B450" s="8">
        <v>123347</v>
      </c>
      <c r="C450" s="8" t="s">
        <v>722</v>
      </c>
      <c r="D450" s="8" t="s">
        <v>432</v>
      </c>
      <c r="E450" s="8" t="s">
        <v>12</v>
      </c>
      <c r="F450" s="8">
        <v>34104</v>
      </c>
      <c r="G450" s="8" t="s">
        <v>80</v>
      </c>
      <c r="H450" s="8" t="s">
        <v>26</v>
      </c>
      <c r="I450" s="8" t="s">
        <v>23</v>
      </c>
      <c r="J450" s="7">
        <v>330</v>
      </c>
      <c r="K450" s="7">
        <v>33000</v>
      </c>
    </row>
    <row r="451" spans="2:11" ht="15.75" customHeight="1" x14ac:dyDescent="0.25">
      <c r="B451" s="8">
        <v>128553</v>
      </c>
      <c r="C451" s="8" t="s">
        <v>731</v>
      </c>
      <c r="D451" s="8" t="s">
        <v>732</v>
      </c>
      <c r="E451" s="8" t="s">
        <v>12</v>
      </c>
      <c r="F451" s="8">
        <v>32258</v>
      </c>
      <c r="G451" s="8" t="s">
        <v>98</v>
      </c>
      <c r="H451" s="8" t="s">
        <v>28</v>
      </c>
      <c r="I451" s="8" t="s">
        <v>23</v>
      </c>
      <c r="J451" s="7">
        <v>317.47000000000003</v>
      </c>
      <c r="K451" s="7">
        <v>31747</v>
      </c>
    </row>
    <row r="452" spans="2:11" ht="15.75" customHeight="1" x14ac:dyDescent="0.25">
      <c r="B452" s="8">
        <v>125298</v>
      </c>
      <c r="C452" s="8" t="s">
        <v>694</v>
      </c>
      <c r="D452" s="8" t="s">
        <v>367</v>
      </c>
      <c r="E452" s="8" t="s">
        <v>12</v>
      </c>
      <c r="F452" s="8">
        <v>32730</v>
      </c>
      <c r="G452" s="8" t="s">
        <v>120</v>
      </c>
      <c r="H452" s="8" t="s">
        <v>28</v>
      </c>
      <c r="I452" s="8" t="s">
        <v>23</v>
      </c>
      <c r="J452" s="7">
        <v>352.78</v>
      </c>
      <c r="K452" s="7">
        <v>35278</v>
      </c>
    </row>
    <row r="453" spans="2:11" ht="15.75" customHeight="1" x14ac:dyDescent="0.25">
      <c r="B453" s="8">
        <v>121725</v>
      </c>
      <c r="C453" s="8" t="s">
        <v>706</v>
      </c>
      <c r="D453" s="8" t="s">
        <v>707</v>
      </c>
      <c r="E453" s="8" t="s">
        <v>12</v>
      </c>
      <c r="F453" s="8">
        <v>32861</v>
      </c>
      <c r="G453" s="8" t="s">
        <v>61</v>
      </c>
      <c r="H453" s="8" t="s">
        <v>26</v>
      </c>
      <c r="I453" s="8" t="s">
        <v>23</v>
      </c>
      <c r="J453" s="7">
        <v>351.65</v>
      </c>
      <c r="K453" s="7">
        <v>35165</v>
      </c>
    </row>
    <row r="454" spans="2:11" ht="15.75" customHeight="1" x14ac:dyDescent="0.25">
      <c r="B454" s="8">
        <v>27355</v>
      </c>
      <c r="C454" s="8" t="s">
        <v>738</v>
      </c>
      <c r="D454" s="8" t="s">
        <v>739</v>
      </c>
      <c r="E454" s="8" t="s">
        <v>12</v>
      </c>
      <c r="F454" s="8">
        <v>31274</v>
      </c>
      <c r="G454" s="8" t="s">
        <v>77</v>
      </c>
      <c r="H454" s="8" t="s">
        <v>26</v>
      </c>
      <c r="I454" s="8" t="s">
        <v>23</v>
      </c>
      <c r="J454" s="7">
        <v>311.52</v>
      </c>
      <c r="K454" s="7">
        <v>31152</v>
      </c>
    </row>
    <row r="455" spans="2:11" ht="15.75" customHeight="1" x14ac:dyDescent="0.25">
      <c r="B455" s="8">
        <v>21141</v>
      </c>
      <c r="C455" s="8" t="s">
        <v>725</v>
      </c>
      <c r="D455" s="8" t="s">
        <v>369</v>
      </c>
      <c r="E455" s="8" t="s">
        <v>12</v>
      </c>
      <c r="F455" s="8">
        <v>25249</v>
      </c>
      <c r="G455" s="8" t="s">
        <v>65</v>
      </c>
      <c r="H455" s="8" t="s">
        <v>17</v>
      </c>
      <c r="I455" s="8" t="s">
        <v>23</v>
      </c>
      <c r="J455" s="7">
        <v>326.33999999999997</v>
      </c>
      <c r="K455" s="7">
        <v>32634</v>
      </c>
    </row>
    <row r="456" spans="2:11" ht="15.75" customHeight="1" x14ac:dyDescent="0.25">
      <c r="B456" s="8">
        <v>20598</v>
      </c>
      <c r="C456" s="8" t="s">
        <v>785</v>
      </c>
      <c r="D456" s="8" t="s">
        <v>786</v>
      </c>
      <c r="E456" s="8" t="s">
        <v>24</v>
      </c>
      <c r="F456" s="8">
        <v>26925</v>
      </c>
      <c r="G456" s="8" t="s">
        <v>66</v>
      </c>
      <c r="H456" s="8" t="s">
        <v>26</v>
      </c>
      <c r="I456" s="8" t="s">
        <v>23</v>
      </c>
      <c r="J456" s="7">
        <v>255</v>
      </c>
      <c r="K456" s="7">
        <v>25500</v>
      </c>
    </row>
    <row r="457" spans="2:11" ht="15.75" customHeight="1" x14ac:dyDescent="0.25">
      <c r="B457" s="8">
        <v>20957</v>
      </c>
      <c r="C457" s="8" t="s">
        <v>761</v>
      </c>
      <c r="D457" s="8" t="s">
        <v>768</v>
      </c>
      <c r="E457" s="8" t="s">
        <v>12</v>
      </c>
      <c r="F457" s="8">
        <v>31048</v>
      </c>
      <c r="G457" s="8" t="s">
        <v>98</v>
      </c>
      <c r="H457" s="8" t="s">
        <v>28</v>
      </c>
      <c r="I457" s="8" t="s">
        <v>23</v>
      </c>
      <c r="J457" s="7">
        <v>275</v>
      </c>
      <c r="K457" s="7">
        <v>27500</v>
      </c>
    </row>
    <row r="458" spans="2:11" ht="15.75" customHeight="1" x14ac:dyDescent="0.25">
      <c r="B458" s="8">
        <v>127056</v>
      </c>
      <c r="C458" s="8" t="s">
        <v>761</v>
      </c>
      <c r="D458" s="8" t="s">
        <v>762</v>
      </c>
      <c r="E458" s="8" t="s">
        <v>12</v>
      </c>
      <c r="F458" s="8">
        <v>24150</v>
      </c>
      <c r="G458" s="8" t="s">
        <v>98</v>
      </c>
      <c r="H458" s="8" t="s">
        <v>28</v>
      </c>
      <c r="I458" s="8" t="s">
        <v>23</v>
      </c>
      <c r="J458" s="7">
        <v>290</v>
      </c>
      <c r="K458" s="7">
        <v>29000</v>
      </c>
    </row>
    <row r="459" spans="2:11" ht="15.75" customHeight="1" x14ac:dyDescent="0.25">
      <c r="B459" s="8">
        <v>24866</v>
      </c>
      <c r="C459" s="8" t="s">
        <v>721</v>
      </c>
      <c r="D459" s="8" t="s">
        <v>360</v>
      </c>
      <c r="E459" s="8" t="s">
        <v>12</v>
      </c>
      <c r="F459" s="8">
        <v>31015</v>
      </c>
      <c r="G459" s="8" t="s">
        <v>153</v>
      </c>
      <c r="H459" s="8" t="s">
        <v>26</v>
      </c>
      <c r="I459" s="8" t="s">
        <v>23</v>
      </c>
      <c r="J459" s="7">
        <v>334.33</v>
      </c>
      <c r="K459" s="7">
        <v>33433</v>
      </c>
    </row>
    <row r="460" spans="2:11" ht="15.75" customHeight="1" x14ac:dyDescent="0.25">
      <c r="B460" s="8">
        <v>21161</v>
      </c>
      <c r="C460" s="8" t="s">
        <v>772</v>
      </c>
      <c r="D460" s="8" t="s">
        <v>773</v>
      </c>
      <c r="E460" s="8" t="s">
        <v>24</v>
      </c>
      <c r="F460" s="8">
        <v>30014</v>
      </c>
      <c r="G460" s="8" t="s">
        <v>80</v>
      </c>
      <c r="H460" s="8" t="s">
        <v>26</v>
      </c>
      <c r="I460" s="8" t="s">
        <v>23</v>
      </c>
      <c r="J460" s="7">
        <v>272.8</v>
      </c>
      <c r="K460" s="7">
        <v>27280</v>
      </c>
    </row>
    <row r="461" spans="2:11" ht="15.75" customHeight="1" x14ac:dyDescent="0.25">
      <c r="B461" s="8">
        <v>94270</v>
      </c>
      <c r="C461" s="8" t="s">
        <v>728</v>
      </c>
      <c r="D461" s="8" t="s">
        <v>729</v>
      </c>
      <c r="E461" s="8" t="s">
        <v>12</v>
      </c>
      <c r="F461" s="8">
        <v>28763</v>
      </c>
      <c r="G461" s="8" t="s">
        <v>87</v>
      </c>
      <c r="H461" s="8" t="s">
        <v>28</v>
      </c>
      <c r="I461" s="8" t="s">
        <v>23</v>
      </c>
      <c r="J461" s="7">
        <v>322.39999999999998</v>
      </c>
      <c r="K461" s="7">
        <v>32240</v>
      </c>
    </row>
    <row r="462" spans="2:11" ht="15.75" customHeight="1" x14ac:dyDescent="0.25">
      <c r="B462" s="8">
        <v>20647</v>
      </c>
      <c r="C462" s="8" t="s">
        <v>776</v>
      </c>
      <c r="D462" s="8" t="s">
        <v>793</v>
      </c>
      <c r="E462" s="8" t="s">
        <v>24</v>
      </c>
      <c r="F462" s="8">
        <v>27791</v>
      </c>
      <c r="G462" s="8" t="s">
        <v>65</v>
      </c>
      <c r="H462" s="8" t="s">
        <v>17</v>
      </c>
      <c r="I462" s="8" t="s">
        <v>23</v>
      </c>
      <c r="J462" s="7">
        <v>249.6</v>
      </c>
      <c r="K462" s="7">
        <v>24960</v>
      </c>
    </row>
    <row r="463" spans="2:11" ht="15.75" customHeight="1" x14ac:dyDescent="0.25">
      <c r="B463" s="8">
        <v>126614</v>
      </c>
      <c r="C463" s="8" t="s">
        <v>784</v>
      </c>
      <c r="D463" s="8" t="s">
        <v>810</v>
      </c>
      <c r="E463" s="8" t="s">
        <v>12</v>
      </c>
      <c r="F463" s="8">
        <v>29380</v>
      </c>
      <c r="G463" s="8" t="s">
        <v>61</v>
      </c>
      <c r="H463" s="8" t="s">
        <v>26</v>
      </c>
      <c r="I463" s="8" t="s">
        <v>23</v>
      </c>
      <c r="J463" s="7">
        <v>221.85</v>
      </c>
      <c r="K463" s="7">
        <v>22185</v>
      </c>
    </row>
    <row r="464" spans="2:11" ht="15.75" customHeight="1" x14ac:dyDescent="0.25">
      <c r="B464" s="8">
        <v>23639</v>
      </c>
      <c r="C464" s="8" t="s">
        <v>814</v>
      </c>
      <c r="D464" s="8" t="s">
        <v>815</v>
      </c>
      <c r="E464" s="8" t="s">
        <v>24</v>
      </c>
      <c r="F464" s="8">
        <v>27857</v>
      </c>
      <c r="G464" s="8" t="s">
        <v>77</v>
      </c>
      <c r="H464" s="8" t="s">
        <v>26</v>
      </c>
      <c r="I464" s="8" t="s">
        <v>23</v>
      </c>
      <c r="J464" s="7">
        <v>218.4</v>
      </c>
      <c r="K464" s="7">
        <v>21840</v>
      </c>
    </row>
    <row r="465" spans="2:11" ht="15.75" customHeight="1" x14ac:dyDescent="0.25">
      <c r="B465" s="8">
        <v>128794</v>
      </c>
      <c r="C465" s="8" t="s">
        <v>801</v>
      </c>
      <c r="D465" s="8" t="s">
        <v>813</v>
      </c>
      <c r="E465" s="8" t="s">
        <v>12</v>
      </c>
      <c r="F465" s="8">
        <v>29898</v>
      </c>
      <c r="G465" s="8" t="s">
        <v>66</v>
      </c>
      <c r="H465" s="8" t="s">
        <v>26</v>
      </c>
      <c r="I465" s="8" t="s">
        <v>23</v>
      </c>
      <c r="J465" s="7">
        <v>218.89</v>
      </c>
      <c r="K465" s="7">
        <v>21889</v>
      </c>
    </row>
    <row r="466" spans="2:11" ht="15.75" customHeight="1" x14ac:dyDescent="0.25">
      <c r="B466" s="8">
        <v>31092</v>
      </c>
      <c r="C466" s="8" t="s">
        <v>782</v>
      </c>
      <c r="D466" s="8" t="s">
        <v>838</v>
      </c>
      <c r="E466" s="8" t="s">
        <v>12</v>
      </c>
      <c r="F466" s="8">
        <v>32314</v>
      </c>
      <c r="G466" s="8" t="s">
        <v>27</v>
      </c>
      <c r="H466" s="8" t="s">
        <v>28</v>
      </c>
      <c r="I466" s="8" t="s">
        <v>23</v>
      </c>
      <c r="J466" s="7">
        <v>199.5</v>
      </c>
      <c r="K466" s="7">
        <v>19950</v>
      </c>
    </row>
    <row r="467" spans="2:11" ht="15.75" customHeight="1" x14ac:dyDescent="0.25">
      <c r="B467" s="8">
        <v>129073</v>
      </c>
      <c r="C467" s="8" t="s">
        <v>782</v>
      </c>
      <c r="D467" s="8" t="s">
        <v>796</v>
      </c>
      <c r="E467" s="8" t="s">
        <v>12</v>
      </c>
      <c r="F467" s="8">
        <v>24354</v>
      </c>
      <c r="G467" s="8" t="s">
        <v>80</v>
      </c>
      <c r="H467" s="8" t="s">
        <v>26</v>
      </c>
      <c r="I467" s="8" t="s">
        <v>23</v>
      </c>
      <c r="J467" s="7">
        <v>241.56</v>
      </c>
      <c r="K467" s="7">
        <v>24156</v>
      </c>
    </row>
    <row r="468" spans="2:11" ht="15.75" customHeight="1" x14ac:dyDescent="0.25">
      <c r="B468" s="8">
        <v>133476</v>
      </c>
      <c r="C468" s="8" t="s">
        <v>811</v>
      </c>
      <c r="D468" s="8" t="s">
        <v>812</v>
      </c>
      <c r="E468" s="8" t="s">
        <v>12</v>
      </c>
      <c r="F468" s="8">
        <v>31256</v>
      </c>
      <c r="G468" s="8" t="s">
        <v>61</v>
      </c>
      <c r="H468" s="8" t="s">
        <v>26</v>
      </c>
      <c r="I468" s="8" t="s">
        <v>23</v>
      </c>
      <c r="J468" s="7">
        <v>220.02</v>
      </c>
      <c r="K468" s="7">
        <v>22002</v>
      </c>
    </row>
    <row r="469" spans="2:11" ht="15.75" customHeight="1" x14ac:dyDescent="0.25">
      <c r="B469" s="8">
        <v>20922</v>
      </c>
      <c r="C469" s="8" t="s">
        <v>799</v>
      </c>
      <c r="D469" s="8" t="s">
        <v>800</v>
      </c>
      <c r="E469" s="8" t="s">
        <v>24</v>
      </c>
      <c r="F469" s="8">
        <v>30563</v>
      </c>
      <c r="G469" s="8" t="s">
        <v>67</v>
      </c>
      <c r="H469" s="8" t="s">
        <v>67</v>
      </c>
      <c r="I469" s="8" t="s">
        <v>23</v>
      </c>
      <c r="J469" s="7">
        <v>240.64</v>
      </c>
      <c r="K469" s="7">
        <v>24064</v>
      </c>
    </row>
    <row r="470" spans="2:11" ht="15.75" customHeight="1" x14ac:dyDescent="0.25">
      <c r="B470" s="8">
        <v>21911</v>
      </c>
      <c r="C470" s="8" t="s">
        <v>803</v>
      </c>
      <c r="D470" s="8" t="s">
        <v>804</v>
      </c>
      <c r="E470" s="8" t="s">
        <v>12</v>
      </c>
      <c r="F470" s="8">
        <v>25144</v>
      </c>
      <c r="G470" s="8" t="s">
        <v>61</v>
      </c>
      <c r="H470" s="8" t="s">
        <v>26</v>
      </c>
      <c r="I470" s="8" t="s">
        <v>23</v>
      </c>
      <c r="J470" s="7">
        <v>236.6</v>
      </c>
      <c r="K470" s="7">
        <v>23660</v>
      </c>
    </row>
    <row r="471" spans="2:11" ht="15.75" customHeight="1" x14ac:dyDescent="0.25">
      <c r="B471" s="8">
        <v>20754</v>
      </c>
      <c r="C471" s="8" t="s">
        <v>797</v>
      </c>
      <c r="D471" s="8" t="s">
        <v>798</v>
      </c>
      <c r="E471" s="8" t="s">
        <v>24</v>
      </c>
      <c r="F471" s="8">
        <v>20552</v>
      </c>
      <c r="G471" s="8" t="s">
        <v>66</v>
      </c>
      <c r="H471" s="8" t="s">
        <v>26</v>
      </c>
      <c r="I471" s="8" t="s">
        <v>23</v>
      </c>
      <c r="J471" s="7">
        <v>241.2</v>
      </c>
      <c r="K471" s="7">
        <v>24120</v>
      </c>
    </row>
    <row r="472" spans="2:11" ht="15.75" customHeight="1" x14ac:dyDescent="0.25">
      <c r="B472" s="8">
        <v>124780</v>
      </c>
      <c r="C472" s="8" t="s">
        <v>840</v>
      </c>
      <c r="D472" s="8" t="s">
        <v>841</v>
      </c>
      <c r="E472" s="8" t="s">
        <v>12</v>
      </c>
      <c r="F472" s="8">
        <v>28699</v>
      </c>
      <c r="G472" s="8" t="s">
        <v>98</v>
      </c>
      <c r="H472" s="8" t="s">
        <v>28</v>
      </c>
      <c r="I472" s="8" t="s">
        <v>23</v>
      </c>
      <c r="J472" s="7">
        <v>198</v>
      </c>
      <c r="K472" s="7">
        <v>19800</v>
      </c>
    </row>
    <row r="473" spans="2:11" ht="15.75" customHeight="1" x14ac:dyDescent="0.25">
      <c r="B473" s="8">
        <v>20479</v>
      </c>
      <c r="C473" s="8" t="s">
        <v>822</v>
      </c>
      <c r="D473" s="8" t="s">
        <v>823</v>
      </c>
      <c r="E473" s="8" t="s">
        <v>12</v>
      </c>
      <c r="F473" s="8">
        <v>27278</v>
      </c>
      <c r="G473" s="8" t="s">
        <v>165</v>
      </c>
      <c r="H473" s="8" t="s">
        <v>26</v>
      </c>
      <c r="I473" s="8" t="s">
        <v>23</v>
      </c>
      <c r="J473" s="7">
        <v>208.8</v>
      </c>
      <c r="K473" s="7">
        <v>20880</v>
      </c>
    </row>
    <row r="474" spans="2:11" ht="15.75" customHeight="1" x14ac:dyDescent="0.25">
      <c r="B474" s="8">
        <v>24980</v>
      </c>
      <c r="C474" s="8" t="s">
        <v>808</v>
      </c>
      <c r="D474" s="8" t="s">
        <v>339</v>
      </c>
      <c r="E474" s="8" t="s">
        <v>24</v>
      </c>
      <c r="F474" s="8">
        <v>25079</v>
      </c>
      <c r="G474" s="8" t="s">
        <v>73</v>
      </c>
      <c r="H474" s="8" t="s">
        <v>74</v>
      </c>
      <c r="I474" s="8" t="s">
        <v>23</v>
      </c>
      <c r="J474" s="7">
        <v>224.28</v>
      </c>
      <c r="K474" s="7">
        <v>22428</v>
      </c>
    </row>
    <row r="475" spans="2:11" ht="15.75" customHeight="1" x14ac:dyDescent="0.25">
      <c r="B475" s="8">
        <v>94307</v>
      </c>
      <c r="C475" s="8" t="s">
        <v>821</v>
      </c>
      <c r="D475" s="8" t="s">
        <v>847</v>
      </c>
      <c r="E475" s="8" t="s">
        <v>12</v>
      </c>
      <c r="F475" s="8">
        <v>35608</v>
      </c>
      <c r="G475" s="8" t="s">
        <v>109</v>
      </c>
      <c r="H475" s="8" t="s">
        <v>26</v>
      </c>
      <c r="I475" s="8" t="s">
        <v>23</v>
      </c>
      <c r="J475" s="7">
        <v>196</v>
      </c>
      <c r="K475" s="7">
        <v>19600</v>
      </c>
    </row>
    <row r="476" spans="2:11" ht="15.75" customHeight="1" x14ac:dyDescent="0.25">
      <c r="B476" s="8">
        <v>26259</v>
      </c>
      <c r="C476" s="8" t="s">
        <v>851</v>
      </c>
      <c r="D476" s="8" t="s">
        <v>852</v>
      </c>
      <c r="E476" s="8" t="s">
        <v>24</v>
      </c>
      <c r="F476" s="8">
        <v>31857</v>
      </c>
      <c r="G476" s="8" t="s">
        <v>98</v>
      </c>
      <c r="H476" s="8" t="s">
        <v>28</v>
      </c>
      <c r="I476" s="8" t="s">
        <v>23</v>
      </c>
      <c r="J476" s="7">
        <v>186.3</v>
      </c>
      <c r="K476" s="7">
        <v>18630</v>
      </c>
    </row>
    <row r="477" spans="2:11" ht="15.75" customHeight="1" x14ac:dyDescent="0.25">
      <c r="B477" s="8">
        <v>128402</v>
      </c>
      <c r="C477" s="8" t="s">
        <v>846</v>
      </c>
      <c r="D477" s="8" t="s">
        <v>458</v>
      </c>
      <c r="E477" s="8" t="s">
        <v>12</v>
      </c>
      <c r="F477" s="8">
        <v>25144</v>
      </c>
      <c r="G477" s="8" t="s">
        <v>80</v>
      </c>
      <c r="H477" s="8" t="s">
        <v>26</v>
      </c>
      <c r="I477" s="8" t="s">
        <v>23</v>
      </c>
      <c r="J477" s="7">
        <v>197.2</v>
      </c>
      <c r="K477" s="7">
        <v>19720</v>
      </c>
    </row>
    <row r="478" spans="2:11" ht="15.75" customHeight="1" x14ac:dyDescent="0.25">
      <c r="B478" s="8">
        <v>127508</v>
      </c>
      <c r="C478" s="8" t="s">
        <v>844</v>
      </c>
      <c r="D478" s="8" t="s">
        <v>454</v>
      </c>
      <c r="E478" s="8" t="s">
        <v>12</v>
      </c>
      <c r="F478" s="8">
        <v>19277</v>
      </c>
      <c r="G478" s="8" t="s">
        <v>73</v>
      </c>
      <c r="H478" s="8" t="s">
        <v>74</v>
      </c>
      <c r="I478" s="8" t="s">
        <v>23</v>
      </c>
      <c r="J478" s="7">
        <v>168</v>
      </c>
      <c r="K478" s="7">
        <v>16800</v>
      </c>
    </row>
    <row r="479" spans="2:11" ht="15.75" customHeight="1" x14ac:dyDescent="0.25">
      <c r="B479" s="8">
        <v>128519</v>
      </c>
      <c r="C479" s="8" t="s">
        <v>856</v>
      </c>
      <c r="D479" s="8" t="s">
        <v>857</v>
      </c>
      <c r="E479" s="8" t="s">
        <v>12</v>
      </c>
      <c r="F479" s="8">
        <v>31016</v>
      </c>
      <c r="G479" s="8" t="s">
        <v>87</v>
      </c>
      <c r="H479" s="8" t="s">
        <v>28</v>
      </c>
      <c r="I479" s="8" t="s">
        <v>23</v>
      </c>
      <c r="J479" s="7">
        <v>181.78</v>
      </c>
      <c r="K479" s="7">
        <v>18178</v>
      </c>
    </row>
    <row r="480" spans="2:11" ht="15.75" customHeight="1" x14ac:dyDescent="0.25">
      <c r="B480" s="8">
        <v>21727</v>
      </c>
      <c r="C480" s="8" t="s">
        <v>327</v>
      </c>
      <c r="D480" s="8" t="s">
        <v>850</v>
      </c>
      <c r="E480" s="8" t="s">
        <v>24</v>
      </c>
      <c r="F480" s="8">
        <v>30749</v>
      </c>
      <c r="G480" s="8" t="s">
        <v>80</v>
      </c>
      <c r="H480" s="8" t="s">
        <v>26</v>
      </c>
      <c r="I480" s="8" t="s">
        <v>23</v>
      </c>
      <c r="J480" s="7">
        <v>187.2</v>
      </c>
      <c r="K480" s="7">
        <v>18720</v>
      </c>
    </row>
    <row r="481" spans="2:11" ht="15.75" customHeight="1" x14ac:dyDescent="0.25">
      <c r="B481" s="8">
        <v>123547</v>
      </c>
      <c r="C481" s="8" t="s">
        <v>854</v>
      </c>
      <c r="D481" s="8" t="s">
        <v>855</v>
      </c>
      <c r="E481" s="8" t="s">
        <v>12</v>
      </c>
      <c r="F481" s="8">
        <v>32887</v>
      </c>
      <c r="G481" s="8" t="s">
        <v>105</v>
      </c>
      <c r="H481" s="8" t="s">
        <v>26</v>
      </c>
      <c r="I481" s="8" t="s">
        <v>23</v>
      </c>
      <c r="J481" s="7">
        <v>184.8</v>
      </c>
      <c r="K481" s="7">
        <v>18480</v>
      </c>
    </row>
    <row r="482" spans="2:11" ht="15.75" customHeight="1" x14ac:dyDescent="0.25">
      <c r="B482" s="8">
        <v>125093</v>
      </c>
      <c r="C482" s="8" t="s">
        <v>854</v>
      </c>
      <c r="D482" s="8" t="s">
        <v>874</v>
      </c>
      <c r="E482" s="8" t="s">
        <v>12</v>
      </c>
      <c r="F482" s="8">
        <v>32092</v>
      </c>
      <c r="G482" s="8" t="s">
        <v>126</v>
      </c>
      <c r="H482" s="8" t="s">
        <v>22</v>
      </c>
      <c r="I482" s="8" t="s">
        <v>23</v>
      </c>
      <c r="J482" s="7">
        <v>164.61</v>
      </c>
      <c r="K482" s="7">
        <v>16461</v>
      </c>
    </row>
    <row r="483" spans="2:11" ht="15.75" customHeight="1" x14ac:dyDescent="0.25">
      <c r="B483" s="8">
        <v>25711</v>
      </c>
      <c r="C483" s="8" t="s">
        <v>885</v>
      </c>
      <c r="D483" s="8" t="s">
        <v>886</v>
      </c>
      <c r="E483" s="8" t="s">
        <v>24</v>
      </c>
      <c r="F483" s="8">
        <v>30032</v>
      </c>
      <c r="G483" s="8" t="s">
        <v>105</v>
      </c>
      <c r="H483" s="8" t="s">
        <v>26</v>
      </c>
      <c r="I483" s="8" t="s">
        <v>23</v>
      </c>
      <c r="J483" s="7">
        <v>146.9</v>
      </c>
      <c r="K483" s="7">
        <v>14690</v>
      </c>
    </row>
    <row r="484" spans="2:11" ht="15.75" customHeight="1" x14ac:dyDescent="0.25">
      <c r="B484" s="8">
        <v>121279</v>
      </c>
      <c r="C484" s="8" t="s">
        <v>892</v>
      </c>
      <c r="D484" s="8" t="s">
        <v>924</v>
      </c>
      <c r="E484" s="8" t="s">
        <v>12</v>
      </c>
      <c r="F484" s="8">
        <v>25686</v>
      </c>
      <c r="G484" s="8" t="s">
        <v>73</v>
      </c>
      <c r="H484" s="8" t="s">
        <v>74</v>
      </c>
      <c r="I484" s="8" t="s">
        <v>23</v>
      </c>
      <c r="J484" s="7">
        <v>107.1</v>
      </c>
      <c r="K484" s="7">
        <v>10710</v>
      </c>
    </row>
    <row r="485" spans="2:11" ht="15.75" customHeight="1" x14ac:dyDescent="0.25">
      <c r="B485" s="8">
        <v>134724</v>
      </c>
      <c r="C485" s="8" t="s">
        <v>915</v>
      </c>
      <c r="D485" s="8" t="s">
        <v>916</v>
      </c>
      <c r="E485" s="8" t="s">
        <v>24</v>
      </c>
      <c r="F485" s="8">
        <v>22687</v>
      </c>
      <c r="G485" s="8" t="s">
        <v>25</v>
      </c>
      <c r="H485" s="8" t="s">
        <v>26</v>
      </c>
      <c r="I485" s="8" t="s">
        <v>23</v>
      </c>
      <c r="J485" s="7">
        <v>110</v>
      </c>
      <c r="K485" s="7">
        <v>11000</v>
      </c>
    </row>
    <row r="486" spans="2:11" ht="15.75" customHeight="1" x14ac:dyDescent="0.25">
      <c r="B486" s="8">
        <v>138213</v>
      </c>
      <c r="C486" s="8" t="s">
        <v>900</v>
      </c>
      <c r="D486" s="8" t="s">
        <v>901</v>
      </c>
      <c r="E486" s="8" t="s">
        <v>24</v>
      </c>
      <c r="F486" s="8">
        <v>26893</v>
      </c>
      <c r="G486" s="8" t="s">
        <v>170</v>
      </c>
      <c r="H486" s="8" t="s">
        <v>26</v>
      </c>
      <c r="I486" s="8" t="s">
        <v>23</v>
      </c>
      <c r="J486" s="7">
        <v>126</v>
      </c>
      <c r="K486" s="7">
        <v>12600</v>
      </c>
    </row>
    <row r="487" spans="2:11" ht="15.75" customHeight="1" x14ac:dyDescent="0.25">
      <c r="B487" s="8">
        <v>21134</v>
      </c>
      <c r="C487" s="8" t="s">
        <v>898</v>
      </c>
      <c r="D487" s="8" t="s">
        <v>919</v>
      </c>
      <c r="E487" s="8" t="s">
        <v>12</v>
      </c>
      <c r="F487" s="8">
        <v>24629</v>
      </c>
      <c r="G487" s="8" t="s">
        <v>66</v>
      </c>
      <c r="H487" s="8" t="s">
        <v>26</v>
      </c>
      <c r="I487" s="8" t="s">
        <v>23</v>
      </c>
      <c r="J487" s="7">
        <v>109.45</v>
      </c>
      <c r="K487" s="7">
        <v>10945</v>
      </c>
    </row>
    <row r="488" spans="2:11" ht="15.75" customHeight="1" x14ac:dyDescent="0.25">
      <c r="B488" s="8">
        <v>24986</v>
      </c>
      <c r="C488" s="8" t="s">
        <v>917</v>
      </c>
      <c r="D488" s="8" t="s">
        <v>918</v>
      </c>
      <c r="E488" s="8" t="s">
        <v>12</v>
      </c>
      <c r="F488" s="8">
        <v>27796</v>
      </c>
      <c r="G488" s="8" t="s">
        <v>109</v>
      </c>
      <c r="H488" s="8" t="s">
        <v>26</v>
      </c>
      <c r="I488" s="8" t="s">
        <v>23</v>
      </c>
      <c r="J488" s="7">
        <v>109.8</v>
      </c>
      <c r="K488" s="7">
        <v>10980</v>
      </c>
    </row>
    <row r="489" spans="2:11" ht="15.75" customHeight="1" x14ac:dyDescent="0.25">
      <c r="B489" s="8">
        <v>26352</v>
      </c>
      <c r="C489" s="8" t="s">
        <v>947</v>
      </c>
      <c r="D489" s="8" t="s">
        <v>948</v>
      </c>
      <c r="E489" s="8" t="s">
        <v>12</v>
      </c>
      <c r="F489" s="8">
        <v>31907</v>
      </c>
      <c r="G489" s="8" t="s">
        <v>97</v>
      </c>
      <c r="H489" s="8" t="s">
        <v>26</v>
      </c>
      <c r="I489" s="8" t="s">
        <v>23</v>
      </c>
      <c r="J489" s="7">
        <v>84</v>
      </c>
      <c r="K489" s="7">
        <v>8400</v>
      </c>
    </row>
    <row r="490" spans="2:11" ht="15.75" customHeight="1" x14ac:dyDescent="0.25">
      <c r="B490" s="8">
        <v>129265</v>
      </c>
      <c r="C490" s="8" t="s">
        <v>933</v>
      </c>
      <c r="D490" s="8" t="s">
        <v>449</v>
      </c>
      <c r="E490" s="8" t="s">
        <v>12</v>
      </c>
      <c r="F490" s="8">
        <v>31477</v>
      </c>
      <c r="G490" s="8" t="s">
        <v>165</v>
      </c>
      <c r="H490" s="8" t="s">
        <v>26</v>
      </c>
      <c r="I490" s="8" t="s">
        <v>23</v>
      </c>
      <c r="J490" s="7">
        <v>83.44</v>
      </c>
      <c r="K490" s="7">
        <v>8344</v>
      </c>
    </row>
    <row r="491" spans="2:11" ht="15.75" customHeight="1" x14ac:dyDescent="0.25">
      <c r="B491" s="8">
        <v>140709</v>
      </c>
      <c r="C491" s="8" t="s">
        <v>933</v>
      </c>
      <c r="D491" s="8" t="s">
        <v>406</v>
      </c>
      <c r="E491" s="8" t="s">
        <v>12</v>
      </c>
      <c r="F491" s="8">
        <v>24654</v>
      </c>
      <c r="G491" s="8" t="s">
        <v>178</v>
      </c>
      <c r="H491" s="8" t="s">
        <v>26</v>
      </c>
      <c r="I491" s="8" t="s">
        <v>23</v>
      </c>
      <c r="J491" s="7">
        <v>98.34</v>
      </c>
      <c r="K491" s="7">
        <v>9834</v>
      </c>
    </row>
    <row r="492" spans="2:11" ht="15.75" customHeight="1" x14ac:dyDescent="0.25">
      <c r="B492" s="8">
        <v>36155</v>
      </c>
      <c r="C492" s="8" t="s">
        <v>949</v>
      </c>
      <c r="D492" s="8" t="s">
        <v>966</v>
      </c>
      <c r="E492" s="8" t="s">
        <v>12</v>
      </c>
      <c r="F492" s="8">
        <v>25240</v>
      </c>
      <c r="G492" s="8" t="s">
        <v>61</v>
      </c>
      <c r="H492" s="8" t="s">
        <v>26</v>
      </c>
      <c r="I492" s="8" t="s">
        <v>23</v>
      </c>
      <c r="J492" s="7">
        <v>62.4</v>
      </c>
      <c r="K492" s="7">
        <v>6240</v>
      </c>
    </row>
    <row r="493" spans="2:11" ht="15.75" customHeight="1" x14ac:dyDescent="0.25">
      <c r="B493" s="8">
        <v>120375</v>
      </c>
      <c r="C493" s="8" t="s">
        <v>957</v>
      </c>
      <c r="D493" s="8" t="s">
        <v>600</v>
      </c>
      <c r="E493" s="8" t="s">
        <v>24</v>
      </c>
      <c r="F493" s="8">
        <v>28741</v>
      </c>
      <c r="G493" s="8" t="s">
        <v>68</v>
      </c>
      <c r="H493" s="8" t="s">
        <v>28</v>
      </c>
      <c r="I493" s="8" t="s">
        <v>23</v>
      </c>
      <c r="J493" s="7">
        <v>66.66</v>
      </c>
      <c r="K493" s="7">
        <v>6666</v>
      </c>
    </row>
    <row r="494" spans="2:11" ht="15.75" customHeight="1" x14ac:dyDescent="0.25">
      <c r="B494" s="8">
        <v>140169</v>
      </c>
      <c r="C494" s="8" t="s">
        <v>957</v>
      </c>
      <c r="D494" s="8" t="s">
        <v>967</v>
      </c>
      <c r="E494" s="8" t="s">
        <v>24</v>
      </c>
      <c r="F494" s="8">
        <v>21825</v>
      </c>
      <c r="G494" s="8" t="s">
        <v>178</v>
      </c>
      <c r="H494" s="8" t="s">
        <v>26</v>
      </c>
      <c r="I494" s="8" t="s">
        <v>23</v>
      </c>
      <c r="J494" s="7">
        <v>60</v>
      </c>
      <c r="K494" s="7">
        <v>6000</v>
      </c>
    </row>
    <row r="495" spans="2:11" ht="15.75" customHeight="1" x14ac:dyDescent="0.25">
      <c r="B495" s="8">
        <v>128689</v>
      </c>
      <c r="C495" s="8" t="s">
        <v>968</v>
      </c>
      <c r="D495" s="8" t="s">
        <v>969</v>
      </c>
      <c r="E495" s="8" t="s">
        <v>12</v>
      </c>
      <c r="F495" s="8">
        <v>23864</v>
      </c>
      <c r="G495" s="8" t="s">
        <v>184</v>
      </c>
      <c r="H495" s="8" t="s">
        <v>26</v>
      </c>
      <c r="I495" s="8" t="s">
        <v>23</v>
      </c>
      <c r="J495" s="7">
        <v>60</v>
      </c>
      <c r="K495" s="7">
        <v>6000</v>
      </c>
    </row>
    <row r="496" spans="2:11" ht="15.75" customHeight="1" x14ac:dyDescent="0.25">
      <c r="B496" s="8">
        <v>37310</v>
      </c>
      <c r="C496" s="8" t="s">
        <v>964</v>
      </c>
      <c r="D496" s="8" t="s">
        <v>425</v>
      </c>
      <c r="E496" s="8" t="s">
        <v>12</v>
      </c>
      <c r="F496" s="8">
        <v>30067</v>
      </c>
      <c r="G496" s="8" t="s">
        <v>109</v>
      </c>
      <c r="H496" s="8" t="s">
        <v>26</v>
      </c>
      <c r="I496" s="8" t="s">
        <v>23</v>
      </c>
      <c r="J496" s="7">
        <v>67</v>
      </c>
      <c r="K496" s="7">
        <v>6700</v>
      </c>
    </row>
    <row r="497" spans="2:11" ht="15.75" customHeight="1" x14ac:dyDescent="0.25">
      <c r="B497" s="8">
        <v>30474</v>
      </c>
      <c r="C497" s="8" t="s">
        <v>965</v>
      </c>
      <c r="D497" s="8" t="s">
        <v>980</v>
      </c>
      <c r="E497" s="8" t="s">
        <v>12</v>
      </c>
      <c r="F497" s="8">
        <v>27902</v>
      </c>
      <c r="G497" s="8" t="s">
        <v>97</v>
      </c>
      <c r="H497" s="8" t="s">
        <v>26</v>
      </c>
      <c r="I497" s="8" t="s">
        <v>23</v>
      </c>
      <c r="J497" s="7">
        <v>45.9</v>
      </c>
      <c r="K497" s="7">
        <v>4590</v>
      </c>
    </row>
    <row r="498" spans="2:11" ht="15.75" customHeight="1" x14ac:dyDescent="0.25">
      <c r="B498" s="8">
        <v>129154</v>
      </c>
      <c r="C498" s="8" t="s">
        <v>981</v>
      </c>
      <c r="D498" s="8" t="s">
        <v>982</v>
      </c>
      <c r="E498" s="8" t="s">
        <v>12</v>
      </c>
      <c r="F498" s="8">
        <v>17249</v>
      </c>
      <c r="G498" s="8" t="s">
        <v>66</v>
      </c>
      <c r="H498" s="8" t="s">
        <v>26</v>
      </c>
      <c r="I498" s="8" t="s">
        <v>23</v>
      </c>
      <c r="J498" s="7">
        <v>42.75</v>
      </c>
      <c r="K498" s="7">
        <v>4275</v>
      </c>
    </row>
    <row r="499" spans="2:11" ht="15.75" customHeight="1" x14ac:dyDescent="0.25">
      <c r="B499" s="8">
        <v>22414</v>
      </c>
      <c r="C499" s="8" t="s">
        <v>986</v>
      </c>
      <c r="D499" s="8" t="s">
        <v>987</v>
      </c>
      <c r="E499" s="8" t="s">
        <v>12</v>
      </c>
      <c r="F499" s="8">
        <v>30035</v>
      </c>
      <c r="G499" s="8" t="s">
        <v>170</v>
      </c>
      <c r="H499" s="8" t="s">
        <v>26</v>
      </c>
      <c r="I499" s="8" t="s">
        <v>23</v>
      </c>
      <c r="J499" s="7">
        <v>30.82</v>
      </c>
      <c r="K499" s="7">
        <v>3082</v>
      </c>
    </row>
    <row r="500" spans="2:11" ht="15.75" customHeight="1" x14ac:dyDescent="0.25">
      <c r="B500" s="8">
        <v>125064</v>
      </c>
      <c r="C500" s="8" t="s">
        <v>991</v>
      </c>
      <c r="D500" s="8" t="s">
        <v>995</v>
      </c>
      <c r="E500" s="8" t="s">
        <v>12</v>
      </c>
      <c r="F500" s="8">
        <v>25720</v>
      </c>
      <c r="G500" s="8" t="s">
        <v>73</v>
      </c>
      <c r="H500" s="8" t="s">
        <v>74</v>
      </c>
      <c r="I500" s="8" t="s">
        <v>23</v>
      </c>
      <c r="J500" s="7">
        <v>11.76</v>
      </c>
      <c r="K500" s="7">
        <v>1176</v>
      </c>
    </row>
    <row r="501" spans="2:11" ht="15.75" customHeight="1" x14ac:dyDescent="0.25">
      <c r="B501" s="8">
        <v>22299</v>
      </c>
      <c r="C501" s="8" t="s">
        <v>991</v>
      </c>
      <c r="D501" s="8" t="s">
        <v>994</v>
      </c>
      <c r="E501" s="8" t="s">
        <v>12</v>
      </c>
      <c r="F501" s="8">
        <v>31955</v>
      </c>
      <c r="G501" s="8" t="s">
        <v>45</v>
      </c>
      <c r="H501" s="8" t="s">
        <v>28</v>
      </c>
      <c r="I501" s="8" t="s">
        <v>23</v>
      </c>
      <c r="J501" s="7">
        <v>12.2</v>
      </c>
      <c r="K501" s="7">
        <v>1220</v>
      </c>
    </row>
    <row r="502" spans="2:11" ht="15.75" customHeight="1" x14ac:dyDescent="0.25">
      <c r="B502" s="8">
        <v>27411</v>
      </c>
      <c r="C502" s="8" t="s">
        <v>996</v>
      </c>
      <c r="D502" s="8" t="s">
        <v>997</v>
      </c>
      <c r="E502" s="8" t="s">
        <v>12</v>
      </c>
      <c r="F502" s="8">
        <v>30051</v>
      </c>
      <c r="G502" s="8" t="s">
        <v>59</v>
      </c>
      <c r="H502" s="8" t="s">
        <v>28</v>
      </c>
      <c r="I502" s="8" t="s">
        <v>23</v>
      </c>
      <c r="J502" s="7">
        <v>5.9</v>
      </c>
      <c r="K502" s="7">
        <v>590</v>
      </c>
    </row>
    <row r="503" spans="2:11" ht="15.75" customHeight="1" x14ac:dyDescent="0.25"/>
    <row r="504" spans="2:11" ht="15.75" customHeight="1" x14ac:dyDescent="0.25"/>
    <row r="505" spans="2:11" ht="15.75" customHeight="1" x14ac:dyDescent="0.25"/>
    <row r="506" spans="2:11" ht="15.75" customHeight="1" x14ac:dyDescent="0.25"/>
    <row r="507" spans="2:11" ht="15.75" customHeight="1" x14ac:dyDescent="0.25"/>
    <row r="508" spans="2:11" ht="15.75" customHeight="1" x14ac:dyDescent="0.25"/>
    <row r="509" spans="2:11" ht="15.75" customHeight="1" x14ac:dyDescent="0.25"/>
    <row r="510" spans="2:11" ht="15.75" customHeight="1" x14ac:dyDescent="0.25"/>
    <row r="511" spans="2:11" ht="15.75" customHeight="1" x14ac:dyDescent="0.25"/>
    <row r="512" spans="2:11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LOGICAL FUNCTIONS</vt:lpstr>
      <vt:lpstr>NETWORKDAYS</vt:lpstr>
      <vt:lpstr>CELL REFERENCE &amp; DATE FORMAT</vt:lpstr>
      <vt:lpstr>Cell Reference  Case Study</vt:lpstr>
      <vt:lpstr>Summary Sheet </vt:lpstr>
      <vt:lpstr>Offset, Indirect</vt:lpstr>
      <vt:lpstr>RANGES</vt:lpstr>
      <vt:lpstr>INDEX,MATCH</vt:lpstr>
      <vt:lpstr>LOOKUPs</vt:lpstr>
      <vt:lpstr>Lookup Table</vt:lpstr>
      <vt:lpstr>PIVOT DATASET</vt:lpstr>
      <vt:lpstr>MACRO - RECORD</vt:lpstr>
      <vt:lpstr>Data</vt:lpstr>
      <vt:lpstr>SpendsData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shresthg</dc:creator>
  <cp:lastModifiedBy>nayan deshmane</cp:lastModifiedBy>
  <dcterms:created xsi:type="dcterms:W3CDTF">2021-07-04T07:56:19Z</dcterms:created>
  <dcterms:modified xsi:type="dcterms:W3CDTF">2024-07-06T17:14:25Z</dcterms:modified>
</cp:coreProperties>
</file>